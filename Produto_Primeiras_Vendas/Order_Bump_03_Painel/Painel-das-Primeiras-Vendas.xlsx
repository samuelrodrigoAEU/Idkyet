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Configurações" sheetId="2" state="visible" r:id="rId2"/>
    <sheet xmlns:r="http://schemas.openxmlformats.org/officeDocument/2006/relationships" name="Contatos" sheetId="3" state="visible" r:id="rId3"/>
    <sheet xmlns:r="http://schemas.openxmlformats.org/officeDocument/2006/relationships" name="Vendas e custos" sheetId="4" state="visible" r:id="rId4"/>
    <sheet xmlns:r="http://schemas.openxmlformats.org/officeDocument/2006/relationships" name="Tempo" sheetId="5" state="visible" r:id="rId5"/>
    <sheet xmlns:r="http://schemas.openxmlformats.org/officeDocument/2006/relationships" name="Pai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61A22"/>
      <sz val="16"/>
    </font>
    <font>
      <name val="Arial"/>
      <b val="1"/>
      <sz val="10"/>
    </font>
    <font>
      <name val="Arial"/>
      <sz val="10"/>
    </font>
    <font>
      <name val="Arial"/>
      <color rgb="005E637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1A22"/>
      </patternFill>
    </fill>
    <fill>
      <patternFill patternType="solid">
        <fgColor rgb="00FFF8EC"/>
      </patternFill>
    </fill>
    <fill>
      <patternFill patternType="solid">
        <fgColor rgb="00EEF0F6"/>
      </patternFill>
    </fill>
    <fill>
      <patternFill patternType="solid">
        <fgColor rgb="00E8552A"/>
      </patternFill>
    </fill>
  </fills>
  <borders count="2">
    <border>
      <left/>
      <right/>
      <top/>
      <bottom/>
      <diagonal/>
    </border>
    <border>
      <left style="thin">
        <color rgb="00D8D1C2"/>
      </left>
      <right style="thin">
        <color rgb="00D8D1C2"/>
      </right>
      <top style="thin">
        <color rgb="00D8D1C2"/>
      </top>
      <bottom style="thin">
        <color rgb="00D8D1C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pivotButton="0" quotePrefix="0" xfId="0"/>
    <xf numFmtId="165" fontId="3" fillId="3" borderId="1" pivotButton="0" quotePrefix="0" xfId="0"/>
    <xf numFmtId="165" fontId="3" fillId="4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3" fillId="4" borderId="1" applyAlignment="1" pivotButton="0" quotePrefix="0" xfId="0">
      <alignment vertical="top" wrapText="1"/>
    </xf>
    <xf numFmtId="9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BE3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Funil acumulado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'Painel'!$A$19:$A$23</f>
            </numRef>
          </cat>
          <val>
            <numRef>
              <f>'Painel'!$B$19:$B$23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Painel das Primeiras Vendas</t>
        </is>
      </c>
    </row>
    <row r="3" ht="15" customHeight="1">
      <c r="A3" s="2" t="inlineStr">
        <is>
          <t>O QUE ESTE PAINEL FAZ</t>
        </is>
      </c>
    </row>
    <row r="4" ht="30" customHeight="1">
      <c r="A4" s="3" t="inlineStr">
        <is>
          <t>Mostra, sem você fazer contas, quantas pessoas avançam em cada etapa da venda, por semana e por canal; quanto dinheiro realmente sobra depois de custos e taxas; e qual etapa está travando.</t>
        </is>
      </c>
    </row>
    <row r="5" ht="15" customHeight="1">
      <c r="A5" s="2" t="inlineStr">
        <is>
          <t>ORDEM DE USO:</t>
        </is>
      </c>
    </row>
    <row r="6" ht="15" customHeight="1">
      <c r="A6" s="3" t="inlineStr">
        <is>
          <t>1. Configurações: preencha a data de início, suas taxas e a meta de atividade semanal.</t>
        </is>
      </c>
    </row>
    <row r="7" ht="15" customHeight="1">
      <c r="A7" s="3" t="inlineStr">
        <is>
          <t>2. Contatos: registre cada pessoa (uma linha) e atualize a etapa sempre que ela avançar.</t>
        </is>
      </c>
    </row>
    <row r="8" ht="30" customHeight="1">
      <c r="A8" s="3" t="inlineStr">
        <is>
          <t>3. Vendas e custos: lance cada venda e cada gasto (material, frete, impulsionamento, ferramentas).</t>
        </is>
      </c>
    </row>
    <row r="9" ht="30" customHeight="1">
      <c r="A9" s="3" t="inlineStr">
        <is>
          <t>4. Tempo: anote os minutos dedicados por dia. Serve para calcular quanto vale sua hora de verdade.</t>
        </is>
      </c>
    </row>
    <row r="10" ht="15" customHeight="1">
      <c r="A10" s="3" t="inlineStr">
        <is>
          <t>5. Painel: leia os números e o diagnóstico automático toda semana.</t>
        </is>
      </c>
    </row>
    <row r="11" ht="15" customHeight="1">
      <c r="A11" s="3" t="inlineStr">
        <is>
          <t>Células em bege: você preenche. Células em azul-claro: calculadas. Não apague as fórmulas.</t>
        </is>
      </c>
    </row>
    <row r="12" ht="15" customHeight="1">
      <c r="A12" s="2" t="inlineStr">
        <is>
          <t>IMPORTANTE:</t>
        </is>
      </c>
    </row>
    <row r="13" ht="30" customHeight="1">
      <c r="A13" s="3" t="inlineStr">
        <is>
          <t>Visualizações, curtidas e seguidores não entram aqui de propósito. Eles medem alcance, não vendas. O painel mede pessoas que conversaram com você e dinheiro que entrou.</t>
        </is>
      </c>
    </row>
    <row r="14" ht="30" customHeight="1">
      <c r="A14" s="3" t="inlineStr">
        <is>
          <t>Com poucos contatos (menos de 30 na semana), as taxas variam muito por acaso. Use o diagnóstico como pista para escolher o que testar, não como prova.</t>
        </is>
      </c>
    </row>
    <row r="15" ht="30" customHeight="1">
      <c r="A15" s="3" t="inlineStr">
        <is>
          <t>Nenhum número vem preenchido. O arquivo Painel-EXEMPLO-dados-ficticios.xlsx mostra o painel funcionando com dados inventados, só para você ver como fica.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1" t="inlineStr">
        <is>
          <t>Configurações</t>
        </is>
      </c>
    </row>
    <row r="2">
      <c r="A2" s="4" t="inlineStr">
        <is>
          <t>Preencha uma vez e atualize quando algo mudar.</t>
        </is>
      </c>
    </row>
    <row r="4" ht="30" customHeight="1">
      <c r="A4" s="5" t="inlineStr">
        <is>
          <t>Item</t>
        </is>
      </c>
      <c r="B4" s="5" t="inlineStr">
        <is>
          <t>Valor</t>
        </is>
      </c>
      <c r="C4" s="5" t="inlineStr">
        <is>
          <t>Observação</t>
        </is>
      </c>
    </row>
    <row r="5" ht="30" customHeight="1">
      <c r="A5" s="6" t="inlineStr">
        <is>
          <t>Data de início</t>
        </is>
      </c>
      <c r="B5" s="7" t="n"/>
      <c r="C5" s="8" t="inlineStr">
        <is>
          <t>As semanas são contadas a partir desta data</t>
        </is>
      </c>
    </row>
    <row r="6" ht="30" customHeight="1">
      <c r="A6" s="6" t="inlineStr">
        <is>
          <t>Taxa percentual do meio de pagamento principal</t>
        </is>
      </c>
      <c r="B6" s="9" t="n"/>
      <c r="C6" s="8" t="inlineStr">
        <is>
          <t>Ex.: 8,99% numa plataforma de produto digital; 0% em Pix para pessoa física. Confira no site oficial</t>
        </is>
      </c>
    </row>
    <row r="7" ht="30" customHeight="1">
      <c r="A7" s="6" t="inlineStr">
        <is>
          <t>Taxa fixa por venda (R$)</t>
        </is>
      </c>
      <c r="B7" s="10" t="n"/>
      <c r="C7" s="8" t="inlineStr">
        <is>
          <t>Valor fixo cobrado por transação, se houver</t>
        </is>
      </c>
    </row>
    <row r="8" ht="30" customHeight="1">
      <c r="A8" s="6" t="inlineStr">
        <is>
          <t>Imposto estimado sobre a receita (%)</t>
        </is>
      </c>
      <c r="B8" s="9" t="n"/>
      <c r="C8" s="8" t="inlineStr">
        <is>
          <t>Se você é MEI, o imposto é fixo mensal: lance em Custos e deixe 0% aqui</t>
        </is>
      </c>
    </row>
    <row r="9" ht="30" customHeight="1">
      <c r="A9" s="6" t="inlineStr">
        <is>
          <t>Meta semanal de novos contatos</t>
        </is>
      </c>
      <c r="B9" s="11" t="n">
        <v>30</v>
      </c>
      <c r="C9" s="8" t="inlineStr">
        <is>
          <t>Meta de atividade, não de faturamento</t>
        </is>
      </c>
    </row>
    <row r="10" ht="30" customHeight="1">
      <c r="A10" s="6" t="inlineStr">
        <is>
          <t>Meta semanal de conteúdos publicados</t>
        </is>
      </c>
      <c r="B10" s="11" t="n">
        <v>3</v>
      </c>
      <c r="C10" s="8" t="inlineStr"/>
    </row>
    <row r="11" ht="30" customHeight="1">
      <c r="A11" s="6" t="inlineStr">
        <is>
          <t>Valor de referência da sua hora (R$)</t>
        </is>
      </c>
      <c r="B11" s="10" t="n"/>
      <c r="C11" s="8" t="inlineStr">
        <is>
          <t>Usado para comparar com o que você realmente ganhou por hora</t>
        </is>
      </c>
    </row>
    <row r="14" ht="30" customHeight="1">
      <c r="A14" s="5" t="inlineStr">
        <is>
          <t>Canais (edite os nomes se quiser)</t>
        </is>
      </c>
      <c r="B14" s="5" t="inlineStr"/>
      <c r="C14" s="5" t="inlineStr"/>
    </row>
    <row r="15">
      <c r="A15" s="12" t="inlineStr">
        <is>
          <t>Rede próxima</t>
        </is>
      </c>
    </row>
    <row r="16">
      <c r="A16" s="12" t="inlineStr">
        <is>
          <t>Indicação</t>
        </is>
      </c>
    </row>
    <row r="17">
      <c r="A17" s="12" t="inlineStr">
        <is>
          <t>Comunidade</t>
        </is>
      </c>
    </row>
    <row r="18">
      <c r="A18" s="12" t="inlineStr">
        <is>
          <t>Contato direto</t>
        </is>
      </c>
    </row>
    <row r="19">
      <c r="A19" s="12" t="inlineStr">
        <is>
          <t>TikTok</t>
        </is>
      </c>
    </row>
    <row r="20">
      <c r="A20" s="12" t="inlineStr">
        <is>
          <t>Instagram</t>
        </is>
      </c>
    </row>
    <row r="21">
      <c r="A21" s="12" t="inlineStr">
        <is>
          <t>WhatsApp</t>
        </is>
      </c>
    </row>
    <row r="22">
      <c r="A22" s="12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16" customWidth="1" min="4" max="4"/>
    <col width="30" customWidth="1" min="5" max="5"/>
    <col width="16" customWidth="1" min="6" max="6"/>
    <col width="10" customWidth="1" min="7" max="7"/>
    <col width="10" customWidth="1" min="8" max="8"/>
    <col width="26" customWidth="1" min="9" max="9"/>
    <col width="28" customWidth="1" min="10" max="10"/>
    <col width="14" customWidth="1" min="11" max="11"/>
  </cols>
  <sheetData>
    <row r="1">
      <c r="A1" s="1" t="inlineStr">
        <is>
          <t>Contatos</t>
        </is>
      </c>
    </row>
    <row r="2" ht="30" customHeight="1">
      <c r="A2" s="4" t="inlineStr">
        <is>
          <t>Uma linha por pessoa. Etapa = o ponto mais avançado a que a pessoa chegou. Perdido = disse não ou não respondeu aos dois acompanhamentos.</t>
        </is>
      </c>
    </row>
    <row r="4" ht="30" customHeight="1">
      <c r="A4" s="5" t="inlineStr">
        <is>
          <t>Data do 1º contato</t>
        </is>
      </c>
      <c r="B4" s="5" t="inlineStr">
        <is>
          <t>Semana</t>
        </is>
      </c>
      <c r="C4" s="5" t="inlineStr">
        <is>
          <t>Nome</t>
        </is>
      </c>
      <c r="D4" s="5" t="inlineStr">
        <is>
          <t>Canal</t>
        </is>
      </c>
      <c r="E4" s="5" t="inlineStr">
        <is>
          <t>Origem (post, grupo, indicação de quem)</t>
        </is>
      </c>
      <c r="F4" s="5" t="inlineStr">
        <is>
          <t>Etapa atual</t>
        </is>
      </c>
      <c r="G4" s="5" t="inlineStr">
        <is>
          <t>Nº da etapa</t>
        </is>
      </c>
      <c r="H4" s="5" t="inlineStr">
        <is>
          <t>Perdido?</t>
        </is>
      </c>
      <c r="I4" s="5" t="inlineStr">
        <is>
          <t>Motivo da perda</t>
        </is>
      </c>
      <c r="J4" s="5" t="inlineStr">
        <is>
          <t>Próxima ação</t>
        </is>
      </c>
      <c r="K4" s="5" t="inlineStr">
        <is>
          <t>Data da próxima ação</t>
        </is>
      </c>
    </row>
    <row r="5">
      <c r="A5" s="13" t="n"/>
      <c r="B5" s="14">
        <f>IF(OR(A5="",Configurações!$B$5=""),"",INT((A5-Configurações!$B$5)/7)+1)</f>
        <v/>
      </c>
      <c r="C5" s="15" t="n"/>
      <c r="D5" s="15" t="n"/>
      <c r="E5" s="15" t="n"/>
      <c r="F5" s="15" t="n"/>
      <c r="G5" s="14">
        <f>IF(F5="","",VALUE(LEFT(F5,1)))</f>
        <v/>
      </c>
      <c r="H5" s="15" t="n"/>
      <c r="I5" s="15" t="n"/>
      <c r="J5" s="15" t="n"/>
      <c r="K5" s="13" t="n"/>
    </row>
    <row r="6">
      <c r="A6" s="13" t="n"/>
      <c r="B6" s="14">
        <f>IF(OR(A6="",Configurações!$B$5=""),"",INT((A6-Configurações!$B$5)/7)+1)</f>
        <v/>
      </c>
      <c r="C6" s="15" t="n"/>
      <c r="D6" s="15" t="n"/>
      <c r="E6" s="15" t="n"/>
      <c r="F6" s="15" t="n"/>
      <c r="G6" s="14">
        <f>IF(F6="","",VALUE(LEFT(F6,1)))</f>
        <v/>
      </c>
      <c r="H6" s="15" t="n"/>
      <c r="I6" s="15" t="n"/>
      <c r="J6" s="15" t="n"/>
      <c r="K6" s="13" t="n"/>
    </row>
    <row r="7">
      <c r="A7" s="13" t="n"/>
      <c r="B7" s="14">
        <f>IF(OR(A7="",Configurações!$B$5=""),"",INT((A7-Configurações!$B$5)/7)+1)</f>
        <v/>
      </c>
      <c r="C7" s="15" t="n"/>
      <c r="D7" s="15" t="n"/>
      <c r="E7" s="15" t="n"/>
      <c r="F7" s="15" t="n"/>
      <c r="G7" s="14">
        <f>IF(F7="","",VALUE(LEFT(F7,1)))</f>
        <v/>
      </c>
      <c r="H7" s="15" t="n"/>
      <c r="I7" s="15" t="n"/>
      <c r="J7" s="15" t="n"/>
      <c r="K7" s="13" t="n"/>
    </row>
    <row r="8">
      <c r="A8" s="13" t="n"/>
      <c r="B8" s="14">
        <f>IF(OR(A8="",Configurações!$B$5=""),"",INT((A8-Configurações!$B$5)/7)+1)</f>
        <v/>
      </c>
      <c r="C8" s="15" t="n"/>
      <c r="D8" s="15" t="n"/>
      <c r="E8" s="15" t="n"/>
      <c r="F8" s="15" t="n"/>
      <c r="G8" s="14">
        <f>IF(F8="","",VALUE(LEFT(F8,1)))</f>
        <v/>
      </c>
      <c r="H8" s="15" t="n"/>
      <c r="I8" s="15" t="n"/>
      <c r="J8" s="15" t="n"/>
      <c r="K8" s="13" t="n"/>
    </row>
    <row r="9">
      <c r="A9" s="13" t="n"/>
      <c r="B9" s="14">
        <f>IF(OR(A9="",Configurações!$B$5=""),"",INT((A9-Configurações!$B$5)/7)+1)</f>
        <v/>
      </c>
      <c r="C9" s="15" t="n"/>
      <c r="D9" s="15" t="n"/>
      <c r="E9" s="15" t="n"/>
      <c r="F9" s="15" t="n"/>
      <c r="G9" s="14">
        <f>IF(F9="","",VALUE(LEFT(F9,1)))</f>
        <v/>
      </c>
      <c r="H9" s="15" t="n"/>
      <c r="I9" s="15" t="n"/>
      <c r="J9" s="15" t="n"/>
      <c r="K9" s="13" t="n"/>
    </row>
    <row r="10">
      <c r="A10" s="13" t="n"/>
      <c r="B10" s="14">
        <f>IF(OR(A10="",Configurações!$B$5=""),"",INT((A10-Configurações!$B$5)/7)+1)</f>
        <v/>
      </c>
      <c r="C10" s="15" t="n"/>
      <c r="D10" s="15" t="n"/>
      <c r="E10" s="15" t="n"/>
      <c r="F10" s="15" t="n"/>
      <c r="G10" s="14">
        <f>IF(F10="","",VALUE(LEFT(F10,1)))</f>
        <v/>
      </c>
      <c r="H10" s="15" t="n"/>
      <c r="I10" s="15" t="n"/>
      <c r="J10" s="15" t="n"/>
      <c r="K10" s="13" t="n"/>
    </row>
    <row r="11">
      <c r="A11" s="13" t="n"/>
      <c r="B11" s="14">
        <f>IF(OR(A11="",Configurações!$B$5=""),"",INT((A11-Configurações!$B$5)/7)+1)</f>
        <v/>
      </c>
      <c r="C11" s="15" t="n"/>
      <c r="D11" s="15" t="n"/>
      <c r="E11" s="15" t="n"/>
      <c r="F11" s="15" t="n"/>
      <c r="G11" s="14">
        <f>IF(F11="","",VALUE(LEFT(F11,1)))</f>
        <v/>
      </c>
      <c r="H11" s="15" t="n"/>
      <c r="I11" s="15" t="n"/>
      <c r="J11" s="15" t="n"/>
      <c r="K11" s="13" t="n"/>
    </row>
    <row r="12">
      <c r="A12" s="13" t="n"/>
      <c r="B12" s="14">
        <f>IF(OR(A12="",Configurações!$B$5=""),"",INT((A12-Configurações!$B$5)/7)+1)</f>
        <v/>
      </c>
      <c r="C12" s="15" t="n"/>
      <c r="D12" s="15" t="n"/>
      <c r="E12" s="15" t="n"/>
      <c r="F12" s="15" t="n"/>
      <c r="G12" s="14">
        <f>IF(F12="","",VALUE(LEFT(F12,1)))</f>
        <v/>
      </c>
      <c r="H12" s="15" t="n"/>
      <c r="I12" s="15" t="n"/>
      <c r="J12" s="15" t="n"/>
      <c r="K12" s="13" t="n"/>
    </row>
    <row r="13">
      <c r="A13" s="13" t="n"/>
      <c r="B13" s="14">
        <f>IF(OR(A13="",Configurações!$B$5=""),"",INT((A13-Configurações!$B$5)/7)+1)</f>
        <v/>
      </c>
      <c r="C13" s="15" t="n"/>
      <c r="D13" s="15" t="n"/>
      <c r="E13" s="15" t="n"/>
      <c r="F13" s="15" t="n"/>
      <c r="G13" s="14">
        <f>IF(F13="","",VALUE(LEFT(F13,1)))</f>
        <v/>
      </c>
      <c r="H13" s="15" t="n"/>
      <c r="I13" s="15" t="n"/>
      <c r="J13" s="15" t="n"/>
      <c r="K13" s="13" t="n"/>
    </row>
    <row r="14">
      <c r="A14" s="13" t="n"/>
      <c r="B14" s="14">
        <f>IF(OR(A14="",Configurações!$B$5=""),"",INT((A14-Configurações!$B$5)/7)+1)</f>
        <v/>
      </c>
      <c r="C14" s="15" t="n"/>
      <c r="D14" s="15" t="n"/>
      <c r="E14" s="15" t="n"/>
      <c r="F14" s="15" t="n"/>
      <c r="G14" s="14">
        <f>IF(F14="","",VALUE(LEFT(F14,1)))</f>
        <v/>
      </c>
      <c r="H14" s="15" t="n"/>
      <c r="I14" s="15" t="n"/>
      <c r="J14" s="15" t="n"/>
      <c r="K14" s="13" t="n"/>
    </row>
    <row r="15">
      <c r="A15" s="13" t="n"/>
      <c r="B15" s="14">
        <f>IF(OR(A15="",Configurações!$B$5=""),"",INT((A15-Configurações!$B$5)/7)+1)</f>
        <v/>
      </c>
      <c r="C15" s="15" t="n"/>
      <c r="D15" s="15" t="n"/>
      <c r="E15" s="15" t="n"/>
      <c r="F15" s="15" t="n"/>
      <c r="G15" s="14">
        <f>IF(F15="","",VALUE(LEFT(F15,1)))</f>
        <v/>
      </c>
      <c r="H15" s="15" t="n"/>
      <c r="I15" s="15" t="n"/>
      <c r="J15" s="15" t="n"/>
      <c r="K15" s="13" t="n"/>
    </row>
    <row r="16">
      <c r="A16" s="13" t="n"/>
      <c r="B16" s="14">
        <f>IF(OR(A16="",Configurações!$B$5=""),"",INT((A16-Configurações!$B$5)/7)+1)</f>
        <v/>
      </c>
      <c r="C16" s="15" t="n"/>
      <c r="D16" s="15" t="n"/>
      <c r="E16" s="15" t="n"/>
      <c r="F16" s="15" t="n"/>
      <c r="G16" s="14">
        <f>IF(F16="","",VALUE(LEFT(F16,1)))</f>
        <v/>
      </c>
      <c r="H16" s="15" t="n"/>
      <c r="I16" s="15" t="n"/>
      <c r="J16" s="15" t="n"/>
      <c r="K16" s="13" t="n"/>
    </row>
    <row r="17">
      <c r="A17" s="13" t="n"/>
      <c r="B17" s="14">
        <f>IF(OR(A17="",Configurações!$B$5=""),"",INT((A17-Configurações!$B$5)/7)+1)</f>
        <v/>
      </c>
      <c r="C17" s="15" t="n"/>
      <c r="D17" s="15" t="n"/>
      <c r="E17" s="15" t="n"/>
      <c r="F17" s="15" t="n"/>
      <c r="G17" s="14">
        <f>IF(F17="","",VALUE(LEFT(F17,1)))</f>
        <v/>
      </c>
      <c r="H17" s="15" t="n"/>
      <c r="I17" s="15" t="n"/>
      <c r="J17" s="15" t="n"/>
      <c r="K17" s="13" t="n"/>
    </row>
    <row r="18">
      <c r="A18" s="13" t="n"/>
      <c r="B18" s="14">
        <f>IF(OR(A18="",Configurações!$B$5=""),"",INT((A18-Configurações!$B$5)/7)+1)</f>
        <v/>
      </c>
      <c r="C18" s="15" t="n"/>
      <c r="D18" s="15" t="n"/>
      <c r="E18" s="15" t="n"/>
      <c r="F18" s="15" t="n"/>
      <c r="G18" s="14">
        <f>IF(F18="","",VALUE(LEFT(F18,1)))</f>
        <v/>
      </c>
      <c r="H18" s="15" t="n"/>
      <c r="I18" s="15" t="n"/>
      <c r="J18" s="15" t="n"/>
      <c r="K18" s="13" t="n"/>
    </row>
    <row r="19">
      <c r="A19" s="13" t="n"/>
      <c r="B19" s="14">
        <f>IF(OR(A19="",Configurações!$B$5=""),"",INT((A19-Configurações!$B$5)/7)+1)</f>
        <v/>
      </c>
      <c r="C19" s="15" t="n"/>
      <c r="D19" s="15" t="n"/>
      <c r="E19" s="15" t="n"/>
      <c r="F19" s="15" t="n"/>
      <c r="G19" s="14">
        <f>IF(F19="","",VALUE(LEFT(F19,1)))</f>
        <v/>
      </c>
      <c r="H19" s="15" t="n"/>
      <c r="I19" s="15" t="n"/>
      <c r="J19" s="15" t="n"/>
      <c r="K19" s="13" t="n"/>
    </row>
    <row r="20">
      <c r="A20" s="13" t="n"/>
      <c r="B20" s="14">
        <f>IF(OR(A20="",Configurações!$B$5=""),"",INT((A20-Configurações!$B$5)/7)+1)</f>
        <v/>
      </c>
      <c r="C20" s="15" t="n"/>
      <c r="D20" s="15" t="n"/>
      <c r="E20" s="15" t="n"/>
      <c r="F20" s="15" t="n"/>
      <c r="G20" s="14">
        <f>IF(F20="","",VALUE(LEFT(F20,1)))</f>
        <v/>
      </c>
      <c r="H20" s="15" t="n"/>
      <c r="I20" s="15" t="n"/>
      <c r="J20" s="15" t="n"/>
      <c r="K20" s="13" t="n"/>
    </row>
    <row r="21">
      <c r="A21" s="13" t="n"/>
      <c r="B21" s="14">
        <f>IF(OR(A21="",Configurações!$B$5=""),"",INT((A21-Configurações!$B$5)/7)+1)</f>
        <v/>
      </c>
      <c r="C21" s="15" t="n"/>
      <c r="D21" s="15" t="n"/>
      <c r="E21" s="15" t="n"/>
      <c r="F21" s="15" t="n"/>
      <c r="G21" s="14">
        <f>IF(F21="","",VALUE(LEFT(F21,1)))</f>
        <v/>
      </c>
      <c r="H21" s="15" t="n"/>
      <c r="I21" s="15" t="n"/>
      <c r="J21" s="15" t="n"/>
      <c r="K21" s="13" t="n"/>
    </row>
    <row r="22">
      <c r="A22" s="13" t="n"/>
      <c r="B22" s="14">
        <f>IF(OR(A22="",Configurações!$B$5=""),"",INT((A22-Configurações!$B$5)/7)+1)</f>
        <v/>
      </c>
      <c r="C22" s="15" t="n"/>
      <c r="D22" s="15" t="n"/>
      <c r="E22" s="15" t="n"/>
      <c r="F22" s="15" t="n"/>
      <c r="G22" s="14">
        <f>IF(F22="","",VALUE(LEFT(F22,1)))</f>
        <v/>
      </c>
      <c r="H22" s="15" t="n"/>
      <c r="I22" s="15" t="n"/>
      <c r="J22" s="15" t="n"/>
      <c r="K22" s="13" t="n"/>
    </row>
    <row r="23">
      <c r="A23" s="13" t="n"/>
      <c r="B23" s="14">
        <f>IF(OR(A23="",Configurações!$B$5=""),"",INT((A23-Configurações!$B$5)/7)+1)</f>
        <v/>
      </c>
      <c r="C23" s="15" t="n"/>
      <c r="D23" s="15" t="n"/>
      <c r="E23" s="15" t="n"/>
      <c r="F23" s="15" t="n"/>
      <c r="G23" s="14">
        <f>IF(F23="","",VALUE(LEFT(F23,1)))</f>
        <v/>
      </c>
      <c r="H23" s="15" t="n"/>
      <c r="I23" s="15" t="n"/>
      <c r="J23" s="15" t="n"/>
      <c r="K23" s="13" t="n"/>
    </row>
    <row r="24">
      <c r="A24" s="13" t="n"/>
      <c r="B24" s="14">
        <f>IF(OR(A24="",Configurações!$B$5=""),"",INT((A24-Configurações!$B$5)/7)+1)</f>
        <v/>
      </c>
      <c r="C24" s="15" t="n"/>
      <c r="D24" s="15" t="n"/>
      <c r="E24" s="15" t="n"/>
      <c r="F24" s="15" t="n"/>
      <c r="G24" s="14">
        <f>IF(F24="","",VALUE(LEFT(F24,1)))</f>
        <v/>
      </c>
      <c r="H24" s="15" t="n"/>
      <c r="I24" s="15" t="n"/>
      <c r="J24" s="15" t="n"/>
      <c r="K24" s="13" t="n"/>
    </row>
    <row r="25">
      <c r="A25" s="13" t="n"/>
      <c r="B25" s="14">
        <f>IF(OR(A25="",Configurações!$B$5=""),"",INT((A25-Configurações!$B$5)/7)+1)</f>
        <v/>
      </c>
      <c r="C25" s="15" t="n"/>
      <c r="D25" s="15" t="n"/>
      <c r="E25" s="15" t="n"/>
      <c r="F25" s="15" t="n"/>
      <c r="G25" s="14">
        <f>IF(F25="","",VALUE(LEFT(F25,1)))</f>
        <v/>
      </c>
      <c r="H25" s="15" t="n"/>
      <c r="I25" s="15" t="n"/>
      <c r="J25" s="15" t="n"/>
      <c r="K25" s="13" t="n"/>
    </row>
    <row r="26">
      <c r="A26" s="13" t="n"/>
      <c r="B26" s="14">
        <f>IF(OR(A26="",Configurações!$B$5=""),"",INT((A26-Configurações!$B$5)/7)+1)</f>
        <v/>
      </c>
      <c r="C26" s="15" t="n"/>
      <c r="D26" s="15" t="n"/>
      <c r="E26" s="15" t="n"/>
      <c r="F26" s="15" t="n"/>
      <c r="G26" s="14">
        <f>IF(F26="","",VALUE(LEFT(F26,1)))</f>
        <v/>
      </c>
      <c r="H26" s="15" t="n"/>
      <c r="I26" s="15" t="n"/>
      <c r="J26" s="15" t="n"/>
      <c r="K26" s="13" t="n"/>
    </row>
    <row r="27">
      <c r="A27" s="13" t="n"/>
      <c r="B27" s="14">
        <f>IF(OR(A27="",Configurações!$B$5=""),"",INT((A27-Configurações!$B$5)/7)+1)</f>
        <v/>
      </c>
      <c r="C27" s="15" t="n"/>
      <c r="D27" s="15" t="n"/>
      <c r="E27" s="15" t="n"/>
      <c r="F27" s="15" t="n"/>
      <c r="G27" s="14">
        <f>IF(F27="","",VALUE(LEFT(F27,1)))</f>
        <v/>
      </c>
      <c r="H27" s="15" t="n"/>
      <c r="I27" s="15" t="n"/>
      <c r="J27" s="15" t="n"/>
      <c r="K27" s="13" t="n"/>
    </row>
    <row r="28">
      <c r="A28" s="13" t="n"/>
      <c r="B28" s="14">
        <f>IF(OR(A28="",Configurações!$B$5=""),"",INT((A28-Configurações!$B$5)/7)+1)</f>
        <v/>
      </c>
      <c r="C28" s="15" t="n"/>
      <c r="D28" s="15" t="n"/>
      <c r="E28" s="15" t="n"/>
      <c r="F28" s="15" t="n"/>
      <c r="G28" s="14">
        <f>IF(F28="","",VALUE(LEFT(F28,1)))</f>
        <v/>
      </c>
      <c r="H28" s="15" t="n"/>
      <c r="I28" s="15" t="n"/>
      <c r="J28" s="15" t="n"/>
      <c r="K28" s="13" t="n"/>
    </row>
    <row r="29">
      <c r="A29" s="13" t="n"/>
      <c r="B29" s="14">
        <f>IF(OR(A29="",Configurações!$B$5=""),"",INT((A29-Configurações!$B$5)/7)+1)</f>
        <v/>
      </c>
      <c r="C29" s="15" t="n"/>
      <c r="D29" s="15" t="n"/>
      <c r="E29" s="15" t="n"/>
      <c r="F29" s="15" t="n"/>
      <c r="G29" s="14">
        <f>IF(F29="","",VALUE(LEFT(F29,1)))</f>
        <v/>
      </c>
      <c r="H29" s="15" t="n"/>
      <c r="I29" s="15" t="n"/>
      <c r="J29" s="15" t="n"/>
      <c r="K29" s="13" t="n"/>
    </row>
    <row r="30">
      <c r="A30" s="13" t="n"/>
      <c r="B30" s="14">
        <f>IF(OR(A30="",Configurações!$B$5=""),"",INT((A30-Configurações!$B$5)/7)+1)</f>
        <v/>
      </c>
      <c r="C30" s="15" t="n"/>
      <c r="D30" s="15" t="n"/>
      <c r="E30" s="15" t="n"/>
      <c r="F30" s="15" t="n"/>
      <c r="G30" s="14">
        <f>IF(F30="","",VALUE(LEFT(F30,1)))</f>
        <v/>
      </c>
      <c r="H30" s="15" t="n"/>
      <c r="I30" s="15" t="n"/>
      <c r="J30" s="15" t="n"/>
      <c r="K30" s="13" t="n"/>
    </row>
    <row r="31">
      <c r="A31" s="13" t="n"/>
      <c r="B31" s="14">
        <f>IF(OR(A31="",Configurações!$B$5=""),"",INT((A31-Configurações!$B$5)/7)+1)</f>
        <v/>
      </c>
      <c r="C31" s="15" t="n"/>
      <c r="D31" s="15" t="n"/>
      <c r="E31" s="15" t="n"/>
      <c r="F31" s="15" t="n"/>
      <c r="G31" s="14">
        <f>IF(F31="","",VALUE(LEFT(F31,1)))</f>
        <v/>
      </c>
      <c r="H31" s="15" t="n"/>
      <c r="I31" s="15" t="n"/>
      <c r="J31" s="15" t="n"/>
      <c r="K31" s="13" t="n"/>
    </row>
    <row r="32">
      <c r="A32" s="13" t="n"/>
      <c r="B32" s="14">
        <f>IF(OR(A32="",Configurações!$B$5=""),"",INT((A32-Configurações!$B$5)/7)+1)</f>
        <v/>
      </c>
      <c r="C32" s="15" t="n"/>
      <c r="D32" s="15" t="n"/>
      <c r="E32" s="15" t="n"/>
      <c r="F32" s="15" t="n"/>
      <c r="G32" s="14">
        <f>IF(F32="","",VALUE(LEFT(F32,1)))</f>
        <v/>
      </c>
      <c r="H32" s="15" t="n"/>
      <c r="I32" s="15" t="n"/>
      <c r="J32" s="15" t="n"/>
      <c r="K32" s="13" t="n"/>
    </row>
    <row r="33">
      <c r="A33" s="13" t="n"/>
      <c r="B33" s="14">
        <f>IF(OR(A33="",Configurações!$B$5=""),"",INT((A33-Configurações!$B$5)/7)+1)</f>
        <v/>
      </c>
      <c r="C33" s="15" t="n"/>
      <c r="D33" s="15" t="n"/>
      <c r="E33" s="15" t="n"/>
      <c r="F33" s="15" t="n"/>
      <c r="G33" s="14">
        <f>IF(F33="","",VALUE(LEFT(F33,1)))</f>
        <v/>
      </c>
      <c r="H33" s="15" t="n"/>
      <c r="I33" s="15" t="n"/>
      <c r="J33" s="15" t="n"/>
      <c r="K33" s="13" t="n"/>
    </row>
    <row r="34">
      <c r="A34" s="13" t="n"/>
      <c r="B34" s="14">
        <f>IF(OR(A34="",Configurações!$B$5=""),"",INT((A34-Configurações!$B$5)/7)+1)</f>
        <v/>
      </c>
      <c r="C34" s="15" t="n"/>
      <c r="D34" s="15" t="n"/>
      <c r="E34" s="15" t="n"/>
      <c r="F34" s="15" t="n"/>
      <c r="G34" s="14">
        <f>IF(F34="","",VALUE(LEFT(F34,1)))</f>
        <v/>
      </c>
      <c r="H34" s="15" t="n"/>
      <c r="I34" s="15" t="n"/>
      <c r="J34" s="15" t="n"/>
      <c r="K34" s="13" t="n"/>
    </row>
    <row r="35">
      <c r="A35" s="13" t="n"/>
      <c r="B35" s="14">
        <f>IF(OR(A35="",Configurações!$B$5=""),"",INT((A35-Configurações!$B$5)/7)+1)</f>
        <v/>
      </c>
      <c r="C35" s="15" t="n"/>
      <c r="D35" s="15" t="n"/>
      <c r="E35" s="15" t="n"/>
      <c r="F35" s="15" t="n"/>
      <c r="G35" s="14">
        <f>IF(F35="","",VALUE(LEFT(F35,1)))</f>
        <v/>
      </c>
      <c r="H35" s="15" t="n"/>
      <c r="I35" s="15" t="n"/>
      <c r="J35" s="15" t="n"/>
      <c r="K35" s="13" t="n"/>
    </row>
    <row r="36">
      <c r="A36" s="13" t="n"/>
      <c r="B36" s="14">
        <f>IF(OR(A36="",Configurações!$B$5=""),"",INT((A36-Configurações!$B$5)/7)+1)</f>
        <v/>
      </c>
      <c r="C36" s="15" t="n"/>
      <c r="D36" s="15" t="n"/>
      <c r="E36" s="15" t="n"/>
      <c r="F36" s="15" t="n"/>
      <c r="G36" s="14">
        <f>IF(F36="","",VALUE(LEFT(F36,1)))</f>
        <v/>
      </c>
      <c r="H36" s="15" t="n"/>
      <c r="I36" s="15" t="n"/>
      <c r="J36" s="15" t="n"/>
      <c r="K36" s="13" t="n"/>
    </row>
    <row r="37">
      <c r="A37" s="13" t="n"/>
      <c r="B37" s="14">
        <f>IF(OR(A37="",Configurações!$B$5=""),"",INT((A37-Configurações!$B$5)/7)+1)</f>
        <v/>
      </c>
      <c r="C37" s="15" t="n"/>
      <c r="D37" s="15" t="n"/>
      <c r="E37" s="15" t="n"/>
      <c r="F37" s="15" t="n"/>
      <c r="G37" s="14">
        <f>IF(F37="","",VALUE(LEFT(F37,1)))</f>
        <v/>
      </c>
      <c r="H37" s="15" t="n"/>
      <c r="I37" s="15" t="n"/>
      <c r="J37" s="15" t="n"/>
      <c r="K37" s="13" t="n"/>
    </row>
    <row r="38">
      <c r="A38" s="13" t="n"/>
      <c r="B38" s="14">
        <f>IF(OR(A38="",Configurações!$B$5=""),"",INT((A38-Configurações!$B$5)/7)+1)</f>
        <v/>
      </c>
      <c r="C38" s="15" t="n"/>
      <c r="D38" s="15" t="n"/>
      <c r="E38" s="15" t="n"/>
      <c r="F38" s="15" t="n"/>
      <c r="G38" s="14">
        <f>IF(F38="","",VALUE(LEFT(F38,1)))</f>
        <v/>
      </c>
      <c r="H38" s="15" t="n"/>
      <c r="I38" s="15" t="n"/>
      <c r="J38" s="15" t="n"/>
      <c r="K38" s="13" t="n"/>
    </row>
    <row r="39">
      <c r="A39" s="13" t="n"/>
      <c r="B39" s="14">
        <f>IF(OR(A39="",Configurações!$B$5=""),"",INT((A39-Configurações!$B$5)/7)+1)</f>
        <v/>
      </c>
      <c r="C39" s="15" t="n"/>
      <c r="D39" s="15" t="n"/>
      <c r="E39" s="15" t="n"/>
      <c r="F39" s="15" t="n"/>
      <c r="G39" s="14">
        <f>IF(F39="","",VALUE(LEFT(F39,1)))</f>
        <v/>
      </c>
      <c r="H39" s="15" t="n"/>
      <c r="I39" s="15" t="n"/>
      <c r="J39" s="15" t="n"/>
      <c r="K39" s="13" t="n"/>
    </row>
    <row r="40">
      <c r="A40" s="13" t="n"/>
      <c r="B40" s="14">
        <f>IF(OR(A40="",Configurações!$B$5=""),"",INT((A40-Configurações!$B$5)/7)+1)</f>
        <v/>
      </c>
      <c r="C40" s="15" t="n"/>
      <c r="D40" s="15" t="n"/>
      <c r="E40" s="15" t="n"/>
      <c r="F40" s="15" t="n"/>
      <c r="G40" s="14">
        <f>IF(F40="","",VALUE(LEFT(F40,1)))</f>
        <v/>
      </c>
      <c r="H40" s="15" t="n"/>
      <c r="I40" s="15" t="n"/>
      <c r="J40" s="15" t="n"/>
      <c r="K40" s="13" t="n"/>
    </row>
    <row r="41">
      <c r="A41" s="13" t="n"/>
      <c r="B41" s="14">
        <f>IF(OR(A41="",Configurações!$B$5=""),"",INT((A41-Configurações!$B$5)/7)+1)</f>
        <v/>
      </c>
      <c r="C41" s="15" t="n"/>
      <c r="D41" s="15" t="n"/>
      <c r="E41" s="15" t="n"/>
      <c r="F41" s="15" t="n"/>
      <c r="G41" s="14">
        <f>IF(F41="","",VALUE(LEFT(F41,1)))</f>
        <v/>
      </c>
      <c r="H41" s="15" t="n"/>
      <c r="I41" s="15" t="n"/>
      <c r="J41" s="15" t="n"/>
      <c r="K41" s="13" t="n"/>
    </row>
    <row r="42">
      <c r="A42" s="13" t="n"/>
      <c r="B42" s="14">
        <f>IF(OR(A42="",Configurações!$B$5=""),"",INT((A42-Configurações!$B$5)/7)+1)</f>
        <v/>
      </c>
      <c r="C42" s="15" t="n"/>
      <c r="D42" s="15" t="n"/>
      <c r="E42" s="15" t="n"/>
      <c r="F42" s="15" t="n"/>
      <c r="G42" s="14">
        <f>IF(F42="","",VALUE(LEFT(F42,1)))</f>
        <v/>
      </c>
      <c r="H42" s="15" t="n"/>
      <c r="I42" s="15" t="n"/>
      <c r="J42" s="15" t="n"/>
      <c r="K42" s="13" t="n"/>
    </row>
    <row r="43">
      <c r="A43" s="13" t="n"/>
      <c r="B43" s="14">
        <f>IF(OR(A43="",Configurações!$B$5=""),"",INT((A43-Configurações!$B$5)/7)+1)</f>
        <v/>
      </c>
      <c r="C43" s="15" t="n"/>
      <c r="D43" s="15" t="n"/>
      <c r="E43" s="15" t="n"/>
      <c r="F43" s="15" t="n"/>
      <c r="G43" s="14">
        <f>IF(F43="","",VALUE(LEFT(F43,1)))</f>
        <v/>
      </c>
      <c r="H43" s="15" t="n"/>
      <c r="I43" s="15" t="n"/>
      <c r="J43" s="15" t="n"/>
      <c r="K43" s="13" t="n"/>
    </row>
    <row r="44">
      <c r="A44" s="13" t="n"/>
      <c r="B44" s="14">
        <f>IF(OR(A44="",Configurações!$B$5=""),"",INT((A44-Configurações!$B$5)/7)+1)</f>
        <v/>
      </c>
      <c r="C44" s="15" t="n"/>
      <c r="D44" s="15" t="n"/>
      <c r="E44" s="15" t="n"/>
      <c r="F44" s="15" t="n"/>
      <c r="G44" s="14">
        <f>IF(F44="","",VALUE(LEFT(F44,1)))</f>
        <v/>
      </c>
      <c r="H44" s="15" t="n"/>
      <c r="I44" s="15" t="n"/>
      <c r="J44" s="15" t="n"/>
      <c r="K44" s="13" t="n"/>
    </row>
    <row r="45">
      <c r="A45" s="13" t="n"/>
      <c r="B45" s="14">
        <f>IF(OR(A45="",Configurações!$B$5=""),"",INT((A45-Configurações!$B$5)/7)+1)</f>
        <v/>
      </c>
      <c r="C45" s="15" t="n"/>
      <c r="D45" s="15" t="n"/>
      <c r="E45" s="15" t="n"/>
      <c r="F45" s="15" t="n"/>
      <c r="G45" s="14">
        <f>IF(F45="","",VALUE(LEFT(F45,1)))</f>
        <v/>
      </c>
      <c r="H45" s="15" t="n"/>
      <c r="I45" s="15" t="n"/>
      <c r="J45" s="15" t="n"/>
      <c r="K45" s="13" t="n"/>
    </row>
    <row r="46">
      <c r="A46" s="13" t="n"/>
      <c r="B46" s="14">
        <f>IF(OR(A46="",Configurações!$B$5=""),"",INT((A46-Configurações!$B$5)/7)+1)</f>
        <v/>
      </c>
      <c r="C46" s="15" t="n"/>
      <c r="D46" s="15" t="n"/>
      <c r="E46" s="15" t="n"/>
      <c r="F46" s="15" t="n"/>
      <c r="G46" s="14">
        <f>IF(F46="","",VALUE(LEFT(F46,1)))</f>
        <v/>
      </c>
      <c r="H46" s="15" t="n"/>
      <c r="I46" s="15" t="n"/>
      <c r="J46" s="15" t="n"/>
      <c r="K46" s="13" t="n"/>
    </row>
    <row r="47">
      <c r="A47" s="13" t="n"/>
      <c r="B47" s="14">
        <f>IF(OR(A47="",Configurações!$B$5=""),"",INT((A47-Configurações!$B$5)/7)+1)</f>
        <v/>
      </c>
      <c r="C47" s="15" t="n"/>
      <c r="D47" s="15" t="n"/>
      <c r="E47" s="15" t="n"/>
      <c r="F47" s="15" t="n"/>
      <c r="G47" s="14">
        <f>IF(F47="","",VALUE(LEFT(F47,1)))</f>
        <v/>
      </c>
      <c r="H47" s="15" t="n"/>
      <c r="I47" s="15" t="n"/>
      <c r="J47" s="15" t="n"/>
      <c r="K47" s="13" t="n"/>
    </row>
    <row r="48">
      <c r="A48" s="13" t="n"/>
      <c r="B48" s="14">
        <f>IF(OR(A48="",Configurações!$B$5=""),"",INT((A48-Configurações!$B$5)/7)+1)</f>
        <v/>
      </c>
      <c r="C48" s="15" t="n"/>
      <c r="D48" s="15" t="n"/>
      <c r="E48" s="15" t="n"/>
      <c r="F48" s="15" t="n"/>
      <c r="G48" s="14">
        <f>IF(F48="","",VALUE(LEFT(F48,1)))</f>
        <v/>
      </c>
      <c r="H48" s="15" t="n"/>
      <c r="I48" s="15" t="n"/>
      <c r="J48" s="15" t="n"/>
      <c r="K48" s="13" t="n"/>
    </row>
    <row r="49">
      <c r="A49" s="13" t="n"/>
      <c r="B49" s="14">
        <f>IF(OR(A49="",Configurações!$B$5=""),"",INT((A49-Configurações!$B$5)/7)+1)</f>
        <v/>
      </c>
      <c r="C49" s="15" t="n"/>
      <c r="D49" s="15" t="n"/>
      <c r="E49" s="15" t="n"/>
      <c r="F49" s="15" t="n"/>
      <c r="G49" s="14">
        <f>IF(F49="","",VALUE(LEFT(F49,1)))</f>
        <v/>
      </c>
      <c r="H49" s="15" t="n"/>
      <c r="I49" s="15" t="n"/>
      <c r="J49" s="15" t="n"/>
      <c r="K49" s="13" t="n"/>
    </row>
    <row r="50">
      <c r="A50" s="13" t="n"/>
      <c r="B50" s="14">
        <f>IF(OR(A50="",Configurações!$B$5=""),"",INT((A50-Configurações!$B$5)/7)+1)</f>
        <v/>
      </c>
      <c r="C50" s="15" t="n"/>
      <c r="D50" s="15" t="n"/>
      <c r="E50" s="15" t="n"/>
      <c r="F50" s="15" t="n"/>
      <c r="G50" s="14">
        <f>IF(F50="","",VALUE(LEFT(F50,1)))</f>
        <v/>
      </c>
      <c r="H50" s="15" t="n"/>
      <c r="I50" s="15" t="n"/>
      <c r="J50" s="15" t="n"/>
      <c r="K50" s="13" t="n"/>
    </row>
    <row r="51">
      <c r="A51" s="13" t="n"/>
      <c r="B51" s="14">
        <f>IF(OR(A51="",Configurações!$B$5=""),"",INT((A51-Configurações!$B$5)/7)+1)</f>
        <v/>
      </c>
      <c r="C51" s="15" t="n"/>
      <c r="D51" s="15" t="n"/>
      <c r="E51" s="15" t="n"/>
      <c r="F51" s="15" t="n"/>
      <c r="G51" s="14">
        <f>IF(F51="","",VALUE(LEFT(F51,1)))</f>
        <v/>
      </c>
      <c r="H51" s="15" t="n"/>
      <c r="I51" s="15" t="n"/>
      <c r="J51" s="15" t="n"/>
      <c r="K51" s="13" t="n"/>
    </row>
    <row r="52">
      <c r="A52" s="13" t="n"/>
      <c r="B52" s="14">
        <f>IF(OR(A52="",Configurações!$B$5=""),"",INT((A52-Configurações!$B$5)/7)+1)</f>
        <v/>
      </c>
      <c r="C52" s="15" t="n"/>
      <c r="D52" s="15" t="n"/>
      <c r="E52" s="15" t="n"/>
      <c r="F52" s="15" t="n"/>
      <c r="G52" s="14">
        <f>IF(F52="","",VALUE(LEFT(F52,1)))</f>
        <v/>
      </c>
      <c r="H52" s="15" t="n"/>
      <c r="I52" s="15" t="n"/>
      <c r="J52" s="15" t="n"/>
      <c r="K52" s="13" t="n"/>
    </row>
    <row r="53">
      <c r="A53" s="13" t="n"/>
      <c r="B53" s="14">
        <f>IF(OR(A53="",Configurações!$B$5=""),"",INT((A53-Configurações!$B$5)/7)+1)</f>
        <v/>
      </c>
      <c r="C53" s="15" t="n"/>
      <c r="D53" s="15" t="n"/>
      <c r="E53" s="15" t="n"/>
      <c r="F53" s="15" t="n"/>
      <c r="G53" s="14">
        <f>IF(F53="","",VALUE(LEFT(F53,1)))</f>
        <v/>
      </c>
      <c r="H53" s="15" t="n"/>
      <c r="I53" s="15" t="n"/>
      <c r="J53" s="15" t="n"/>
      <c r="K53" s="13" t="n"/>
    </row>
    <row r="54">
      <c r="A54" s="13" t="n"/>
      <c r="B54" s="14">
        <f>IF(OR(A54="",Configurações!$B$5=""),"",INT((A54-Configurações!$B$5)/7)+1)</f>
        <v/>
      </c>
      <c r="C54" s="15" t="n"/>
      <c r="D54" s="15" t="n"/>
      <c r="E54" s="15" t="n"/>
      <c r="F54" s="15" t="n"/>
      <c r="G54" s="14">
        <f>IF(F54="","",VALUE(LEFT(F54,1)))</f>
        <v/>
      </c>
      <c r="H54" s="15" t="n"/>
      <c r="I54" s="15" t="n"/>
      <c r="J54" s="15" t="n"/>
      <c r="K54" s="13" t="n"/>
    </row>
    <row r="55">
      <c r="A55" s="13" t="n"/>
      <c r="B55" s="14">
        <f>IF(OR(A55="",Configurações!$B$5=""),"",INT((A55-Configurações!$B$5)/7)+1)</f>
        <v/>
      </c>
      <c r="C55" s="15" t="n"/>
      <c r="D55" s="15" t="n"/>
      <c r="E55" s="15" t="n"/>
      <c r="F55" s="15" t="n"/>
      <c r="G55" s="14">
        <f>IF(F55="","",VALUE(LEFT(F55,1)))</f>
        <v/>
      </c>
      <c r="H55" s="15" t="n"/>
      <c r="I55" s="15" t="n"/>
      <c r="J55" s="15" t="n"/>
      <c r="K55" s="13" t="n"/>
    </row>
    <row r="56">
      <c r="A56" s="13" t="n"/>
      <c r="B56" s="14">
        <f>IF(OR(A56="",Configurações!$B$5=""),"",INT((A56-Configurações!$B$5)/7)+1)</f>
        <v/>
      </c>
      <c r="C56" s="15" t="n"/>
      <c r="D56" s="15" t="n"/>
      <c r="E56" s="15" t="n"/>
      <c r="F56" s="15" t="n"/>
      <c r="G56" s="14">
        <f>IF(F56="","",VALUE(LEFT(F56,1)))</f>
        <v/>
      </c>
      <c r="H56" s="15" t="n"/>
      <c r="I56" s="15" t="n"/>
      <c r="J56" s="15" t="n"/>
      <c r="K56" s="13" t="n"/>
    </row>
    <row r="57">
      <c r="A57" s="13" t="n"/>
      <c r="B57" s="14">
        <f>IF(OR(A57="",Configurações!$B$5=""),"",INT((A57-Configurações!$B$5)/7)+1)</f>
        <v/>
      </c>
      <c r="C57" s="15" t="n"/>
      <c r="D57" s="15" t="n"/>
      <c r="E57" s="15" t="n"/>
      <c r="F57" s="15" t="n"/>
      <c r="G57" s="14">
        <f>IF(F57="","",VALUE(LEFT(F57,1)))</f>
        <v/>
      </c>
      <c r="H57" s="15" t="n"/>
      <c r="I57" s="15" t="n"/>
      <c r="J57" s="15" t="n"/>
      <c r="K57" s="13" t="n"/>
    </row>
    <row r="58">
      <c r="A58" s="13" t="n"/>
      <c r="B58" s="14">
        <f>IF(OR(A58="",Configurações!$B$5=""),"",INT((A58-Configurações!$B$5)/7)+1)</f>
        <v/>
      </c>
      <c r="C58" s="15" t="n"/>
      <c r="D58" s="15" t="n"/>
      <c r="E58" s="15" t="n"/>
      <c r="F58" s="15" t="n"/>
      <c r="G58" s="14">
        <f>IF(F58="","",VALUE(LEFT(F58,1)))</f>
        <v/>
      </c>
      <c r="H58" s="15" t="n"/>
      <c r="I58" s="15" t="n"/>
      <c r="J58" s="15" t="n"/>
      <c r="K58" s="13" t="n"/>
    </row>
    <row r="59">
      <c r="A59" s="13" t="n"/>
      <c r="B59" s="14">
        <f>IF(OR(A59="",Configurações!$B$5=""),"",INT((A59-Configurações!$B$5)/7)+1)</f>
        <v/>
      </c>
      <c r="C59" s="15" t="n"/>
      <c r="D59" s="15" t="n"/>
      <c r="E59" s="15" t="n"/>
      <c r="F59" s="15" t="n"/>
      <c r="G59" s="14">
        <f>IF(F59="","",VALUE(LEFT(F59,1)))</f>
        <v/>
      </c>
      <c r="H59" s="15" t="n"/>
      <c r="I59" s="15" t="n"/>
      <c r="J59" s="15" t="n"/>
      <c r="K59" s="13" t="n"/>
    </row>
    <row r="60">
      <c r="A60" s="13" t="n"/>
      <c r="B60" s="14">
        <f>IF(OR(A60="",Configurações!$B$5=""),"",INT((A60-Configurações!$B$5)/7)+1)</f>
        <v/>
      </c>
      <c r="C60" s="15" t="n"/>
      <c r="D60" s="15" t="n"/>
      <c r="E60" s="15" t="n"/>
      <c r="F60" s="15" t="n"/>
      <c r="G60" s="14">
        <f>IF(F60="","",VALUE(LEFT(F60,1)))</f>
        <v/>
      </c>
      <c r="H60" s="15" t="n"/>
      <c r="I60" s="15" t="n"/>
      <c r="J60" s="15" t="n"/>
      <c r="K60" s="13" t="n"/>
    </row>
    <row r="61">
      <c r="A61" s="13" t="n"/>
      <c r="B61" s="14">
        <f>IF(OR(A61="",Configurações!$B$5=""),"",INT((A61-Configurações!$B$5)/7)+1)</f>
        <v/>
      </c>
      <c r="C61" s="15" t="n"/>
      <c r="D61" s="15" t="n"/>
      <c r="E61" s="15" t="n"/>
      <c r="F61" s="15" t="n"/>
      <c r="G61" s="14">
        <f>IF(F61="","",VALUE(LEFT(F61,1)))</f>
        <v/>
      </c>
      <c r="H61" s="15" t="n"/>
      <c r="I61" s="15" t="n"/>
      <c r="J61" s="15" t="n"/>
      <c r="K61" s="13" t="n"/>
    </row>
    <row r="62">
      <c r="A62" s="13" t="n"/>
      <c r="B62" s="14">
        <f>IF(OR(A62="",Configurações!$B$5=""),"",INT((A62-Configurações!$B$5)/7)+1)</f>
        <v/>
      </c>
      <c r="C62" s="15" t="n"/>
      <c r="D62" s="15" t="n"/>
      <c r="E62" s="15" t="n"/>
      <c r="F62" s="15" t="n"/>
      <c r="G62" s="14">
        <f>IF(F62="","",VALUE(LEFT(F62,1)))</f>
        <v/>
      </c>
      <c r="H62" s="15" t="n"/>
      <c r="I62" s="15" t="n"/>
      <c r="J62" s="15" t="n"/>
      <c r="K62" s="13" t="n"/>
    </row>
    <row r="63">
      <c r="A63" s="13" t="n"/>
      <c r="B63" s="14">
        <f>IF(OR(A63="",Configurações!$B$5=""),"",INT((A63-Configurações!$B$5)/7)+1)</f>
        <v/>
      </c>
      <c r="C63" s="15" t="n"/>
      <c r="D63" s="15" t="n"/>
      <c r="E63" s="15" t="n"/>
      <c r="F63" s="15" t="n"/>
      <c r="G63" s="14">
        <f>IF(F63="","",VALUE(LEFT(F63,1)))</f>
        <v/>
      </c>
      <c r="H63" s="15" t="n"/>
      <c r="I63" s="15" t="n"/>
      <c r="J63" s="15" t="n"/>
      <c r="K63" s="13" t="n"/>
    </row>
    <row r="64">
      <c r="A64" s="13" t="n"/>
      <c r="B64" s="14">
        <f>IF(OR(A64="",Configurações!$B$5=""),"",INT((A64-Configurações!$B$5)/7)+1)</f>
        <v/>
      </c>
      <c r="C64" s="15" t="n"/>
      <c r="D64" s="15" t="n"/>
      <c r="E64" s="15" t="n"/>
      <c r="F64" s="15" t="n"/>
      <c r="G64" s="14">
        <f>IF(F64="","",VALUE(LEFT(F64,1)))</f>
        <v/>
      </c>
      <c r="H64" s="15" t="n"/>
      <c r="I64" s="15" t="n"/>
      <c r="J64" s="15" t="n"/>
      <c r="K64" s="13" t="n"/>
    </row>
    <row r="65">
      <c r="A65" s="13" t="n"/>
      <c r="B65" s="14">
        <f>IF(OR(A65="",Configurações!$B$5=""),"",INT((A65-Configurações!$B$5)/7)+1)</f>
        <v/>
      </c>
      <c r="C65" s="15" t="n"/>
      <c r="D65" s="15" t="n"/>
      <c r="E65" s="15" t="n"/>
      <c r="F65" s="15" t="n"/>
      <c r="G65" s="14">
        <f>IF(F65="","",VALUE(LEFT(F65,1)))</f>
        <v/>
      </c>
      <c r="H65" s="15" t="n"/>
      <c r="I65" s="15" t="n"/>
      <c r="J65" s="15" t="n"/>
      <c r="K65" s="13" t="n"/>
    </row>
    <row r="66">
      <c r="A66" s="13" t="n"/>
      <c r="B66" s="14">
        <f>IF(OR(A66="",Configurações!$B$5=""),"",INT((A66-Configurações!$B$5)/7)+1)</f>
        <v/>
      </c>
      <c r="C66" s="15" t="n"/>
      <c r="D66" s="15" t="n"/>
      <c r="E66" s="15" t="n"/>
      <c r="F66" s="15" t="n"/>
      <c r="G66" s="14">
        <f>IF(F66="","",VALUE(LEFT(F66,1)))</f>
        <v/>
      </c>
      <c r="H66" s="15" t="n"/>
      <c r="I66" s="15" t="n"/>
      <c r="J66" s="15" t="n"/>
      <c r="K66" s="13" t="n"/>
    </row>
    <row r="67">
      <c r="A67" s="13" t="n"/>
      <c r="B67" s="14">
        <f>IF(OR(A67="",Configurações!$B$5=""),"",INT((A67-Configurações!$B$5)/7)+1)</f>
        <v/>
      </c>
      <c r="C67" s="15" t="n"/>
      <c r="D67" s="15" t="n"/>
      <c r="E67" s="15" t="n"/>
      <c r="F67" s="15" t="n"/>
      <c r="G67" s="14">
        <f>IF(F67="","",VALUE(LEFT(F67,1)))</f>
        <v/>
      </c>
      <c r="H67" s="15" t="n"/>
      <c r="I67" s="15" t="n"/>
      <c r="J67" s="15" t="n"/>
      <c r="K67" s="13" t="n"/>
    </row>
    <row r="68">
      <c r="A68" s="13" t="n"/>
      <c r="B68" s="14">
        <f>IF(OR(A68="",Configurações!$B$5=""),"",INT((A68-Configurações!$B$5)/7)+1)</f>
        <v/>
      </c>
      <c r="C68" s="15" t="n"/>
      <c r="D68" s="15" t="n"/>
      <c r="E68" s="15" t="n"/>
      <c r="F68" s="15" t="n"/>
      <c r="G68" s="14">
        <f>IF(F68="","",VALUE(LEFT(F68,1)))</f>
        <v/>
      </c>
      <c r="H68" s="15" t="n"/>
      <c r="I68" s="15" t="n"/>
      <c r="J68" s="15" t="n"/>
      <c r="K68" s="13" t="n"/>
    </row>
    <row r="69">
      <c r="A69" s="13" t="n"/>
      <c r="B69" s="14">
        <f>IF(OR(A69="",Configurações!$B$5=""),"",INT((A69-Configurações!$B$5)/7)+1)</f>
        <v/>
      </c>
      <c r="C69" s="15" t="n"/>
      <c r="D69" s="15" t="n"/>
      <c r="E69" s="15" t="n"/>
      <c r="F69" s="15" t="n"/>
      <c r="G69" s="14">
        <f>IF(F69="","",VALUE(LEFT(F69,1)))</f>
        <v/>
      </c>
      <c r="H69" s="15" t="n"/>
      <c r="I69" s="15" t="n"/>
      <c r="J69" s="15" t="n"/>
      <c r="K69" s="13" t="n"/>
    </row>
    <row r="70">
      <c r="A70" s="13" t="n"/>
      <c r="B70" s="14">
        <f>IF(OR(A70="",Configurações!$B$5=""),"",INT((A70-Configurações!$B$5)/7)+1)</f>
        <v/>
      </c>
      <c r="C70" s="15" t="n"/>
      <c r="D70" s="15" t="n"/>
      <c r="E70" s="15" t="n"/>
      <c r="F70" s="15" t="n"/>
      <c r="G70" s="14">
        <f>IF(F70="","",VALUE(LEFT(F70,1)))</f>
        <v/>
      </c>
      <c r="H70" s="15" t="n"/>
      <c r="I70" s="15" t="n"/>
      <c r="J70" s="15" t="n"/>
      <c r="K70" s="13" t="n"/>
    </row>
    <row r="71">
      <c r="A71" s="13" t="n"/>
      <c r="B71" s="14">
        <f>IF(OR(A71="",Configurações!$B$5=""),"",INT((A71-Configurações!$B$5)/7)+1)</f>
        <v/>
      </c>
      <c r="C71" s="15" t="n"/>
      <c r="D71" s="15" t="n"/>
      <c r="E71" s="15" t="n"/>
      <c r="F71" s="15" t="n"/>
      <c r="G71" s="14">
        <f>IF(F71="","",VALUE(LEFT(F71,1)))</f>
        <v/>
      </c>
      <c r="H71" s="15" t="n"/>
      <c r="I71" s="15" t="n"/>
      <c r="J71" s="15" t="n"/>
      <c r="K71" s="13" t="n"/>
    </row>
    <row r="72">
      <c r="A72" s="13" t="n"/>
      <c r="B72" s="14">
        <f>IF(OR(A72="",Configurações!$B$5=""),"",INT((A72-Configurações!$B$5)/7)+1)</f>
        <v/>
      </c>
      <c r="C72" s="15" t="n"/>
      <c r="D72" s="15" t="n"/>
      <c r="E72" s="15" t="n"/>
      <c r="F72" s="15" t="n"/>
      <c r="G72" s="14">
        <f>IF(F72="","",VALUE(LEFT(F72,1)))</f>
        <v/>
      </c>
      <c r="H72" s="15" t="n"/>
      <c r="I72" s="15" t="n"/>
      <c r="J72" s="15" t="n"/>
      <c r="K72" s="13" t="n"/>
    </row>
    <row r="73">
      <c r="A73" s="13" t="n"/>
      <c r="B73" s="14">
        <f>IF(OR(A73="",Configurações!$B$5=""),"",INT((A73-Configurações!$B$5)/7)+1)</f>
        <v/>
      </c>
      <c r="C73" s="15" t="n"/>
      <c r="D73" s="15" t="n"/>
      <c r="E73" s="15" t="n"/>
      <c r="F73" s="15" t="n"/>
      <c r="G73" s="14">
        <f>IF(F73="","",VALUE(LEFT(F73,1)))</f>
        <v/>
      </c>
      <c r="H73" s="15" t="n"/>
      <c r="I73" s="15" t="n"/>
      <c r="J73" s="15" t="n"/>
      <c r="K73" s="13" t="n"/>
    </row>
    <row r="74">
      <c r="A74" s="13" t="n"/>
      <c r="B74" s="14">
        <f>IF(OR(A74="",Configurações!$B$5=""),"",INT((A74-Configurações!$B$5)/7)+1)</f>
        <v/>
      </c>
      <c r="C74" s="15" t="n"/>
      <c r="D74" s="15" t="n"/>
      <c r="E74" s="15" t="n"/>
      <c r="F74" s="15" t="n"/>
      <c r="G74" s="14">
        <f>IF(F74="","",VALUE(LEFT(F74,1)))</f>
        <v/>
      </c>
      <c r="H74" s="15" t="n"/>
      <c r="I74" s="15" t="n"/>
      <c r="J74" s="15" t="n"/>
      <c r="K74" s="13" t="n"/>
    </row>
    <row r="75">
      <c r="A75" s="13" t="n"/>
      <c r="B75" s="14">
        <f>IF(OR(A75="",Configurações!$B$5=""),"",INT((A75-Configurações!$B$5)/7)+1)</f>
        <v/>
      </c>
      <c r="C75" s="15" t="n"/>
      <c r="D75" s="15" t="n"/>
      <c r="E75" s="15" t="n"/>
      <c r="F75" s="15" t="n"/>
      <c r="G75" s="14">
        <f>IF(F75="","",VALUE(LEFT(F75,1)))</f>
        <v/>
      </c>
      <c r="H75" s="15" t="n"/>
      <c r="I75" s="15" t="n"/>
      <c r="J75" s="15" t="n"/>
      <c r="K75" s="13" t="n"/>
    </row>
    <row r="76">
      <c r="A76" s="13" t="n"/>
      <c r="B76" s="14">
        <f>IF(OR(A76="",Configurações!$B$5=""),"",INT((A76-Configurações!$B$5)/7)+1)</f>
        <v/>
      </c>
      <c r="C76" s="15" t="n"/>
      <c r="D76" s="15" t="n"/>
      <c r="E76" s="15" t="n"/>
      <c r="F76" s="15" t="n"/>
      <c r="G76" s="14">
        <f>IF(F76="","",VALUE(LEFT(F76,1)))</f>
        <v/>
      </c>
      <c r="H76" s="15" t="n"/>
      <c r="I76" s="15" t="n"/>
      <c r="J76" s="15" t="n"/>
      <c r="K76" s="13" t="n"/>
    </row>
    <row r="77">
      <c r="A77" s="13" t="n"/>
      <c r="B77" s="14">
        <f>IF(OR(A77="",Configurações!$B$5=""),"",INT((A77-Configurações!$B$5)/7)+1)</f>
        <v/>
      </c>
      <c r="C77" s="15" t="n"/>
      <c r="D77" s="15" t="n"/>
      <c r="E77" s="15" t="n"/>
      <c r="F77" s="15" t="n"/>
      <c r="G77" s="14">
        <f>IF(F77="","",VALUE(LEFT(F77,1)))</f>
        <v/>
      </c>
      <c r="H77" s="15" t="n"/>
      <c r="I77" s="15" t="n"/>
      <c r="J77" s="15" t="n"/>
      <c r="K77" s="13" t="n"/>
    </row>
    <row r="78">
      <c r="A78" s="13" t="n"/>
      <c r="B78" s="14">
        <f>IF(OR(A78="",Configurações!$B$5=""),"",INT((A78-Configurações!$B$5)/7)+1)</f>
        <v/>
      </c>
      <c r="C78" s="15" t="n"/>
      <c r="D78" s="15" t="n"/>
      <c r="E78" s="15" t="n"/>
      <c r="F78" s="15" t="n"/>
      <c r="G78" s="14">
        <f>IF(F78="","",VALUE(LEFT(F78,1)))</f>
        <v/>
      </c>
      <c r="H78" s="15" t="n"/>
      <c r="I78" s="15" t="n"/>
      <c r="J78" s="15" t="n"/>
      <c r="K78" s="13" t="n"/>
    </row>
    <row r="79">
      <c r="A79" s="13" t="n"/>
      <c r="B79" s="14">
        <f>IF(OR(A79="",Configurações!$B$5=""),"",INT((A79-Configurações!$B$5)/7)+1)</f>
        <v/>
      </c>
      <c r="C79" s="15" t="n"/>
      <c r="D79" s="15" t="n"/>
      <c r="E79" s="15" t="n"/>
      <c r="F79" s="15" t="n"/>
      <c r="G79" s="14">
        <f>IF(F79="","",VALUE(LEFT(F79,1)))</f>
        <v/>
      </c>
      <c r="H79" s="15" t="n"/>
      <c r="I79" s="15" t="n"/>
      <c r="J79" s="15" t="n"/>
      <c r="K79" s="13" t="n"/>
    </row>
    <row r="80">
      <c r="A80" s="13" t="n"/>
      <c r="B80" s="14">
        <f>IF(OR(A80="",Configurações!$B$5=""),"",INT((A80-Configurações!$B$5)/7)+1)</f>
        <v/>
      </c>
      <c r="C80" s="15" t="n"/>
      <c r="D80" s="15" t="n"/>
      <c r="E80" s="15" t="n"/>
      <c r="F80" s="15" t="n"/>
      <c r="G80" s="14">
        <f>IF(F80="","",VALUE(LEFT(F80,1)))</f>
        <v/>
      </c>
      <c r="H80" s="15" t="n"/>
      <c r="I80" s="15" t="n"/>
      <c r="J80" s="15" t="n"/>
      <c r="K80" s="13" t="n"/>
    </row>
    <row r="81">
      <c r="A81" s="13" t="n"/>
      <c r="B81" s="14">
        <f>IF(OR(A81="",Configurações!$B$5=""),"",INT((A81-Configurações!$B$5)/7)+1)</f>
        <v/>
      </c>
      <c r="C81" s="15" t="n"/>
      <c r="D81" s="15" t="n"/>
      <c r="E81" s="15" t="n"/>
      <c r="F81" s="15" t="n"/>
      <c r="G81" s="14">
        <f>IF(F81="","",VALUE(LEFT(F81,1)))</f>
        <v/>
      </c>
      <c r="H81" s="15" t="n"/>
      <c r="I81" s="15" t="n"/>
      <c r="J81" s="15" t="n"/>
      <c r="K81" s="13" t="n"/>
    </row>
    <row r="82">
      <c r="A82" s="13" t="n"/>
      <c r="B82" s="14">
        <f>IF(OR(A82="",Configurações!$B$5=""),"",INT((A82-Configurações!$B$5)/7)+1)</f>
        <v/>
      </c>
      <c r="C82" s="15" t="n"/>
      <c r="D82" s="15" t="n"/>
      <c r="E82" s="15" t="n"/>
      <c r="F82" s="15" t="n"/>
      <c r="G82" s="14">
        <f>IF(F82="","",VALUE(LEFT(F82,1)))</f>
        <v/>
      </c>
      <c r="H82" s="15" t="n"/>
      <c r="I82" s="15" t="n"/>
      <c r="J82" s="15" t="n"/>
      <c r="K82" s="13" t="n"/>
    </row>
    <row r="83">
      <c r="A83" s="13" t="n"/>
      <c r="B83" s="14">
        <f>IF(OR(A83="",Configurações!$B$5=""),"",INT((A83-Configurações!$B$5)/7)+1)</f>
        <v/>
      </c>
      <c r="C83" s="15" t="n"/>
      <c r="D83" s="15" t="n"/>
      <c r="E83" s="15" t="n"/>
      <c r="F83" s="15" t="n"/>
      <c r="G83" s="14">
        <f>IF(F83="","",VALUE(LEFT(F83,1)))</f>
        <v/>
      </c>
      <c r="H83" s="15" t="n"/>
      <c r="I83" s="15" t="n"/>
      <c r="J83" s="15" t="n"/>
      <c r="K83" s="13" t="n"/>
    </row>
    <row r="84">
      <c r="A84" s="13" t="n"/>
      <c r="B84" s="14">
        <f>IF(OR(A84="",Configurações!$B$5=""),"",INT((A84-Configurações!$B$5)/7)+1)</f>
        <v/>
      </c>
      <c r="C84" s="15" t="n"/>
      <c r="D84" s="15" t="n"/>
      <c r="E84" s="15" t="n"/>
      <c r="F84" s="15" t="n"/>
      <c r="G84" s="14">
        <f>IF(F84="","",VALUE(LEFT(F84,1)))</f>
        <v/>
      </c>
      <c r="H84" s="15" t="n"/>
      <c r="I84" s="15" t="n"/>
      <c r="J84" s="15" t="n"/>
      <c r="K84" s="13" t="n"/>
    </row>
    <row r="85">
      <c r="A85" s="13" t="n"/>
      <c r="B85" s="14">
        <f>IF(OR(A85="",Configurações!$B$5=""),"",INT((A85-Configurações!$B$5)/7)+1)</f>
        <v/>
      </c>
      <c r="C85" s="15" t="n"/>
      <c r="D85" s="15" t="n"/>
      <c r="E85" s="15" t="n"/>
      <c r="F85" s="15" t="n"/>
      <c r="G85" s="14">
        <f>IF(F85="","",VALUE(LEFT(F85,1)))</f>
        <v/>
      </c>
      <c r="H85" s="15" t="n"/>
      <c r="I85" s="15" t="n"/>
      <c r="J85" s="15" t="n"/>
      <c r="K85" s="13" t="n"/>
    </row>
    <row r="86">
      <c r="A86" s="13" t="n"/>
      <c r="B86" s="14">
        <f>IF(OR(A86="",Configurações!$B$5=""),"",INT((A86-Configurações!$B$5)/7)+1)</f>
        <v/>
      </c>
      <c r="C86" s="15" t="n"/>
      <c r="D86" s="15" t="n"/>
      <c r="E86" s="15" t="n"/>
      <c r="F86" s="15" t="n"/>
      <c r="G86" s="14">
        <f>IF(F86="","",VALUE(LEFT(F86,1)))</f>
        <v/>
      </c>
      <c r="H86" s="15" t="n"/>
      <c r="I86" s="15" t="n"/>
      <c r="J86" s="15" t="n"/>
      <c r="K86" s="13" t="n"/>
    </row>
    <row r="87">
      <c r="A87" s="13" t="n"/>
      <c r="B87" s="14">
        <f>IF(OR(A87="",Configurações!$B$5=""),"",INT((A87-Configurações!$B$5)/7)+1)</f>
        <v/>
      </c>
      <c r="C87" s="15" t="n"/>
      <c r="D87" s="15" t="n"/>
      <c r="E87" s="15" t="n"/>
      <c r="F87" s="15" t="n"/>
      <c r="G87" s="14">
        <f>IF(F87="","",VALUE(LEFT(F87,1)))</f>
        <v/>
      </c>
      <c r="H87" s="15" t="n"/>
      <c r="I87" s="15" t="n"/>
      <c r="J87" s="15" t="n"/>
      <c r="K87" s="13" t="n"/>
    </row>
    <row r="88">
      <c r="A88" s="13" t="n"/>
      <c r="B88" s="14">
        <f>IF(OR(A88="",Configurações!$B$5=""),"",INT((A88-Configurações!$B$5)/7)+1)</f>
        <v/>
      </c>
      <c r="C88" s="15" t="n"/>
      <c r="D88" s="15" t="n"/>
      <c r="E88" s="15" t="n"/>
      <c r="F88" s="15" t="n"/>
      <c r="G88" s="14">
        <f>IF(F88="","",VALUE(LEFT(F88,1)))</f>
        <v/>
      </c>
      <c r="H88" s="15" t="n"/>
      <c r="I88" s="15" t="n"/>
      <c r="J88" s="15" t="n"/>
      <c r="K88" s="13" t="n"/>
    </row>
    <row r="89">
      <c r="A89" s="13" t="n"/>
      <c r="B89" s="14">
        <f>IF(OR(A89="",Configurações!$B$5=""),"",INT((A89-Configurações!$B$5)/7)+1)</f>
        <v/>
      </c>
      <c r="C89" s="15" t="n"/>
      <c r="D89" s="15" t="n"/>
      <c r="E89" s="15" t="n"/>
      <c r="F89" s="15" t="n"/>
      <c r="G89" s="14">
        <f>IF(F89="","",VALUE(LEFT(F89,1)))</f>
        <v/>
      </c>
      <c r="H89" s="15" t="n"/>
      <c r="I89" s="15" t="n"/>
      <c r="J89" s="15" t="n"/>
      <c r="K89" s="13" t="n"/>
    </row>
    <row r="90">
      <c r="A90" s="13" t="n"/>
      <c r="B90" s="14">
        <f>IF(OR(A90="",Configurações!$B$5=""),"",INT((A90-Configurações!$B$5)/7)+1)</f>
        <v/>
      </c>
      <c r="C90" s="15" t="n"/>
      <c r="D90" s="15" t="n"/>
      <c r="E90" s="15" t="n"/>
      <c r="F90" s="15" t="n"/>
      <c r="G90" s="14">
        <f>IF(F90="","",VALUE(LEFT(F90,1)))</f>
        <v/>
      </c>
      <c r="H90" s="15" t="n"/>
      <c r="I90" s="15" t="n"/>
      <c r="J90" s="15" t="n"/>
      <c r="K90" s="13" t="n"/>
    </row>
    <row r="91">
      <c r="A91" s="13" t="n"/>
      <c r="B91" s="14">
        <f>IF(OR(A91="",Configurações!$B$5=""),"",INT((A91-Configurações!$B$5)/7)+1)</f>
        <v/>
      </c>
      <c r="C91" s="15" t="n"/>
      <c r="D91" s="15" t="n"/>
      <c r="E91" s="15" t="n"/>
      <c r="F91" s="15" t="n"/>
      <c r="G91" s="14">
        <f>IF(F91="","",VALUE(LEFT(F91,1)))</f>
        <v/>
      </c>
      <c r="H91" s="15" t="n"/>
      <c r="I91" s="15" t="n"/>
      <c r="J91" s="15" t="n"/>
      <c r="K91" s="13" t="n"/>
    </row>
    <row r="92">
      <c r="A92" s="13" t="n"/>
      <c r="B92" s="14">
        <f>IF(OR(A92="",Configurações!$B$5=""),"",INT((A92-Configurações!$B$5)/7)+1)</f>
        <v/>
      </c>
      <c r="C92" s="15" t="n"/>
      <c r="D92" s="15" t="n"/>
      <c r="E92" s="15" t="n"/>
      <c r="F92" s="15" t="n"/>
      <c r="G92" s="14">
        <f>IF(F92="","",VALUE(LEFT(F92,1)))</f>
        <v/>
      </c>
      <c r="H92" s="15" t="n"/>
      <c r="I92" s="15" t="n"/>
      <c r="J92" s="15" t="n"/>
      <c r="K92" s="13" t="n"/>
    </row>
    <row r="93">
      <c r="A93" s="13" t="n"/>
      <c r="B93" s="14">
        <f>IF(OR(A93="",Configurações!$B$5=""),"",INT((A93-Configurações!$B$5)/7)+1)</f>
        <v/>
      </c>
      <c r="C93" s="15" t="n"/>
      <c r="D93" s="15" t="n"/>
      <c r="E93" s="15" t="n"/>
      <c r="F93" s="15" t="n"/>
      <c r="G93" s="14">
        <f>IF(F93="","",VALUE(LEFT(F93,1)))</f>
        <v/>
      </c>
      <c r="H93" s="15" t="n"/>
      <c r="I93" s="15" t="n"/>
      <c r="J93" s="15" t="n"/>
      <c r="K93" s="13" t="n"/>
    </row>
    <row r="94">
      <c r="A94" s="13" t="n"/>
      <c r="B94" s="14">
        <f>IF(OR(A94="",Configurações!$B$5=""),"",INT((A94-Configurações!$B$5)/7)+1)</f>
        <v/>
      </c>
      <c r="C94" s="15" t="n"/>
      <c r="D94" s="15" t="n"/>
      <c r="E94" s="15" t="n"/>
      <c r="F94" s="15" t="n"/>
      <c r="G94" s="14">
        <f>IF(F94="","",VALUE(LEFT(F94,1)))</f>
        <v/>
      </c>
      <c r="H94" s="15" t="n"/>
      <c r="I94" s="15" t="n"/>
      <c r="J94" s="15" t="n"/>
      <c r="K94" s="13" t="n"/>
    </row>
    <row r="95">
      <c r="A95" s="13" t="n"/>
      <c r="B95" s="14">
        <f>IF(OR(A95="",Configurações!$B$5=""),"",INT((A95-Configurações!$B$5)/7)+1)</f>
        <v/>
      </c>
      <c r="C95" s="15" t="n"/>
      <c r="D95" s="15" t="n"/>
      <c r="E95" s="15" t="n"/>
      <c r="F95" s="15" t="n"/>
      <c r="G95" s="14">
        <f>IF(F95="","",VALUE(LEFT(F95,1)))</f>
        <v/>
      </c>
      <c r="H95" s="15" t="n"/>
      <c r="I95" s="15" t="n"/>
      <c r="J95" s="15" t="n"/>
      <c r="K95" s="13" t="n"/>
    </row>
    <row r="96">
      <c r="A96" s="13" t="n"/>
      <c r="B96" s="14">
        <f>IF(OR(A96="",Configurações!$B$5=""),"",INT((A96-Configurações!$B$5)/7)+1)</f>
        <v/>
      </c>
      <c r="C96" s="15" t="n"/>
      <c r="D96" s="15" t="n"/>
      <c r="E96" s="15" t="n"/>
      <c r="F96" s="15" t="n"/>
      <c r="G96" s="14">
        <f>IF(F96="","",VALUE(LEFT(F96,1)))</f>
        <v/>
      </c>
      <c r="H96" s="15" t="n"/>
      <c r="I96" s="15" t="n"/>
      <c r="J96" s="15" t="n"/>
      <c r="K96" s="13" t="n"/>
    </row>
    <row r="97">
      <c r="A97" s="13" t="n"/>
      <c r="B97" s="14">
        <f>IF(OR(A97="",Configurações!$B$5=""),"",INT((A97-Configurações!$B$5)/7)+1)</f>
        <v/>
      </c>
      <c r="C97" s="15" t="n"/>
      <c r="D97" s="15" t="n"/>
      <c r="E97" s="15" t="n"/>
      <c r="F97" s="15" t="n"/>
      <c r="G97" s="14">
        <f>IF(F97="","",VALUE(LEFT(F97,1)))</f>
        <v/>
      </c>
      <c r="H97" s="15" t="n"/>
      <c r="I97" s="15" t="n"/>
      <c r="J97" s="15" t="n"/>
      <c r="K97" s="13" t="n"/>
    </row>
    <row r="98">
      <c r="A98" s="13" t="n"/>
      <c r="B98" s="14">
        <f>IF(OR(A98="",Configurações!$B$5=""),"",INT((A98-Configurações!$B$5)/7)+1)</f>
        <v/>
      </c>
      <c r="C98" s="15" t="n"/>
      <c r="D98" s="15" t="n"/>
      <c r="E98" s="15" t="n"/>
      <c r="F98" s="15" t="n"/>
      <c r="G98" s="14">
        <f>IF(F98="","",VALUE(LEFT(F98,1)))</f>
        <v/>
      </c>
      <c r="H98" s="15" t="n"/>
      <c r="I98" s="15" t="n"/>
      <c r="J98" s="15" t="n"/>
      <c r="K98" s="13" t="n"/>
    </row>
    <row r="99">
      <c r="A99" s="13" t="n"/>
      <c r="B99" s="14">
        <f>IF(OR(A99="",Configurações!$B$5=""),"",INT((A99-Configurações!$B$5)/7)+1)</f>
        <v/>
      </c>
      <c r="C99" s="15" t="n"/>
      <c r="D99" s="15" t="n"/>
      <c r="E99" s="15" t="n"/>
      <c r="F99" s="15" t="n"/>
      <c r="G99" s="14">
        <f>IF(F99="","",VALUE(LEFT(F99,1)))</f>
        <v/>
      </c>
      <c r="H99" s="15" t="n"/>
      <c r="I99" s="15" t="n"/>
      <c r="J99" s="15" t="n"/>
      <c r="K99" s="13" t="n"/>
    </row>
    <row r="100">
      <c r="A100" s="13" t="n"/>
      <c r="B100" s="14">
        <f>IF(OR(A100="",Configurações!$B$5=""),"",INT((A100-Configurações!$B$5)/7)+1)</f>
        <v/>
      </c>
      <c r="C100" s="15" t="n"/>
      <c r="D100" s="15" t="n"/>
      <c r="E100" s="15" t="n"/>
      <c r="F100" s="15" t="n"/>
      <c r="G100" s="14">
        <f>IF(F100="","",VALUE(LEFT(F100,1)))</f>
        <v/>
      </c>
      <c r="H100" s="15" t="n"/>
      <c r="I100" s="15" t="n"/>
      <c r="J100" s="15" t="n"/>
      <c r="K100" s="13" t="n"/>
    </row>
    <row r="101">
      <c r="A101" s="13" t="n"/>
      <c r="B101" s="14">
        <f>IF(OR(A101="",Configurações!$B$5=""),"",INT((A101-Configurações!$B$5)/7)+1)</f>
        <v/>
      </c>
      <c r="C101" s="15" t="n"/>
      <c r="D101" s="15" t="n"/>
      <c r="E101" s="15" t="n"/>
      <c r="F101" s="15" t="n"/>
      <c r="G101" s="14">
        <f>IF(F101="","",VALUE(LEFT(F101,1)))</f>
        <v/>
      </c>
      <c r="H101" s="15" t="n"/>
      <c r="I101" s="15" t="n"/>
      <c r="J101" s="15" t="n"/>
      <c r="K101" s="13" t="n"/>
    </row>
    <row r="102">
      <c r="A102" s="13" t="n"/>
      <c r="B102" s="14">
        <f>IF(OR(A102="",Configurações!$B$5=""),"",INT((A102-Configurações!$B$5)/7)+1)</f>
        <v/>
      </c>
      <c r="C102" s="15" t="n"/>
      <c r="D102" s="15" t="n"/>
      <c r="E102" s="15" t="n"/>
      <c r="F102" s="15" t="n"/>
      <c r="G102" s="14">
        <f>IF(F102="","",VALUE(LEFT(F102,1)))</f>
        <v/>
      </c>
      <c r="H102" s="15" t="n"/>
      <c r="I102" s="15" t="n"/>
      <c r="J102" s="15" t="n"/>
      <c r="K102" s="13" t="n"/>
    </row>
    <row r="103">
      <c r="A103" s="13" t="n"/>
      <c r="B103" s="14">
        <f>IF(OR(A103="",Configurações!$B$5=""),"",INT((A103-Configurações!$B$5)/7)+1)</f>
        <v/>
      </c>
      <c r="C103" s="15" t="n"/>
      <c r="D103" s="15" t="n"/>
      <c r="E103" s="15" t="n"/>
      <c r="F103" s="15" t="n"/>
      <c r="G103" s="14">
        <f>IF(F103="","",VALUE(LEFT(F103,1)))</f>
        <v/>
      </c>
      <c r="H103" s="15" t="n"/>
      <c r="I103" s="15" t="n"/>
      <c r="J103" s="15" t="n"/>
      <c r="K103" s="13" t="n"/>
    </row>
    <row r="104">
      <c r="A104" s="13" t="n"/>
      <c r="B104" s="14">
        <f>IF(OR(A104="",Configurações!$B$5=""),"",INT((A104-Configurações!$B$5)/7)+1)</f>
        <v/>
      </c>
      <c r="C104" s="15" t="n"/>
      <c r="D104" s="15" t="n"/>
      <c r="E104" s="15" t="n"/>
      <c r="F104" s="15" t="n"/>
      <c r="G104" s="14">
        <f>IF(F104="","",VALUE(LEFT(F104,1)))</f>
        <v/>
      </c>
      <c r="H104" s="15" t="n"/>
      <c r="I104" s="15" t="n"/>
      <c r="J104" s="15" t="n"/>
      <c r="K104" s="13" t="n"/>
    </row>
    <row r="105">
      <c r="A105" s="13" t="n"/>
      <c r="B105" s="14">
        <f>IF(OR(A105="",Configurações!$B$5=""),"",INT((A105-Configurações!$B$5)/7)+1)</f>
        <v/>
      </c>
      <c r="C105" s="15" t="n"/>
      <c r="D105" s="15" t="n"/>
      <c r="E105" s="15" t="n"/>
      <c r="F105" s="15" t="n"/>
      <c r="G105" s="14">
        <f>IF(F105="","",VALUE(LEFT(F105,1)))</f>
        <v/>
      </c>
      <c r="H105" s="15" t="n"/>
      <c r="I105" s="15" t="n"/>
      <c r="J105" s="15" t="n"/>
      <c r="K105" s="13" t="n"/>
    </row>
    <row r="106">
      <c r="A106" s="13" t="n"/>
      <c r="B106" s="14">
        <f>IF(OR(A106="",Configurações!$B$5=""),"",INT((A106-Configurações!$B$5)/7)+1)</f>
        <v/>
      </c>
      <c r="C106" s="15" t="n"/>
      <c r="D106" s="15" t="n"/>
      <c r="E106" s="15" t="n"/>
      <c r="F106" s="15" t="n"/>
      <c r="G106" s="14">
        <f>IF(F106="","",VALUE(LEFT(F106,1)))</f>
        <v/>
      </c>
      <c r="H106" s="15" t="n"/>
      <c r="I106" s="15" t="n"/>
      <c r="J106" s="15" t="n"/>
      <c r="K106" s="13" t="n"/>
    </row>
    <row r="107">
      <c r="A107" s="13" t="n"/>
      <c r="B107" s="14">
        <f>IF(OR(A107="",Configurações!$B$5=""),"",INT((A107-Configurações!$B$5)/7)+1)</f>
        <v/>
      </c>
      <c r="C107" s="15" t="n"/>
      <c r="D107" s="15" t="n"/>
      <c r="E107" s="15" t="n"/>
      <c r="F107" s="15" t="n"/>
      <c r="G107" s="14">
        <f>IF(F107="","",VALUE(LEFT(F107,1)))</f>
        <v/>
      </c>
      <c r="H107" s="15" t="n"/>
      <c r="I107" s="15" t="n"/>
      <c r="J107" s="15" t="n"/>
      <c r="K107" s="13" t="n"/>
    </row>
    <row r="108">
      <c r="A108" s="13" t="n"/>
      <c r="B108" s="14">
        <f>IF(OR(A108="",Configurações!$B$5=""),"",INT((A108-Configurações!$B$5)/7)+1)</f>
        <v/>
      </c>
      <c r="C108" s="15" t="n"/>
      <c r="D108" s="15" t="n"/>
      <c r="E108" s="15" t="n"/>
      <c r="F108" s="15" t="n"/>
      <c r="G108" s="14">
        <f>IF(F108="","",VALUE(LEFT(F108,1)))</f>
        <v/>
      </c>
      <c r="H108" s="15" t="n"/>
      <c r="I108" s="15" t="n"/>
      <c r="J108" s="15" t="n"/>
      <c r="K108" s="13" t="n"/>
    </row>
    <row r="109">
      <c r="A109" s="13" t="n"/>
      <c r="B109" s="14">
        <f>IF(OR(A109="",Configurações!$B$5=""),"",INT((A109-Configurações!$B$5)/7)+1)</f>
        <v/>
      </c>
      <c r="C109" s="15" t="n"/>
      <c r="D109" s="15" t="n"/>
      <c r="E109" s="15" t="n"/>
      <c r="F109" s="15" t="n"/>
      <c r="G109" s="14">
        <f>IF(F109="","",VALUE(LEFT(F109,1)))</f>
        <v/>
      </c>
      <c r="H109" s="15" t="n"/>
      <c r="I109" s="15" t="n"/>
      <c r="J109" s="15" t="n"/>
      <c r="K109" s="13" t="n"/>
    </row>
    <row r="110">
      <c r="A110" s="13" t="n"/>
      <c r="B110" s="14">
        <f>IF(OR(A110="",Configurações!$B$5=""),"",INT((A110-Configurações!$B$5)/7)+1)</f>
        <v/>
      </c>
      <c r="C110" s="15" t="n"/>
      <c r="D110" s="15" t="n"/>
      <c r="E110" s="15" t="n"/>
      <c r="F110" s="15" t="n"/>
      <c r="G110" s="14">
        <f>IF(F110="","",VALUE(LEFT(F110,1)))</f>
        <v/>
      </c>
      <c r="H110" s="15" t="n"/>
      <c r="I110" s="15" t="n"/>
      <c r="J110" s="15" t="n"/>
      <c r="K110" s="13" t="n"/>
    </row>
    <row r="111">
      <c r="A111" s="13" t="n"/>
      <c r="B111" s="14">
        <f>IF(OR(A111="",Configurações!$B$5=""),"",INT((A111-Configurações!$B$5)/7)+1)</f>
        <v/>
      </c>
      <c r="C111" s="15" t="n"/>
      <c r="D111" s="15" t="n"/>
      <c r="E111" s="15" t="n"/>
      <c r="F111" s="15" t="n"/>
      <c r="G111" s="14">
        <f>IF(F111="","",VALUE(LEFT(F111,1)))</f>
        <v/>
      </c>
      <c r="H111" s="15" t="n"/>
      <c r="I111" s="15" t="n"/>
      <c r="J111" s="15" t="n"/>
      <c r="K111" s="13" t="n"/>
    </row>
    <row r="112">
      <c r="A112" s="13" t="n"/>
      <c r="B112" s="14">
        <f>IF(OR(A112="",Configurações!$B$5=""),"",INT((A112-Configurações!$B$5)/7)+1)</f>
        <v/>
      </c>
      <c r="C112" s="15" t="n"/>
      <c r="D112" s="15" t="n"/>
      <c r="E112" s="15" t="n"/>
      <c r="F112" s="15" t="n"/>
      <c r="G112" s="14">
        <f>IF(F112="","",VALUE(LEFT(F112,1)))</f>
        <v/>
      </c>
      <c r="H112" s="15" t="n"/>
      <c r="I112" s="15" t="n"/>
      <c r="J112" s="15" t="n"/>
      <c r="K112" s="13" t="n"/>
    </row>
    <row r="113">
      <c r="A113" s="13" t="n"/>
      <c r="B113" s="14">
        <f>IF(OR(A113="",Configurações!$B$5=""),"",INT((A113-Configurações!$B$5)/7)+1)</f>
        <v/>
      </c>
      <c r="C113" s="15" t="n"/>
      <c r="D113" s="15" t="n"/>
      <c r="E113" s="15" t="n"/>
      <c r="F113" s="15" t="n"/>
      <c r="G113" s="14">
        <f>IF(F113="","",VALUE(LEFT(F113,1)))</f>
        <v/>
      </c>
      <c r="H113" s="15" t="n"/>
      <c r="I113" s="15" t="n"/>
      <c r="J113" s="15" t="n"/>
      <c r="K113" s="13" t="n"/>
    </row>
    <row r="114">
      <c r="A114" s="13" t="n"/>
      <c r="B114" s="14">
        <f>IF(OR(A114="",Configurações!$B$5=""),"",INT((A114-Configurações!$B$5)/7)+1)</f>
        <v/>
      </c>
      <c r="C114" s="15" t="n"/>
      <c r="D114" s="15" t="n"/>
      <c r="E114" s="15" t="n"/>
      <c r="F114" s="15" t="n"/>
      <c r="G114" s="14">
        <f>IF(F114="","",VALUE(LEFT(F114,1)))</f>
        <v/>
      </c>
      <c r="H114" s="15" t="n"/>
      <c r="I114" s="15" t="n"/>
      <c r="J114" s="15" t="n"/>
      <c r="K114" s="13" t="n"/>
    </row>
    <row r="115">
      <c r="A115" s="13" t="n"/>
      <c r="B115" s="14">
        <f>IF(OR(A115="",Configurações!$B$5=""),"",INT((A115-Configurações!$B$5)/7)+1)</f>
        <v/>
      </c>
      <c r="C115" s="15" t="n"/>
      <c r="D115" s="15" t="n"/>
      <c r="E115" s="15" t="n"/>
      <c r="F115" s="15" t="n"/>
      <c r="G115" s="14">
        <f>IF(F115="","",VALUE(LEFT(F115,1)))</f>
        <v/>
      </c>
      <c r="H115" s="15" t="n"/>
      <c r="I115" s="15" t="n"/>
      <c r="J115" s="15" t="n"/>
      <c r="K115" s="13" t="n"/>
    </row>
    <row r="116">
      <c r="A116" s="13" t="n"/>
      <c r="B116" s="14">
        <f>IF(OR(A116="",Configurações!$B$5=""),"",INT((A116-Configurações!$B$5)/7)+1)</f>
        <v/>
      </c>
      <c r="C116" s="15" t="n"/>
      <c r="D116" s="15" t="n"/>
      <c r="E116" s="15" t="n"/>
      <c r="F116" s="15" t="n"/>
      <c r="G116" s="14">
        <f>IF(F116="","",VALUE(LEFT(F116,1)))</f>
        <v/>
      </c>
      <c r="H116" s="15" t="n"/>
      <c r="I116" s="15" t="n"/>
      <c r="J116" s="15" t="n"/>
      <c r="K116" s="13" t="n"/>
    </row>
    <row r="117">
      <c r="A117" s="13" t="n"/>
      <c r="B117" s="14">
        <f>IF(OR(A117="",Configurações!$B$5=""),"",INT((A117-Configurações!$B$5)/7)+1)</f>
        <v/>
      </c>
      <c r="C117" s="15" t="n"/>
      <c r="D117" s="15" t="n"/>
      <c r="E117" s="15" t="n"/>
      <c r="F117" s="15" t="n"/>
      <c r="G117" s="14">
        <f>IF(F117="","",VALUE(LEFT(F117,1)))</f>
        <v/>
      </c>
      <c r="H117" s="15" t="n"/>
      <c r="I117" s="15" t="n"/>
      <c r="J117" s="15" t="n"/>
      <c r="K117" s="13" t="n"/>
    </row>
    <row r="118">
      <c r="A118" s="13" t="n"/>
      <c r="B118" s="14">
        <f>IF(OR(A118="",Configurações!$B$5=""),"",INT((A118-Configurações!$B$5)/7)+1)</f>
        <v/>
      </c>
      <c r="C118" s="15" t="n"/>
      <c r="D118" s="15" t="n"/>
      <c r="E118" s="15" t="n"/>
      <c r="F118" s="15" t="n"/>
      <c r="G118" s="14">
        <f>IF(F118="","",VALUE(LEFT(F118,1)))</f>
        <v/>
      </c>
      <c r="H118" s="15" t="n"/>
      <c r="I118" s="15" t="n"/>
      <c r="J118" s="15" t="n"/>
      <c r="K118" s="13" t="n"/>
    </row>
    <row r="119">
      <c r="A119" s="13" t="n"/>
      <c r="B119" s="14">
        <f>IF(OR(A119="",Configurações!$B$5=""),"",INT((A119-Configurações!$B$5)/7)+1)</f>
        <v/>
      </c>
      <c r="C119" s="15" t="n"/>
      <c r="D119" s="15" t="n"/>
      <c r="E119" s="15" t="n"/>
      <c r="F119" s="15" t="n"/>
      <c r="G119" s="14">
        <f>IF(F119="","",VALUE(LEFT(F119,1)))</f>
        <v/>
      </c>
      <c r="H119" s="15" t="n"/>
      <c r="I119" s="15" t="n"/>
      <c r="J119" s="15" t="n"/>
      <c r="K119" s="13" t="n"/>
    </row>
    <row r="120">
      <c r="A120" s="13" t="n"/>
      <c r="B120" s="14">
        <f>IF(OR(A120="",Configurações!$B$5=""),"",INT((A120-Configurações!$B$5)/7)+1)</f>
        <v/>
      </c>
      <c r="C120" s="15" t="n"/>
      <c r="D120" s="15" t="n"/>
      <c r="E120" s="15" t="n"/>
      <c r="F120" s="15" t="n"/>
      <c r="G120" s="14">
        <f>IF(F120="","",VALUE(LEFT(F120,1)))</f>
        <v/>
      </c>
      <c r="H120" s="15" t="n"/>
      <c r="I120" s="15" t="n"/>
      <c r="J120" s="15" t="n"/>
      <c r="K120" s="13" t="n"/>
    </row>
    <row r="121">
      <c r="A121" s="13" t="n"/>
      <c r="B121" s="14">
        <f>IF(OR(A121="",Configurações!$B$5=""),"",INT((A121-Configurações!$B$5)/7)+1)</f>
        <v/>
      </c>
      <c r="C121" s="15" t="n"/>
      <c r="D121" s="15" t="n"/>
      <c r="E121" s="15" t="n"/>
      <c r="F121" s="15" t="n"/>
      <c r="G121" s="14">
        <f>IF(F121="","",VALUE(LEFT(F121,1)))</f>
        <v/>
      </c>
      <c r="H121" s="15" t="n"/>
      <c r="I121" s="15" t="n"/>
      <c r="J121" s="15" t="n"/>
      <c r="K121" s="13" t="n"/>
    </row>
    <row r="122">
      <c r="A122" s="13" t="n"/>
      <c r="B122" s="14">
        <f>IF(OR(A122="",Configurações!$B$5=""),"",INT((A122-Configurações!$B$5)/7)+1)</f>
        <v/>
      </c>
      <c r="C122" s="15" t="n"/>
      <c r="D122" s="15" t="n"/>
      <c r="E122" s="15" t="n"/>
      <c r="F122" s="15" t="n"/>
      <c r="G122" s="14">
        <f>IF(F122="","",VALUE(LEFT(F122,1)))</f>
        <v/>
      </c>
      <c r="H122" s="15" t="n"/>
      <c r="I122" s="15" t="n"/>
      <c r="J122" s="15" t="n"/>
      <c r="K122" s="13" t="n"/>
    </row>
    <row r="123">
      <c r="A123" s="13" t="n"/>
      <c r="B123" s="14">
        <f>IF(OR(A123="",Configurações!$B$5=""),"",INT((A123-Configurações!$B$5)/7)+1)</f>
        <v/>
      </c>
      <c r="C123" s="15" t="n"/>
      <c r="D123" s="15" t="n"/>
      <c r="E123" s="15" t="n"/>
      <c r="F123" s="15" t="n"/>
      <c r="G123" s="14">
        <f>IF(F123="","",VALUE(LEFT(F123,1)))</f>
        <v/>
      </c>
      <c r="H123" s="15" t="n"/>
      <c r="I123" s="15" t="n"/>
      <c r="J123" s="15" t="n"/>
      <c r="K123" s="13" t="n"/>
    </row>
    <row r="124">
      <c r="A124" s="13" t="n"/>
      <c r="B124" s="14">
        <f>IF(OR(A124="",Configurações!$B$5=""),"",INT((A124-Configurações!$B$5)/7)+1)</f>
        <v/>
      </c>
      <c r="C124" s="15" t="n"/>
      <c r="D124" s="15" t="n"/>
      <c r="E124" s="15" t="n"/>
      <c r="F124" s="15" t="n"/>
      <c r="G124" s="14">
        <f>IF(F124="","",VALUE(LEFT(F124,1)))</f>
        <v/>
      </c>
      <c r="H124" s="15" t="n"/>
      <c r="I124" s="15" t="n"/>
      <c r="J124" s="15" t="n"/>
      <c r="K124" s="13" t="n"/>
    </row>
    <row r="125">
      <c r="A125" s="13" t="n"/>
      <c r="B125" s="14">
        <f>IF(OR(A125="",Configurações!$B$5=""),"",INT((A125-Configurações!$B$5)/7)+1)</f>
        <v/>
      </c>
      <c r="C125" s="15" t="n"/>
      <c r="D125" s="15" t="n"/>
      <c r="E125" s="15" t="n"/>
      <c r="F125" s="15" t="n"/>
      <c r="G125" s="14">
        <f>IF(F125="","",VALUE(LEFT(F125,1)))</f>
        <v/>
      </c>
      <c r="H125" s="15" t="n"/>
      <c r="I125" s="15" t="n"/>
      <c r="J125" s="15" t="n"/>
      <c r="K125" s="13" t="n"/>
    </row>
    <row r="126">
      <c r="A126" s="13" t="n"/>
      <c r="B126" s="14">
        <f>IF(OR(A126="",Configurações!$B$5=""),"",INT((A126-Configurações!$B$5)/7)+1)</f>
        <v/>
      </c>
      <c r="C126" s="15" t="n"/>
      <c r="D126" s="15" t="n"/>
      <c r="E126" s="15" t="n"/>
      <c r="F126" s="15" t="n"/>
      <c r="G126" s="14">
        <f>IF(F126="","",VALUE(LEFT(F126,1)))</f>
        <v/>
      </c>
      <c r="H126" s="15" t="n"/>
      <c r="I126" s="15" t="n"/>
      <c r="J126" s="15" t="n"/>
      <c r="K126" s="13" t="n"/>
    </row>
    <row r="127">
      <c r="A127" s="13" t="n"/>
      <c r="B127" s="14">
        <f>IF(OR(A127="",Configurações!$B$5=""),"",INT((A127-Configurações!$B$5)/7)+1)</f>
        <v/>
      </c>
      <c r="C127" s="15" t="n"/>
      <c r="D127" s="15" t="n"/>
      <c r="E127" s="15" t="n"/>
      <c r="F127" s="15" t="n"/>
      <c r="G127" s="14">
        <f>IF(F127="","",VALUE(LEFT(F127,1)))</f>
        <v/>
      </c>
      <c r="H127" s="15" t="n"/>
      <c r="I127" s="15" t="n"/>
      <c r="J127" s="15" t="n"/>
      <c r="K127" s="13" t="n"/>
    </row>
    <row r="128">
      <c r="A128" s="13" t="n"/>
      <c r="B128" s="14">
        <f>IF(OR(A128="",Configurações!$B$5=""),"",INT((A128-Configurações!$B$5)/7)+1)</f>
        <v/>
      </c>
      <c r="C128" s="15" t="n"/>
      <c r="D128" s="15" t="n"/>
      <c r="E128" s="15" t="n"/>
      <c r="F128" s="15" t="n"/>
      <c r="G128" s="14">
        <f>IF(F128="","",VALUE(LEFT(F128,1)))</f>
        <v/>
      </c>
      <c r="H128" s="15" t="n"/>
      <c r="I128" s="15" t="n"/>
      <c r="J128" s="15" t="n"/>
      <c r="K128" s="13" t="n"/>
    </row>
    <row r="129">
      <c r="A129" s="13" t="n"/>
      <c r="B129" s="14">
        <f>IF(OR(A129="",Configurações!$B$5=""),"",INT((A129-Configurações!$B$5)/7)+1)</f>
        <v/>
      </c>
      <c r="C129" s="15" t="n"/>
      <c r="D129" s="15" t="n"/>
      <c r="E129" s="15" t="n"/>
      <c r="F129" s="15" t="n"/>
      <c r="G129" s="14">
        <f>IF(F129="","",VALUE(LEFT(F129,1)))</f>
        <v/>
      </c>
      <c r="H129" s="15" t="n"/>
      <c r="I129" s="15" t="n"/>
      <c r="J129" s="15" t="n"/>
      <c r="K129" s="13" t="n"/>
    </row>
    <row r="130">
      <c r="A130" s="13" t="n"/>
      <c r="B130" s="14">
        <f>IF(OR(A130="",Configurações!$B$5=""),"",INT((A130-Configurações!$B$5)/7)+1)</f>
        <v/>
      </c>
      <c r="C130" s="15" t="n"/>
      <c r="D130" s="15" t="n"/>
      <c r="E130" s="15" t="n"/>
      <c r="F130" s="15" t="n"/>
      <c r="G130" s="14">
        <f>IF(F130="","",VALUE(LEFT(F130,1)))</f>
        <v/>
      </c>
      <c r="H130" s="15" t="n"/>
      <c r="I130" s="15" t="n"/>
      <c r="J130" s="15" t="n"/>
      <c r="K130" s="13" t="n"/>
    </row>
    <row r="131">
      <c r="A131" s="13" t="n"/>
      <c r="B131" s="14">
        <f>IF(OR(A131="",Configurações!$B$5=""),"",INT((A131-Configurações!$B$5)/7)+1)</f>
        <v/>
      </c>
      <c r="C131" s="15" t="n"/>
      <c r="D131" s="15" t="n"/>
      <c r="E131" s="15" t="n"/>
      <c r="F131" s="15" t="n"/>
      <c r="G131" s="14">
        <f>IF(F131="","",VALUE(LEFT(F131,1)))</f>
        <v/>
      </c>
      <c r="H131" s="15" t="n"/>
      <c r="I131" s="15" t="n"/>
      <c r="J131" s="15" t="n"/>
      <c r="K131" s="13" t="n"/>
    </row>
    <row r="132">
      <c r="A132" s="13" t="n"/>
      <c r="B132" s="14">
        <f>IF(OR(A132="",Configurações!$B$5=""),"",INT((A132-Configurações!$B$5)/7)+1)</f>
        <v/>
      </c>
      <c r="C132" s="15" t="n"/>
      <c r="D132" s="15" t="n"/>
      <c r="E132" s="15" t="n"/>
      <c r="F132" s="15" t="n"/>
      <c r="G132" s="14">
        <f>IF(F132="","",VALUE(LEFT(F132,1)))</f>
        <v/>
      </c>
      <c r="H132" s="15" t="n"/>
      <c r="I132" s="15" t="n"/>
      <c r="J132" s="15" t="n"/>
      <c r="K132" s="13" t="n"/>
    </row>
    <row r="133">
      <c r="A133" s="13" t="n"/>
      <c r="B133" s="14">
        <f>IF(OR(A133="",Configurações!$B$5=""),"",INT((A133-Configurações!$B$5)/7)+1)</f>
        <v/>
      </c>
      <c r="C133" s="15" t="n"/>
      <c r="D133" s="15" t="n"/>
      <c r="E133" s="15" t="n"/>
      <c r="F133" s="15" t="n"/>
      <c r="G133" s="14">
        <f>IF(F133="","",VALUE(LEFT(F133,1)))</f>
        <v/>
      </c>
      <c r="H133" s="15" t="n"/>
      <c r="I133" s="15" t="n"/>
      <c r="J133" s="15" t="n"/>
      <c r="K133" s="13" t="n"/>
    </row>
    <row r="134">
      <c r="A134" s="13" t="n"/>
      <c r="B134" s="14">
        <f>IF(OR(A134="",Configurações!$B$5=""),"",INT((A134-Configurações!$B$5)/7)+1)</f>
        <v/>
      </c>
      <c r="C134" s="15" t="n"/>
      <c r="D134" s="15" t="n"/>
      <c r="E134" s="15" t="n"/>
      <c r="F134" s="15" t="n"/>
      <c r="G134" s="14">
        <f>IF(F134="","",VALUE(LEFT(F134,1)))</f>
        <v/>
      </c>
      <c r="H134" s="15" t="n"/>
      <c r="I134" s="15" t="n"/>
      <c r="J134" s="15" t="n"/>
      <c r="K134" s="13" t="n"/>
    </row>
    <row r="135">
      <c r="A135" s="13" t="n"/>
      <c r="B135" s="14">
        <f>IF(OR(A135="",Configurações!$B$5=""),"",INT((A135-Configurações!$B$5)/7)+1)</f>
        <v/>
      </c>
      <c r="C135" s="15" t="n"/>
      <c r="D135" s="15" t="n"/>
      <c r="E135" s="15" t="n"/>
      <c r="F135" s="15" t="n"/>
      <c r="G135" s="14">
        <f>IF(F135="","",VALUE(LEFT(F135,1)))</f>
        <v/>
      </c>
      <c r="H135" s="15" t="n"/>
      <c r="I135" s="15" t="n"/>
      <c r="J135" s="15" t="n"/>
      <c r="K135" s="13" t="n"/>
    </row>
    <row r="136">
      <c r="A136" s="13" t="n"/>
      <c r="B136" s="14">
        <f>IF(OR(A136="",Configurações!$B$5=""),"",INT((A136-Configurações!$B$5)/7)+1)</f>
        <v/>
      </c>
      <c r="C136" s="15" t="n"/>
      <c r="D136" s="15" t="n"/>
      <c r="E136" s="15" t="n"/>
      <c r="F136" s="15" t="n"/>
      <c r="G136" s="14">
        <f>IF(F136="","",VALUE(LEFT(F136,1)))</f>
        <v/>
      </c>
      <c r="H136" s="15" t="n"/>
      <c r="I136" s="15" t="n"/>
      <c r="J136" s="15" t="n"/>
      <c r="K136" s="13" t="n"/>
    </row>
    <row r="137">
      <c r="A137" s="13" t="n"/>
      <c r="B137" s="14">
        <f>IF(OR(A137="",Configurações!$B$5=""),"",INT((A137-Configurações!$B$5)/7)+1)</f>
        <v/>
      </c>
      <c r="C137" s="15" t="n"/>
      <c r="D137" s="15" t="n"/>
      <c r="E137" s="15" t="n"/>
      <c r="F137" s="15" t="n"/>
      <c r="G137" s="14">
        <f>IF(F137="","",VALUE(LEFT(F137,1)))</f>
        <v/>
      </c>
      <c r="H137" s="15" t="n"/>
      <c r="I137" s="15" t="n"/>
      <c r="J137" s="15" t="n"/>
      <c r="K137" s="13" t="n"/>
    </row>
    <row r="138">
      <c r="A138" s="13" t="n"/>
      <c r="B138" s="14">
        <f>IF(OR(A138="",Configurações!$B$5=""),"",INT((A138-Configurações!$B$5)/7)+1)</f>
        <v/>
      </c>
      <c r="C138" s="15" t="n"/>
      <c r="D138" s="15" t="n"/>
      <c r="E138" s="15" t="n"/>
      <c r="F138" s="15" t="n"/>
      <c r="G138" s="14">
        <f>IF(F138="","",VALUE(LEFT(F138,1)))</f>
        <v/>
      </c>
      <c r="H138" s="15" t="n"/>
      <c r="I138" s="15" t="n"/>
      <c r="J138" s="15" t="n"/>
      <c r="K138" s="13" t="n"/>
    </row>
    <row r="139">
      <c r="A139" s="13" t="n"/>
      <c r="B139" s="14">
        <f>IF(OR(A139="",Configurações!$B$5=""),"",INT((A139-Configurações!$B$5)/7)+1)</f>
        <v/>
      </c>
      <c r="C139" s="15" t="n"/>
      <c r="D139" s="15" t="n"/>
      <c r="E139" s="15" t="n"/>
      <c r="F139" s="15" t="n"/>
      <c r="G139" s="14">
        <f>IF(F139="","",VALUE(LEFT(F139,1)))</f>
        <v/>
      </c>
      <c r="H139" s="15" t="n"/>
      <c r="I139" s="15" t="n"/>
      <c r="J139" s="15" t="n"/>
      <c r="K139" s="13" t="n"/>
    </row>
    <row r="140">
      <c r="A140" s="13" t="n"/>
      <c r="B140" s="14">
        <f>IF(OR(A140="",Configurações!$B$5=""),"",INT((A140-Configurações!$B$5)/7)+1)</f>
        <v/>
      </c>
      <c r="C140" s="15" t="n"/>
      <c r="D140" s="15" t="n"/>
      <c r="E140" s="15" t="n"/>
      <c r="F140" s="15" t="n"/>
      <c r="G140" s="14">
        <f>IF(F140="","",VALUE(LEFT(F140,1)))</f>
        <v/>
      </c>
      <c r="H140" s="15" t="n"/>
      <c r="I140" s="15" t="n"/>
      <c r="J140" s="15" t="n"/>
      <c r="K140" s="13" t="n"/>
    </row>
    <row r="141">
      <c r="A141" s="13" t="n"/>
      <c r="B141" s="14">
        <f>IF(OR(A141="",Configurações!$B$5=""),"",INT((A141-Configurações!$B$5)/7)+1)</f>
        <v/>
      </c>
      <c r="C141" s="15" t="n"/>
      <c r="D141" s="15" t="n"/>
      <c r="E141" s="15" t="n"/>
      <c r="F141" s="15" t="n"/>
      <c r="G141" s="14">
        <f>IF(F141="","",VALUE(LEFT(F141,1)))</f>
        <v/>
      </c>
      <c r="H141" s="15" t="n"/>
      <c r="I141" s="15" t="n"/>
      <c r="J141" s="15" t="n"/>
      <c r="K141" s="13" t="n"/>
    </row>
    <row r="142">
      <c r="A142" s="13" t="n"/>
      <c r="B142" s="14">
        <f>IF(OR(A142="",Configurações!$B$5=""),"",INT((A142-Configurações!$B$5)/7)+1)</f>
        <v/>
      </c>
      <c r="C142" s="15" t="n"/>
      <c r="D142" s="15" t="n"/>
      <c r="E142" s="15" t="n"/>
      <c r="F142" s="15" t="n"/>
      <c r="G142" s="14">
        <f>IF(F142="","",VALUE(LEFT(F142,1)))</f>
        <v/>
      </c>
      <c r="H142" s="15" t="n"/>
      <c r="I142" s="15" t="n"/>
      <c r="J142" s="15" t="n"/>
      <c r="K142" s="13" t="n"/>
    </row>
    <row r="143">
      <c r="A143" s="13" t="n"/>
      <c r="B143" s="14">
        <f>IF(OR(A143="",Configurações!$B$5=""),"",INT((A143-Configurações!$B$5)/7)+1)</f>
        <v/>
      </c>
      <c r="C143" s="15" t="n"/>
      <c r="D143" s="15" t="n"/>
      <c r="E143" s="15" t="n"/>
      <c r="F143" s="15" t="n"/>
      <c r="G143" s="14">
        <f>IF(F143="","",VALUE(LEFT(F143,1)))</f>
        <v/>
      </c>
      <c r="H143" s="15" t="n"/>
      <c r="I143" s="15" t="n"/>
      <c r="J143" s="15" t="n"/>
      <c r="K143" s="13" t="n"/>
    </row>
    <row r="144">
      <c r="A144" s="13" t="n"/>
      <c r="B144" s="14">
        <f>IF(OR(A144="",Configurações!$B$5=""),"",INT((A144-Configurações!$B$5)/7)+1)</f>
        <v/>
      </c>
      <c r="C144" s="15" t="n"/>
      <c r="D144" s="15" t="n"/>
      <c r="E144" s="15" t="n"/>
      <c r="F144" s="15" t="n"/>
      <c r="G144" s="14">
        <f>IF(F144="","",VALUE(LEFT(F144,1)))</f>
        <v/>
      </c>
      <c r="H144" s="15" t="n"/>
      <c r="I144" s="15" t="n"/>
      <c r="J144" s="15" t="n"/>
      <c r="K144" s="13" t="n"/>
    </row>
    <row r="145">
      <c r="A145" s="13" t="n"/>
      <c r="B145" s="14">
        <f>IF(OR(A145="",Configurações!$B$5=""),"",INT((A145-Configurações!$B$5)/7)+1)</f>
        <v/>
      </c>
      <c r="C145" s="15" t="n"/>
      <c r="D145" s="15" t="n"/>
      <c r="E145" s="15" t="n"/>
      <c r="F145" s="15" t="n"/>
      <c r="G145" s="14">
        <f>IF(F145="","",VALUE(LEFT(F145,1)))</f>
        <v/>
      </c>
      <c r="H145" s="15" t="n"/>
      <c r="I145" s="15" t="n"/>
      <c r="J145" s="15" t="n"/>
      <c r="K145" s="13" t="n"/>
    </row>
    <row r="146">
      <c r="A146" s="13" t="n"/>
      <c r="B146" s="14">
        <f>IF(OR(A146="",Configurações!$B$5=""),"",INT((A146-Configurações!$B$5)/7)+1)</f>
        <v/>
      </c>
      <c r="C146" s="15" t="n"/>
      <c r="D146" s="15" t="n"/>
      <c r="E146" s="15" t="n"/>
      <c r="F146" s="15" t="n"/>
      <c r="G146" s="14">
        <f>IF(F146="","",VALUE(LEFT(F146,1)))</f>
        <v/>
      </c>
      <c r="H146" s="15" t="n"/>
      <c r="I146" s="15" t="n"/>
      <c r="J146" s="15" t="n"/>
      <c r="K146" s="13" t="n"/>
    </row>
    <row r="147">
      <c r="A147" s="13" t="n"/>
      <c r="B147" s="14">
        <f>IF(OR(A147="",Configurações!$B$5=""),"",INT((A147-Configurações!$B$5)/7)+1)</f>
        <v/>
      </c>
      <c r="C147" s="15" t="n"/>
      <c r="D147" s="15" t="n"/>
      <c r="E147" s="15" t="n"/>
      <c r="F147" s="15" t="n"/>
      <c r="G147" s="14">
        <f>IF(F147="","",VALUE(LEFT(F147,1)))</f>
        <v/>
      </c>
      <c r="H147" s="15" t="n"/>
      <c r="I147" s="15" t="n"/>
      <c r="J147" s="15" t="n"/>
      <c r="K147" s="13" t="n"/>
    </row>
    <row r="148">
      <c r="A148" s="13" t="n"/>
      <c r="B148" s="14">
        <f>IF(OR(A148="",Configurações!$B$5=""),"",INT((A148-Configurações!$B$5)/7)+1)</f>
        <v/>
      </c>
      <c r="C148" s="15" t="n"/>
      <c r="D148" s="15" t="n"/>
      <c r="E148" s="15" t="n"/>
      <c r="F148" s="15" t="n"/>
      <c r="G148" s="14">
        <f>IF(F148="","",VALUE(LEFT(F148,1)))</f>
        <v/>
      </c>
      <c r="H148" s="15" t="n"/>
      <c r="I148" s="15" t="n"/>
      <c r="J148" s="15" t="n"/>
      <c r="K148" s="13" t="n"/>
    </row>
    <row r="149">
      <c r="A149" s="13" t="n"/>
      <c r="B149" s="14">
        <f>IF(OR(A149="",Configurações!$B$5=""),"",INT((A149-Configurações!$B$5)/7)+1)</f>
        <v/>
      </c>
      <c r="C149" s="15" t="n"/>
      <c r="D149" s="15" t="n"/>
      <c r="E149" s="15" t="n"/>
      <c r="F149" s="15" t="n"/>
      <c r="G149" s="14">
        <f>IF(F149="","",VALUE(LEFT(F149,1)))</f>
        <v/>
      </c>
      <c r="H149" s="15" t="n"/>
      <c r="I149" s="15" t="n"/>
      <c r="J149" s="15" t="n"/>
      <c r="K149" s="13" t="n"/>
    </row>
    <row r="150">
      <c r="A150" s="13" t="n"/>
      <c r="B150" s="14">
        <f>IF(OR(A150="",Configurações!$B$5=""),"",INT((A150-Configurações!$B$5)/7)+1)</f>
        <v/>
      </c>
      <c r="C150" s="15" t="n"/>
      <c r="D150" s="15" t="n"/>
      <c r="E150" s="15" t="n"/>
      <c r="F150" s="15" t="n"/>
      <c r="G150" s="14">
        <f>IF(F150="","",VALUE(LEFT(F150,1)))</f>
        <v/>
      </c>
      <c r="H150" s="15" t="n"/>
      <c r="I150" s="15" t="n"/>
      <c r="J150" s="15" t="n"/>
      <c r="K150" s="13" t="n"/>
    </row>
    <row r="151">
      <c r="A151" s="13" t="n"/>
      <c r="B151" s="14">
        <f>IF(OR(A151="",Configurações!$B$5=""),"",INT((A151-Configurações!$B$5)/7)+1)</f>
        <v/>
      </c>
      <c r="C151" s="15" t="n"/>
      <c r="D151" s="15" t="n"/>
      <c r="E151" s="15" t="n"/>
      <c r="F151" s="15" t="n"/>
      <c r="G151" s="14">
        <f>IF(F151="","",VALUE(LEFT(F151,1)))</f>
        <v/>
      </c>
      <c r="H151" s="15" t="n"/>
      <c r="I151" s="15" t="n"/>
      <c r="J151" s="15" t="n"/>
      <c r="K151" s="13" t="n"/>
    </row>
    <row r="152">
      <c r="A152" s="13" t="n"/>
      <c r="B152" s="14">
        <f>IF(OR(A152="",Configurações!$B$5=""),"",INT((A152-Configurações!$B$5)/7)+1)</f>
        <v/>
      </c>
      <c r="C152" s="15" t="n"/>
      <c r="D152" s="15" t="n"/>
      <c r="E152" s="15" t="n"/>
      <c r="F152" s="15" t="n"/>
      <c r="G152" s="14">
        <f>IF(F152="","",VALUE(LEFT(F152,1)))</f>
        <v/>
      </c>
      <c r="H152" s="15" t="n"/>
      <c r="I152" s="15" t="n"/>
      <c r="J152" s="15" t="n"/>
      <c r="K152" s="13" t="n"/>
    </row>
    <row r="153">
      <c r="A153" s="13" t="n"/>
      <c r="B153" s="14">
        <f>IF(OR(A153="",Configurações!$B$5=""),"",INT((A153-Configurações!$B$5)/7)+1)</f>
        <v/>
      </c>
      <c r="C153" s="15" t="n"/>
      <c r="D153" s="15" t="n"/>
      <c r="E153" s="15" t="n"/>
      <c r="F153" s="15" t="n"/>
      <c r="G153" s="14">
        <f>IF(F153="","",VALUE(LEFT(F153,1)))</f>
        <v/>
      </c>
      <c r="H153" s="15" t="n"/>
      <c r="I153" s="15" t="n"/>
      <c r="J153" s="15" t="n"/>
      <c r="K153" s="13" t="n"/>
    </row>
    <row r="154">
      <c r="A154" s="13" t="n"/>
      <c r="B154" s="14">
        <f>IF(OR(A154="",Configurações!$B$5=""),"",INT((A154-Configurações!$B$5)/7)+1)</f>
        <v/>
      </c>
      <c r="C154" s="15" t="n"/>
      <c r="D154" s="15" t="n"/>
      <c r="E154" s="15" t="n"/>
      <c r="F154" s="15" t="n"/>
      <c r="G154" s="14">
        <f>IF(F154="","",VALUE(LEFT(F154,1)))</f>
        <v/>
      </c>
      <c r="H154" s="15" t="n"/>
      <c r="I154" s="15" t="n"/>
      <c r="J154" s="15" t="n"/>
      <c r="K154" s="13" t="n"/>
    </row>
    <row r="155">
      <c r="A155" s="13" t="n"/>
      <c r="B155" s="14">
        <f>IF(OR(A155="",Configurações!$B$5=""),"",INT((A155-Configurações!$B$5)/7)+1)</f>
        <v/>
      </c>
      <c r="C155" s="15" t="n"/>
      <c r="D155" s="15" t="n"/>
      <c r="E155" s="15" t="n"/>
      <c r="F155" s="15" t="n"/>
      <c r="G155" s="14">
        <f>IF(F155="","",VALUE(LEFT(F155,1)))</f>
        <v/>
      </c>
      <c r="H155" s="15" t="n"/>
      <c r="I155" s="15" t="n"/>
      <c r="J155" s="15" t="n"/>
      <c r="K155" s="13" t="n"/>
    </row>
    <row r="156">
      <c r="A156" s="13" t="n"/>
      <c r="B156" s="14">
        <f>IF(OR(A156="",Configurações!$B$5=""),"",INT((A156-Configurações!$B$5)/7)+1)</f>
        <v/>
      </c>
      <c r="C156" s="15" t="n"/>
      <c r="D156" s="15" t="n"/>
      <c r="E156" s="15" t="n"/>
      <c r="F156" s="15" t="n"/>
      <c r="G156" s="14">
        <f>IF(F156="","",VALUE(LEFT(F156,1)))</f>
        <v/>
      </c>
      <c r="H156" s="15" t="n"/>
      <c r="I156" s="15" t="n"/>
      <c r="J156" s="15" t="n"/>
      <c r="K156" s="13" t="n"/>
    </row>
    <row r="157">
      <c r="A157" s="13" t="n"/>
      <c r="B157" s="14">
        <f>IF(OR(A157="",Configurações!$B$5=""),"",INT((A157-Configurações!$B$5)/7)+1)</f>
        <v/>
      </c>
      <c r="C157" s="15" t="n"/>
      <c r="D157" s="15" t="n"/>
      <c r="E157" s="15" t="n"/>
      <c r="F157" s="15" t="n"/>
      <c r="G157" s="14">
        <f>IF(F157="","",VALUE(LEFT(F157,1)))</f>
        <v/>
      </c>
      <c r="H157" s="15" t="n"/>
      <c r="I157" s="15" t="n"/>
      <c r="J157" s="15" t="n"/>
      <c r="K157" s="13" t="n"/>
    </row>
    <row r="158">
      <c r="A158" s="13" t="n"/>
      <c r="B158" s="14">
        <f>IF(OR(A158="",Configurações!$B$5=""),"",INT((A158-Configurações!$B$5)/7)+1)</f>
        <v/>
      </c>
      <c r="C158" s="15" t="n"/>
      <c r="D158" s="15" t="n"/>
      <c r="E158" s="15" t="n"/>
      <c r="F158" s="15" t="n"/>
      <c r="G158" s="14">
        <f>IF(F158="","",VALUE(LEFT(F158,1)))</f>
        <v/>
      </c>
      <c r="H158" s="15" t="n"/>
      <c r="I158" s="15" t="n"/>
      <c r="J158" s="15" t="n"/>
      <c r="K158" s="13" t="n"/>
    </row>
    <row r="159">
      <c r="A159" s="13" t="n"/>
      <c r="B159" s="14">
        <f>IF(OR(A159="",Configurações!$B$5=""),"",INT((A159-Configurações!$B$5)/7)+1)</f>
        <v/>
      </c>
      <c r="C159" s="15" t="n"/>
      <c r="D159" s="15" t="n"/>
      <c r="E159" s="15" t="n"/>
      <c r="F159" s="15" t="n"/>
      <c r="G159" s="14">
        <f>IF(F159="","",VALUE(LEFT(F159,1)))</f>
        <v/>
      </c>
      <c r="H159" s="15" t="n"/>
      <c r="I159" s="15" t="n"/>
      <c r="J159" s="15" t="n"/>
      <c r="K159" s="13" t="n"/>
    </row>
    <row r="160">
      <c r="A160" s="13" t="n"/>
      <c r="B160" s="14">
        <f>IF(OR(A160="",Configurações!$B$5=""),"",INT((A160-Configurações!$B$5)/7)+1)</f>
        <v/>
      </c>
      <c r="C160" s="15" t="n"/>
      <c r="D160" s="15" t="n"/>
      <c r="E160" s="15" t="n"/>
      <c r="F160" s="15" t="n"/>
      <c r="G160" s="14">
        <f>IF(F160="","",VALUE(LEFT(F160,1)))</f>
        <v/>
      </c>
      <c r="H160" s="15" t="n"/>
      <c r="I160" s="15" t="n"/>
      <c r="J160" s="15" t="n"/>
      <c r="K160" s="13" t="n"/>
    </row>
    <row r="161">
      <c r="A161" s="13" t="n"/>
      <c r="B161" s="14">
        <f>IF(OR(A161="",Configurações!$B$5=""),"",INT((A161-Configurações!$B$5)/7)+1)</f>
        <v/>
      </c>
      <c r="C161" s="15" t="n"/>
      <c r="D161" s="15" t="n"/>
      <c r="E161" s="15" t="n"/>
      <c r="F161" s="15" t="n"/>
      <c r="G161" s="14">
        <f>IF(F161="","",VALUE(LEFT(F161,1)))</f>
        <v/>
      </c>
      <c r="H161" s="15" t="n"/>
      <c r="I161" s="15" t="n"/>
      <c r="J161" s="15" t="n"/>
      <c r="K161" s="13" t="n"/>
    </row>
    <row r="162">
      <c r="A162" s="13" t="n"/>
      <c r="B162" s="14">
        <f>IF(OR(A162="",Configurações!$B$5=""),"",INT((A162-Configurações!$B$5)/7)+1)</f>
        <v/>
      </c>
      <c r="C162" s="15" t="n"/>
      <c r="D162" s="15" t="n"/>
      <c r="E162" s="15" t="n"/>
      <c r="F162" s="15" t="n"/>
      <c r="G162" s="14">
        <f>IF(F162="","",VALUE(LEFT(F162,1)))</f>
        <v/>
      </c>
      <c r="H162" s="15" t="n"/>
      <c r="I162" s="15" t="n"/>
      <c r="J162" s="15" t="n"/>
      <c r="K162" s="13" t="n"/>
    </row>
    <row r="163">
      <c r="A163" s="13" t="n"/>
      <c r="B163" s="14">
        <f>IF(OR(A163="",Configurações!$B$5=""),"",INT((A163-Configurações!$B$5)/7)+1)</f>
        <v/>
      </c>
      <c r="C163" s="15" t="n"/>
      <c r="D163" s="15" t="n"/>
      <c r="E163" s="15" t="n"/>
      <c r="F163" s="15" t="n"/>
      <c r="G163" s="14">
        <f>IF(F163="","",VALUE(LEFT(F163,1)))</f>
        <v/>
      </c>
      <c r="H163" s="15" t="n"/>
      <c r="I163" s="15" t="n"/>
      <c r="J163" s="15" t="n"/>
      <c r="K163" s="13" t="n"/>
    </row>
    <row r="164">
      <c r="A164" s="13" t="n"/>
      <c r="B164" s="14">
        <f>IF(OR(A164="",Configurações!$B$5=""),"",INT((A164-Configurações!$B$5)/7)+1)</f>
        <v/>
      </c>
      <c r="C164" s="15" t="n"/>
      <c r="D164" s="15" t="n"/>
      <c r="E164" s="15" t="n"/>
      <c r="F164" s="15" t="n"/>
      <c r="G164" s="14">
        <f>IF(F164="","",VALUE(LEFT(F164,1)))</f>
        <v/>
      </c>
      <c r="H164" s="15" t="n"/>
      <c r="I164" s="15" t="n"/>
      <c r="J164" s="15" t="n"/>
      <c r="K164" s="13" t="n"/>
    </row>
    <row r="165">
      <c r="A165" s="13" t="n"/>
      <c r="B165" s="14">
        <f>IF(OR(A165="",Configurações!$B$5=""),"",INT((A165-Configurações!$B$5)/7)+1)</f>
        <v/>
      </c>
      <c r="C165" s="15" t="n"/>
      <c r="D165" s="15" t="n"/>
      <c r="E165" s="15" t="n"/>
      <c r="F165" s="15" t="n"/>
      <c r="G165" s="14">
        <f>IF(F165="","",VALUE(LEFT(F165,1)))</f>
        <v/>
      </c>
      <c r="H165" s="15" t="n"/>
      <c r="I165" s="15" t="n"/>
      <c r="J165" s="15" t="n"/>
      <c r="K165" s="13" t="n"/>
    </row>
    <row r="166">
      <c r="A166" s="13" t="n"/>
      <c r="B166" s="14">
        <f>IF(OR(A166="",Configurações!$B$5=""),"",INT((A166-Configurações!$B$5)/7)+1)</f>
        <v/>
      </c>
      <c r="C166" s="15" t="n"/>
      <c r="D166" s="15" t="n"/>
      <c r="E166" s="15" t="n"/>
      <c r="F166" s="15" t="n"/>
      <c r="G166" s="14">
        <f>IF(F166="","",VALUE(LEFT(F166,1)))</f>
        <v/>
      </c>
      <c r="H166" s="15" t="n"/>
      <c r="I166" s="15" t="n"/>
      <c r="J166" s="15" t="n"/>
      <c r="K166" s="13" t="n"/>
    </row>
    <row r="167">
      <c r="A167" s="13" t="n"/>
      <c r="B167" s="14">
        <f>IF(OR(A167="",Configurações!$B$5=""),"",INT((A167-Configurações!$B$5)/7)+1)</f>
        <v/>
      </c>
      <c r="C167" s="15" t="n"/>
      <c r="D167" s="15" t="n"/>
      <c r="E167" s="15" t="n"/>
      <c r="F167" s="15" t="n"/>
      <c r="G167" s="14">
        <f>IF(F167="","",VALUE(LEFT(F167,1)))</f>
        <v/>
      </c>
      <c r="H167" s="15" t="n"/>
      <c r="I167" s="15" t="n"/>
      <c r="J167" s="15" t="n"/>
      <c r="K167" s="13" t="n"/>
    </row>
    <row r="168">
      <c r="A168" s="13" t="n"/>
      <c r="B168" s="14">
        <f>IF(OR(A168="",Configurações!$B$5=""),"",INT((A168-Configurações!$B$5)/7)+1)</f>
        <v/>
      </c>
      <c r="C168" s="15" t="n"/>
      <c r="D168" s="15" t="n"/>
      <c r="E168" s="15" t="n"/>
      <c r="F168" s="15" t="n"/>
      <c r="G168" s="14">
        <f>IF(F168="","",VALUE(LEFT(F168,1)))</f>
        <v/>
      </c>
      <c r="H168" s="15" t="n"/>
      <c r="I168" s="15" t="n"/>
      <c r="J168" s="15" t="n"/>
      <c r="K168" s="13" t="n"/>
    </row>
    <row r="169">
      <c r="A169" s="13" t="n"/>
      <c r="B169" s="14">
        <f>IF(OR(A169="",Configurações!$B$5=""),"",INT((A169-Configurações!$B$5)/7)+1)</f>
        <v/>
      </c>
      <c r="C169" s="15" t="n"/>
      <c r="D169" s="15" t="n"/>
      <c r="E169" s="15" t="n"/>
      <c r="F169" s="15" t="n"/>
      <c r="G169" s="14">
        <f>IF(F169="","",VALUE(LEFT(F169,1)))</f>
        <v/>
      </c>
      <c r="H169" s="15" t="n"/>
      <c r="I169" s="15" t="n"/>
      <c r="J169" s="15" t="n"/>
      <c r="K169" s="13" t="n"/>
    </row>
    <row r="170">
      <c r="A170" s="13" t="n"/>
      <c r="B170" s="14">
        <f>IF(OR(A170="",Configurações!$B$5=""),"",INT((A170-Configurações!$B$5)/7)+1)</f>
        <v/>
      </c>
      <c r="C170" s="15" t="n"/>
      <c r="D170" s="15" t="n"/>
      <c r="E170" s="15" t="n"/>
      <c r="F170" s="15" t="n"/>
      <c r="G170" s="14">
        <f>IF(F170="","",VALUE(LEFT(F170,1)))</f>
        <v/>
      </c>
      <c r="H170" s="15" t="n"/>
      <c r="I170" s="15" t="n"/>
      <c r="J170" s="15" t="n"/>
      <c r="K170" s="13" t="n"/>
    </row>
    <row r="171">
      <c r="A171" s="13" t="n"/>
      <c r="B171" s="14">
        <f>IF(OR(A171="",Configurações!$B$5=""),"",INT((A171-Configurações!$B$5)/7)+1)</f>
        <v/>
      </c>
      <c r="C171" s="15" t="n"/>
      <c r="D171" s="15" t="n"/>
      <c r="E171" s="15" t="n"/>
      <c r="F171" s="15" t="n"/>
      <c r="G171" s="14">
        <f>IF(F171="","",VALUE(LEFT(F171,1)))</f>
        <v/>
      </c>
      <c r="H171" s="15" t="n"/>
      <c r="I171" s="15" t="n"/>
      <c r="J171" s="15" t="n"/>
      <c r="K171" s="13" t="n"/>
    </row>
    <row r="172">
      <c r="A172" s="13" t="n"/>
      <c r="B172" s="14">
        <f>IF(OR(A172="",Configurações!$B$5=""),"",INT((A172-Configurações!$B$5)/7)+1)</f>
        <v/>
      </c>
      <c r="C172" s="15" t="n"/>
      <c r="D172" s="15" t="n"/>
      <c r="E172" s="15" t="n"/>
      <c r="F172" s="15" t="n"/>
      <c r="G172" s="14">
        <f>IF(F172="","",VALUE(LEFT(F172,1)))</f>
        <v/>
      </c>
      <c r="H172" s="15" t="n"/>
      <c r="I172" s="15" t="n"/>
      <c r="J172" s="15" t="n"/>
      <c r="K172" s="13" t="n"/>
    </row>
    <row r="173">
      <c r="A173" s="13" t="n"/>
      <c r="B173" s="14">
        <f>IF(OR(A173="",Configurações!$B$5=""),"",INT((A173-Configurações!$B$5)/7)+1)</f>
        <v/>
      </c>
      <c r="C173" s="15" t="n"/>
      <c r="D173" s="15" t="n"/>
      <c r="E173" s="15" t="n"/>
      <c r="F173" s="15" t="n"/>
      <c r="G173" s="14">
        <f>IF(F173="","",VALUE(LEFT(F173,1)))</f>
        <v/>
      </c>
      <c r="H173" s="15" t="n"/>
      <c r="I173" s="15" t="n"/>
      <c r="J173" s="15" t="n"/>
      <c r="K173" s="13" t="n"/>
    </row>
    <row r="174">
      <c r="A174" s="13" t="n"/>
      <c r="B174" s="14">
        <f>IF(OR(A174="",Configurações!$B$5=""),"",INT((A174-Configurações!$B$5)/7)+1)</f>
        <v/>
      </c>
      <c r="C174" s="15" t="n"/>
      <c r="D174" s="15" t="n"/>
      <c r="E174" s="15" t="n"/>
      <c r="F174" s="15" t="n"/>
      <c r="G174" s="14">
        <f>IF(F174="","",VALUE(LEFT(F174,1)))</f>
        <v/>
      </c>
      <c r="H174" s="15" t="n"/>
      <c r="I174" s="15" t="n"/>
      <c r="J174" s="15" t="n"/>
      <c r="K174" s="13" t="n"/>
    </row>
    <row r="175">
      <c r="A175" s="13" t="n"/>
      <c r="B175" s="14">
        <f>IF(OR(A175="",Configurações!$B$5=""),"",INT((A175-Configurações!$B$5)/7)+1)</f>
        <v/>
      </c>
      <c r="C175" s="15" t="n"/>
      <c r="D175" s="15" t="n"/>
      <c r="E175" s="15" t="n"/>
      <c r="F175" s="15" t="n"/>
      <c r="G175" s="14">
        <f>IF(F175="","",VALUE(LEFT(F175,1)))</f>
        <v/>
      </c>
      <c r="H175" s="15" t="n"/>
      <c r="I175" s="15" t="n"/>
      <c r="J175" s="15" t="n"/>
      <c r="K175" s="13" t="n"/>
    </row>
    <row r="176">
      <c r="A176" s="13" t="n"/>
      <c r="B176" s="14">
        <f>IF(OR(A176="",Configurações!$B$5=""),"",INT((A176-Configurações!$B$5)/7)+1)</f>
        <v/>
      </c>
      <c r="C176" s="15" t="n"/>
      <c r="D176" s="15" t="n"/>
      <c r="E176" s="15" t="n"/>
      <c r="F176" s="15" t="n"/>
      <c r="G176" s="14">
        <f>IF(F176="","",VALUE(LEFT(F176,1)))</f>
        <v/>
      </c>
      <c r="H176" s="15" t="n"/>
      <c r="I176" s="15" t="n"/>
      <c r="J176" s="15" t="n"/>
      <c r="K176" s="13" t="n"/>
    </row>
    <row r="177">
      <c r="A177" s="13" t="n"/>
      <c r="B177" s="14">
        <f>IF(OR(A177="",Configurações!$B$5=""),"",INT((A177-Configurações!$B$5)/7)+1)</f>
        <v/>
      </c>
      <c r="C177" s="15" t="n"/>
      <c r="D177" s="15" t="n"/>
      <c r="E177" s="15" t="n"/>
      <c r="F177" s="15" t="n"/>
      <c r="G177" s="14">
        <f>IF(F177="","",VALUE(LEFT(F177,1)))</f>
        <v/>
      </c>
      <c r="H177" s="15" t="n"/>
      <c r="I177" s="15" t="n"/>
      <c r="J177" s="15" t="n"/>
      <c r="K177" s="13" t="n"/>
    </row>
    <row r="178">
      <c r="A178" s="13" t="n"/>
      <c r="B178" s="14">
        <f>IF(OR(A178="",Configurações!$B$5=""),"",INT((A178-Configurações!$B$5)/7)+1)</f>
        <v/>
      </c>
      <c r="C178" s="15" t="n"/>
      <c r="D178" s="15" t="n"/>
      <c r="E178" s="15" t="n"/>
      <c r="F178" s="15" t="n"/>
      <c r="G178" s="14">
        <f>IF(F178="","",VALUE(LEFT(F178,1)))</f>
        <v/>
      </c>
      <c r="H178" s="15" t="n"/>
      <c r="I178" s="15" t="n"/>
      <c r="J178" s="15" t="n"/>
      <c r="K178" s="13" t="n"/>
    </row>
    <row r="179">
      <c r="A179" s="13" t="n"/>
      <c r="B179" s="14">
        <f>IF(OR(A179="",Configurações!$B$5=""),"",INT((A179-Configurações!$B$5)/7)+1)</f>
        <v/>
      </c>
      <c r="C179" s="15" t="n"/>
      <c r="D179" s="15" t="n"/>
      <c r="E179" s="15" t="n"/>
      <c r="F179" s="15" t="n"/>
      <c r="G179" s="14">
        <f>IF(F179="","",VALUE(LEFT(F179,1)))</f>
        <v/>
      </c>
      <c r="H179" s="15" t="n"/>
      <c r="I179" s="15" t="n"/>
      <c r="J179" s="15" t="n"/>
      <c r="K179" s="13" t="n"/>
    </row>
    <row r="180">
      <c r="A180" s="13" t="n"/>
      <c r="B180" s="14">
        <f>IF(OR(A180="",Configurações!$B$5=""),"",INT((A180-Configurações!$B$5)/7)+1)</f>
        <v/>
      </c>
      <c r="C180" s="15" t="n"/>
      <c r="D180" s="15" t="n"/>
      <c r="E180" s="15" t="n"/>
      <c r="F180" s="15" t="n"/>
      <c r="G180" s="14">
        <f>IF(F180="","",VALUE(LEFT(F180,1)))</f>
        <v/>
      </c>
      <c r="H180" s="15" t="n"/>
      <c r="I180" s="15" t="n"/>
      <c r="J180" s="15" t="n"/>
      <c r="K180" s="13" t="n"/>
    </row>
    <row r="181">
      <c r="A181" s="13" t="n"/>
      <c r="B181" s="14">
        <f>IF(OR(A181="",Configurações!$B$5=""),"",INT((A181-Configurações!$B$5)/7)+1)</f>
        <v/>
      </c>
      <c r="C181" s="15" t="n"/>
      <c r="D181" s="15" t="n"/>
      <c r="E181" s="15" t="n"/>
      <c r="F181" s="15" t="n"/>
      <c r="G181" s="14">
        <f>IF(F181="","",VALUE(LEFT(F181,1)))</f>
        <v/>
      </c>
      <c r="H181" s="15" t="n"/>
      <c r="I181" s="15" t="n"/>
      <c r="J181" s="15" t="n"/>
      <c r="K181" s="13" t="n"/>
    </row>
    <row r="182">
      <c r="A182" s="13" t="n"/>
      <c r="B182" s="14">
        <f>IF(OR(A182="",Configurações!$B$5=""),"",INT((A182-Configurações!$B$5)/7)+1)</f>
        <v/>
      </c>
      <c r="C182" s="15" t="n"/>
      <c r="D182" s="15" t="n"/>
      <c r="E182" s="15" t="n"/>
      <c r="F182" s="15" t="n"/>
      <c r="G182" s="14">
        <f>IF(F182="","",VALUE(LEFT(F182,1)))</f>
        <v/>
      </c>
      <c r="H182" s="15" t="n"/>
      <c r="I182" s="15" t="n"/>
      <c r="J182" s="15" t="n"/>
      <c r="K182" s="13" t="n"/>
    </row>
    <row r="183">
      <c r="A183" s="13" t="n"/>
      <c r="B183" s="14">
        <f>IF(OR(A183="",Configurações!$B$5=""),"",INT((A183-Configurações!$B$5)/7)+1)</f>
        <v/>
      </c>
      <c r="C183" s="15" t="n"/>
      <c r="D183" s="15" t="n"/>
      <c r="E183" s="15" t="n"/>
      <c r="F183" s="15" t="n"/>
      <c r="G183" s="14">
        <f>IF(F183="","",VALUE(LEFT(F183,1)))</f>
        <v/>
      </c>
      <c r="H183" s="15" t="n"/>
      <c r="I183" s="15" t="n"/>
      <c r="J183" s="15" t="n"/>
      <c r="K183" s="13" t="n"/>
    </row>
    <row r="184">
      <c r="A184" s="13" t="n"/>
      <c r="B184" s="14">
        <f>IF(OR(A184="",Configurações!$B$5=""),"",INT((A184-Configurações!$B$5)/7)+1)</f>
        <v/>
      </c>
      <c r="C184" s="15" t="n"/>
      <c r="D184" s="15" t="n"/>
      <c r="E184" s="15" t="n"/>
      <c r="F184" s="15" t="n"/>
      <c r="G184" s="14">
        <f>IF(F184="","",VALUE(LEFT(F184,1)))</f>
        <v/>
      </c>
      <c r="H184" s="15" t="n"/>
      <c r="I184" s="15" t="n"/>
      <c r="J184" s="15" t="n"/>
      <c r="K184" s="13" t="n"/>
    </row>
    <row r="185">
      <c r="A185" s="13" t="n"/>
      <c r="B185" s="14">
        <f>IF(OR(A185="",Configurações!$B$5=""),"",INT((A185-Configurações!$B$5)/7)+1)</f>
        <v/>
      </c>
      <c r="C185" s="15" t="n"/>
      <c r="D185" s="15" t="n"/>
      <c r="E185" s="15" t="n"/>
      <c r="F185" s="15" t="n"/>
      <c r="G185" s="14">
        <f>IF(F185="","",VALUE(LEFT(F185,1)))</f>
        <v/>
      </c>
      <c r="H185" s="15" t="n"/>
      <c r="I185" s="15" t="n"/>
      <c r="J185" s="15" t="n"/>
      <c r="K185" s="13" t="n"/>
    </row>
    <row r="186">
      <c r="A186" s="13" t="n"/>
      <c r="B186" s="14">
        <f>IF(OR(A186="",Configurações!$B$5=""),"",INT((A186-Configurações!$B$5)/7)+1)</f>
        <v/>
      </c>
      <c r="C186" s="15" t="n"/>
      <c r="D186" s="15" t="n"/>
      <c r="E186" s="15" t="n"/>
      <c r="F186" s="15" t="n"/>
      <c r="G186" s="14">
        <f>IF(F186="","",VALUE(LEFT(F186,1)))</f>
        <v/>
      </c>
      <c r="H186" s="15" t="n"/>
      <c r="I186" s="15" t="n"/>
      <c r="J186" s="15" t="n"/>
      <c r="K186" s="13" t="n"/>
    </row>
    <row r="187">
      <c r="A187" s="13" t="n"/>
      <c r="B187" s="14">
        <f>IF(OR(A187="",Configurações!$B$5=""),"",INT((A187-Configurações!$B$5)/7)+1)</f>
        <v/>
      </c>
      <c r="C187" s="15" t="n"/>
      <c r="D187" s="15" t="n"/>
      <c r="E187" s="15" t="n"/>
      <c r="F187" s="15" t="n"/>
      <c r="G187" s="14">
        <f>IF(F187="","",VALUE(LEFT(F187,1)))</f>
        <v/>
      </c>
      <c r="H187" s="15" t="n"/>
      <c r="I187" s="15" t="n"/>
      <c r="J187" s="15" t="n"/>
      <c r="K187" s="13" t="n"/>
    </row>
    <row r="188">
      <c r="A188" s="13" t="n"/>
      <c r="B188" s="14">
        <f>IF(OR(A188="",Configurações!$B$5=""),"",INT((A188-Configurações!$B$5)/7)+1)</f>
        <v/>
      </c>
      <c r="C188" s="15" t="n"/>
      <c r="D188" s="15" t="n"/>
      <c r="E188" s="15" t="n"/>
      <c r="F188" s="15" t="n"/>
      <c r="G188" s="14">
        <f>IF(F188="","",VALUE(LEFT(F188,1)))</f>
        <v/>
      </c>
      <c r="H188" s="15" t="n"/>
      <c r="I188" s="15" t="n"/>
      <c r="J188" s="15" t="n"/>
      <c r="K188" s="13" t="n"/>
    </row>
    <row r="189">
      <c r="A189" s="13" t="n"/>
      <c r="B189" s="14">
        <f>IF(OR(A189="",Configurações!$B$5=""),"",INT((A189-Configurações!$B$5)/7)+1)</f>
        <v/>
      </c>
      <c r="C189" s="15" t="n"/>
      <c r="D189" s="15" t="n"/>
      <c r="E189" s="15" t="n"/>
      <c r="F189" s="15" t="n"/>
      <c r="G189" s="14">
        <f>IF(F189="","",VALUE(LEFT(F189,1)))</f>
        <v/>
      </c>
      <c r="H189" s="15" t="n"/>
      <c r="I189" s="15" t="n"/>
      <c r="J189" s="15" t="n"/>
      <c r="K189" s="13" t="n"/>
    </row>
    <row r="190">
      <c r="A190" s="13" t="n"/>
      <c r="B190" s="14">
        <f>IF(OR(A190="",Configurações!$B$5=""),"",INT((A190-Configurações!$B$5)/7)+1)</f>
        <v/>
      </c>
      <c r="C190" s="15" t="n"/>
      <c r="D190" s="15" t="n"/>
      <c r="E190" s="15" t="n"/>
      <c r="F190" s="15" t="n"/>
      <c r="G190" s="14">
        <f>IF(F190="","",VALUE(LEFT(F190,1)))</f>
        <v/>
      </c>
      <c r="H190" s="15" t="n"/>
      <c r="I190" s="15" t="n"/>
      <c r="J190" s="15" t="n"/>
      <c r="K190" s="13" t="n"/>
    </row>
    <row r="191">
      <c r="A191" s="13" t="n"/>
      <c r="B191" s="14">
        <f>IF(OR(A191="",Configurações!$B$5=""),"",INT((A191-Configurações!$B$5)/7)+1)</f>
        <v/>
      </c>
      <c r="C191" s="15" t="n"/>
      <c r="D191" s="15" t="n"/>
      <c r="E191" s="15" t="n"/>
      <c r="F191" s="15" t="n"/>
      <c r="G191" s="14">
        <f>IF(F191="","",VALUE(LEFT(F191,1)))</f>
        <v/>
      </c>
      <c r="H191" s="15" t="n"/>
      <c r="I191" s="15" t="n"/>
      <c r="J191" s="15" t="n"/>
      <c r="K191" s="13" t="n"/>
    </row>
    <row r="192">
      <c r="A192" s="13" t="n"/>
      <c r="B192" s="14">
        <f>IF(OR(A192="",Configurações!$B$5=""),"",INT((A192-Configurações!$B$5)/7)+1)</f>
        <v/>
      </c>
      <c r="C192" s="15" t="n"/>
      <c r="D192" s="15" t="n"/>
      <c r="E192" s="15" t="n"/>
      <c r="F192" s="15" t="n"/>
      <c r="G192" s="14">
        <f>IF(F192="","",VALUE(LEFT(F192,1)))</f>
        <v/>
      </c>
      <c r="H192" s="15" t="n"/>
      <c r="I192" s="15" t="n"/>
      <c r="J192" s="15" t="n"/>
      <c r="K192" s="13" t="n"/>
    </row>
    <row r="193">
      <c r="A193" s="13" t="n"/>
      <c r="B193" s="14">
        <f>IF(OR(A193="",Configurações!$B$5=""),"",INT((A193-Configurações!$B$5)/7)+1)</f>
        <v/>
      </c>
      <c r="C193" s="15" t="n"/>
      <c r="D193" s="15" t="n"/>
      <c r="E193" s="15" t="n"/>
      <c r="F193" s="15" t="n"/>
      <c r="G193" s="14">
        <f>IF(F193="","",VALUE(LEFT(F193,1)))</f>
        <v/>
      </c>
      <c r="H193" s="15" t="n"/>
      <c r="I193" s="15" t="n"/>
      <c r="J193" s="15" t="n"/>
      <c r="K193" s="13" t="n"/>
    </row>
    <row r="194">
      <c r="A194" s="13" t="n"/>
      <c r="B194" s="14">
        <f>IF(OR(A194="",Configurações!$B$5=""),"",INT((A194-Configurações!$B$5)/7)+1)</f>
        <v/>
      </c>
      <c r="C194" s="15" t="n"/>
      <c r="D194" s="15" t="n"/>
      <c r="E194" s="15" t="n"/>
      <c r="F194" s="15" t="n"/>
      <c r="G194" s="14">
        <f>IF(F194="","",VALUE(LEFT(F194,1)))</f>
        <v/>
      </c>
      <c r="H194" s="15" t="n"/>
      <c r="I194" s="15" t="n"/>
      <c r="J194" s="15" t="n"/>
      <c r="K194" s="13" t="n"/>
    </row>
    <row r="195">
      <c r="A195" s="13" t="n"/>
      <c r="B195" s="14">
        <f>IF(OR(A195="",Configurações!$B$5=""),"",INT((A195-Configurações!$B$5)/7)+1)</f>
        <v/>
      </c>
      <c r="C195" s="15" t="n"/>
      <c r="D195" s="15" t="n"/>
      <c r="E195" s="15" t="n"/>
      <c r="F195" s="15" t="n"/>
      <c r="G195" s="14">
        <f>IF(F195="","",VALUE(LEFT(F195,1)))</f>
        <v/>
      </c>
      <c r="H195" s="15" t="n"/>
      <c r="I195" s="15" t="n"/>
      <c r="J195" s="15" t="n"/>
      <c r="K195" s="13" t="n"/>
    </row>
    <row r="196">
      <c r="A196" s="13" t="n"/>
      <c r="B196" s="14">
        <f>IF(OR(A196="",Configurações!$B$5=""),"",INT((A196-Configurações!$B$5)/7)+1)</f>
        <v/>
      </c>
      <c r="C196" s="15" t="n"/>
      <c r="D196" s="15" t="n"/>
      <c r="E196" s="15" t="n"/>
      <c r="F196" s="15" t="n"/>
      <c r="G196" s="14">
        <f>IF(F196="","",VALUE(LEFT(F196,1)))</f>
        <v/>
      </c>
      <c r="H196" s="15" t="n"/>
      <c r="I196" s="15" t="n"/>
      <c r="J196" s="15" t="n"/>
      <c r="K196" s="13" t="n"/>
    </row>
    <row r="197">
      <c r="A197" s="13" t="n"/>
      <c r="B197" s="14">
        <f>IF(OR(A197="",Configurações!$B$5=""),"",INT((A197-Configurações!$B$5)/7)+1)</f>
        <v/>
      </c>
      <c r="C197" s="15" t="n"/>
      <c r="D197" s="15" t="n"/>
      <c r="E197" s="15" t="n"/>
      <c r="F197" s="15" t="n"/>
      <c r="G197" s="14">
        <f>IF(F197="","",VALUE(LEFT(F197,1)))</f>
        <v/>
      </c>
      <c r="H197" s="15" t="n"/>
      <c r="I197" s="15" t="n"/>
      <c r="J197" s="15" t="n"/>
      <c r="K197" s="13" t="n"/>
    </row>
    <row r="198">
      <c r="A198" s="13" t="n"/>
      <c r="B198" s="14">
        <f>IF(OR(A198="",Configurações!$B$5=""),"",INT((A198-Configurações!$B$5)/7)+1)</f>
        <v/>
      </c>
      <c r="C198" s="15" t="n"/>
      <c r="D198" s="15" t="n"/>
      <c r="E198" s="15" t="n"/>
      <c r="F198" s="15" t="n"/>
      <c r="G198" s="14">
        <f>IF(F198="","",VALUE(LEFT(F198,1)))</f>
        <v/>
      </c>
      <c r="H198" s="15" t="n"/>
      <c r="I198" s="15" t="n"/>
      <c r="J198" s="15" t="n"/>
      <c r="K198" s="13" t="n"/>
    </row>
    <row r="199">
      <c r="A199" s="13" t="n"/>
      <c r="B199" s="14">
        <f>IF(OR(A199="",Configurações!$B$5=""),"",INT((A199-Configurações!$B$5)/7)+1)</f>
        <v/>
      </c>
      <c r="C199" s="15" t="n"/>
      <c r="D199" s="15" t="n"/>
      <c r="E199" s="15" t="n"/>
      <c r="F199" s="15" t="n"/>
      <c r="G199" s="14">
        <f>IF(F199="","",VALUE(LEFT(F199,1)))</f>
        <v/>
      </c>
      <c r="H199" s="15" t="n"/>
      <c r="I199" s="15" t="n"/>
      <c r="J199" s="15" t="n"/>
      <c r="K199" s="13" t="n"/>
    </row>
    <row r="200">
      <c r="A200" s="13" t="n"/>
      <c r="B200" s="14">
        <f>IF(OR(A200="",Configurações!$B$5=""),"",INT((A200-Configurações!$B$5)/7)+1)</f>
        <v/>
      </c>
      <c r="C200" s="15" t="n"/>
      <c r="D200" s="15" t="n"/>
      <c r="E200" s="15" t="n"/>
      <c r="F200" s="15" t="n"/>
      <c r="G200" s="14">
        <f>IF(F200="","",VALUE(LEFT(F200,1)))</f>
        <v/>
      </c>
      <c r="H200" s="15" t="n"/>
      <c r="I200" s="15" t="n"/>
      <c r="J200" s="15" t="n"/>
      <c r="K200" s="13" t="n"/>
    </row>
    <row r="201">
      <c r="A201" s="13" t="n"/>
      <c r="B201" s="14">
        <f>IF(OR(A201="",Configurações!$B$5=""),"",INT((A201-Configurações!$B$5)/7)+1)</f>
        <v/>
      </c>
      <c r="C201" s="15" t="n"/>
      <c r="D201" s="15" t="n"/>
      <c r="E201" s="15" t="n"/>
      <c r="F201" s="15" t="n"/>
      <c r="G201" s="14">
        <f>IF(F201="","",VALUE(LEFT(F201,1)))</f>
        <v/>
      </c>
      <c r="H201" s="15" t="n"/>
      <c r="I201" s="15" t="n"/>
      <c r="J201" s="15" t="n"/>
      <c r="K201" s="13" t="n"/>
    </row>
    <row r="202">
      <c r="A202" s="13" t="n"/>
      <c r="B202" s="14">
        <f>IF(OR(A202="",Configurações!$B$5=""),"",INT((A202-Configurações!$B$5)/7)+1)</f>
        <v/>
      </c>
      <c r="C202" s="15" t="n"/>
      <c r="D202" s="15" t="n"/>
      <c r="E202" s="15" t="n"/>
      <c r="F202" s="15" t="n"/>
      <c r="G202" s="14">
        <f>IF(F202="","",VALUE(LEFT(F202,1)))</f>
        <v/>
      </c>
      <c r="H202" s="15" t="n"/>
      <c r="I202" s="15" t="n"/>
      <c r="J202" s="15" t="n"/>
      <c r="K202" s="13" t="n"/>
    </row>
    <row r="203">
      <c r="A203" s="13" t="n"/>
      <c r="B203" s="14">
        <f>IF(OR(A203="",Configurações!$B$5=""),"",INT((A203-Configurações!$B$5)/7)+1)</f>
        <v/>
      </c>
      <c r="C203" s="15" t="n"/>
      <c r="D203" s="15" t="n"/>
      <c r="E203" s="15" t="n"/>
      <c r="F203" s="15" t="n"/>
      <c r="G203" s="14">
        <f>IF(F203="","",VALUE(LEFT(F203,1)))</f>
        <v/>
      </c>
      <c r="H203" s="15" t="n"/>
      <c r="I203" s="15" t="n"/>
      <c r="J203" s="15" t="n"/>
      <c r="K203" s="13" t="n"/>
    </row>
    <row r="204">
      <c r="A204" s="13" t="n"/>
      <c r="B204" s="14">
        <f>IF(OR(A204="",Configurações!$B$5=""),"",INT((A204-Configurações!$B$5)/7)+1)</f>
        <v/>
      </c>
      <c r="C204" s="15" t="n"/>
      <c r="D204" s="15" t="n"/>
      <c r="E204" s="15" t="n"/>
      <c r="F204" s="15" t="n"/>
      <c r="G204" s="14">
        <f>IF(F204="","",VALUE(LEFT(F204,1)))</f>
        <v/>
      </c>
      <c r="H204" s="15" t="n"/>
      <c r="I204" s="15" t="n"/>
      <c r="J204" s="15" t="n"/>
      <c r="K204" s="13" t="n"/>
    </row>
    <row r="205">
      <c r="A205" s="13" t="n"/>
      <c r="B205" s="14">
        <f>IF(OR(A205="",Configurações!$B$5=""),"",INT((A205-Configurações!$B$5)/7)+1)</f>
        <v/>
      </c>
      <c r="C205" s="15" t="n"/>
      <c r="D205" s="15" t="n"/>
      <c r="E205" s="15" t="n"/>
      <c r="F205" s="15" t="n"/>
      <c r="G205" s="14">
        <f>IF(F205="","",VALUE(LEFT(F205,1)))</f>
        <v/>
      </c>
      <c r="H205" s="15" t="n"/>
      <c r="I205" s="15" t="n"/>
      <c r="J205" s="15" t="n"/>
      <c r="K205" s="13" t="n"/>
    </row>
    <row r="206">
      <c r="A206" s="13" t="n"/>
      <c r="B206" s="14">
        <f>IF(OR(A206="",Configurações!$B$5=""),"",INT((A206-Configurações!$B$5)/7)+1)</f>
        <v/>
      </c>
      <c r="C206" s="15" t="n"/>
      <c r="D206" s="15" t="n"/>
      <c r="E206" s="15" t="n"/>
      <c r="F206" s="15" t="n"/>
      <c r="G206" s="14">
        <f>IF(F206="","",VALUE(LEFT(F206,1)))</f>
        <v/>
      </c>
      <c r="H206" s="15" t="n"/>
      <c r="I206" s="15" t="n"/>
      <c r="J206" s="15" t="n"/>
      <c r="K206" s="13" t="n"/>
    </row>
    <row r="207">
      <c r="A207" s="13" t="n"/>
      <c r="B207" s="14">
        <f>IF(OR(A207="",Configurações!$B$5=""),"",INT((A207-Configurações!$B$5)/7)+1)</f>
        <v/>
      </c>
      <c r="C207" s="15" t="n"/>
      <c r="D207" s="15" t="n"/>
      <c r="E207" s="15" t="n"/>
      <c r="F207" s="15" t="n"/>
      <c r="G207" s="14">
        <f>IF(F207="","",VALUE(LEFT(F207,1)))</f>
        <v/>
      </c>
      <c r="H207" s="15" t="n"/>
      <c r="I207" s="15" t="n"/>
      <c r="J207" s="15" t="n"/>
      <c r="K207" s="13" t="n"/>
    </row>
    <row r="208">
      <c r="A208" s="13" t="n"/>
      <c r="B208" s="14">
        <f>IF(OR(A208="",Configurações!$B$5=""),"",INT((A208-Configurações!$B$5)/7)+1)</f>
        <v/>
      </c>
      <c r="C208" s="15" t="n"/>
      <c r="D208" s="15" t="n"/>
      <c r="E208" s="15" t="n"/>
      <c r="F208" s="15" t="n"/>
      <c r="G208" s="14">
        <f>IF(F208="","",VALUE(LEFT(F208,1)))</f>
        <v/>
      </c>
      <c r="H208" s="15" t="n"/>
      <c r="I208" s="15" t="n"/>
      <c r="J208" s="15" t="n"/>
      <c r="K208" s="13" t="n"/>
    </row>
    <row r="209">
      <c r="A209" s="13" t="n"/>
      <c r="B209" s="14">
        <f>IF(OR(A209="",Configurações!$B$5=""),"",INT((A209-Configurações!$B$5)/7)+1)</f>
        <v/>
      </c>
      <c r="C209" s="15" t="n"/>
      <c r="D209" s="15" t="n"/>
      <c r="E209" s="15" t="n"/>
      <c r="F209" s="15" t="n"/>
      <c r="G209" s="14">
        <f>IF(F209="","",VALUE(LEFT(F209,1)))</f>
        <v/>
      </c>
      <c r="H209" s="15" t="n"/>
      <c r="I209" s="15" t="n"/>
      <c r="J209" s="15" t="n"/>
      <c r="K209" s="13" t="n"/>
    </row>
    <row r="210">
      <c r="A210" s="13" t="n"/>
      <c r="B210" s="14">
        <f>IF(OR(A210="",Configurações!$B$5=""),"",INT((A210-Configurações!$B$5)/7)+1)</f>
        <v/>
      </c>
      <c r="C210" s="15" t="n"/>
      <c r="D210" s="15" t="n"/>
      <c r="E210" s="15" t="n"/>
      <c r="F210" s="15" t="n"/>
      <c r="G210" s="14">
        <f>IF(F210="","",VALUE(LEFT(F210,1)))</f>
        <v/>
      </c>
      <c r="H210" s="15" t="n"/>
      <c r="I210" s="15" t="n"/>
      <c r="J210" s="15" t="n"/>
      <c r="K210" s="13" t="n"/>
    </row>
    <row r="211">
      <c r="A211" s="13" t="n"/>
      <c r="B211" s="14">
        <f>IF(OR(A211="",Configurações!$B$5=""),"",INT((A211-Configurações!$B$5)/7)+1)</f>
        <v/>
      </c>
      <c r="C211" s="15" t="n"/>
      <c r="D211" s="15" t="n"/>
      <c r="E211" s="15" t="n"/>
      <c r="F211" s="15" t="n"/>
      <c r="G211" s="14">
        <f>IF(F211="","",VALUE(LEFT(F211,1)))</f>
        <v/>
      </c>
      <c r="H211" s="15" t="n"/>
      <c r="I211" s="15" t="n"/>
      <c r="J211" s="15" t="n"/>
      <c r="K211" s="13" t="n"/>
    </row>
    <row r="212">
      <c r="A212" s="13" t="n"/>
      <c r="B212" s="14">
        <f>IF(OR(A212="",Configurações!$B$5=""),"",INT((A212-Configurações!$B$5)/7)+1)</f>
        <v/>
      </c>
      <c r="C212" s="15" t="n"/>
      <c r="D212" s="15" t="n"/>
      <c r="E212" s="15" t="n"/>
      <c r="F212" s="15" t="n"/>
      <c r="G212" s="14">
        <f>IF(F212="","",VALUE(LEFT(F212,1)))</f>
        <v/>
      </c>
      <c r="H212" s="15" t="n"/>
      <c r="I212" s="15" t="n"/>
      <c r="J212" s="15" t="n"/>
      <c r="K212" s="13" t="n"/>
    </row>
    <row r="213">
      <c r="A213" s="13" t="n"/>
      <c r="B213" s="14">
        <f>IF(OR(A213="",Configurações!$B$5=""),"",INT((A213-Configurações!$B$5)/7)+1)</f>
        <v/>
      </c>
      <c r="C213" s="15" t="n"/>
      <c r="D213" s="15" t="n"/>
      <c r="E213" s="15" t="n"/>
      <c r="F213" s="15" t="n"/>
      <c r="G213" s="14">
        <f>IF(F213="","",VALUE(LEFT(F213,1)))</f>
        <v/>
      </c>
      <c r="H213" s="15" t="n"/>
      <c r="I213" s="15" t="n"/>
      <c r="J213" s="15" t="n"/>
      <c r="K213" s="13" t="n"/>
    </row>
    <row r="214">
      <c r="A214" s="13" t="n"/>
      <c r="B214" s="14">
        <f>IF(OR(A214="",Configurações!$B$5=""),"",INT((A214-Configurações!$B$5)/7)+1)</f>
        <v/>
      </c>
      <c r="C214" s="15" t="n"/>
      <c r="D214" s="15" t="n"/>
      <c r="E214" s="15" t="n"/>
      <c r="F214" s="15" t="n"/>
      <c r="G214" s="14">
        <f>IF(F214="","",VALUE(LEFT(F214,1)))</f>
        <v/>
      </c>
      <c r="H214" s="15" t="n"/>
      <c r="I214" s="15" t="n"/>
      <c r="J214" s="15" t="n"/>
      <c r="K214" s="13" t="n"/>
    </row>
    <row r="215">
      <c r="A215" s="13" t="n"/>
      <c r="B215" s="14">
        <f>IF(OR(A215="",Configurações!$B$5=""),"",INT((A215-Configurações!$B$5)/7)+1)</f>
        <v/>
      </c>
      <c r="C215" s="15" t="n"/>
      <c r="D215" s="15" t="n"/>
      <c r="E215" s="15" t="n"/>
      <c r="F215" s="15" t="n"/>
      <c r="G215" s="14">
        <f>IF(F215="","",VALUE(LEFT(F215,1)))</f>
        <v/>
      </c>
      <c r="H215" s="15" t="n"/>
      <c r="I215" s="15" t="n"/>
      <c r="J215" s="15" t="n"/>
      <c r="K215" s="13" t="n"/>
    </row>
    <row r="216">
      <c r="A216" s="13" t="n"/>
      <c r="B216" s="14">
        <f>IF(OR(A216="",Configurações!$B$5=""),"",INT((A216-Configurações!$B$5)/7)+1)</f>
        <v/>
      </c>
      <c r="C216" s="15" t="n"/>
      <c r="D216" s="15" t="n"/>
      <c r="E216" s="15" t="n"/>
      <c r="F216" s="15" t="n"/>
      <c r="G216" s="14">
        <f>IF(F216="","",VALUE(LEFT(F216,1)))</f>
        <v/>
      </c>
      <c r="H216" s="15" t="n"/>
      <c r="I216" s="15" t="n"/>
      <c r="J216" s="15" t="n"/>
      <c r="K216" s="13" t="n"/>
    </row>
    <row r="217">
      <c r="A217" s="13" t="n"/>
      <c r="B217" s="14">
        <f>IF(OR(A217="",Configurações!$B$5=""),"",INT((A217-Configurações!$B$5)/7)+1)</f>
        <v/>
      </c>
      <c r="C217" s="15" t="n"/>
      <c r="D217" s="15" t="n"/>
      <c r="E217" s="15" t="n"/>
      <c r="F217" s="15" t="n"/>
      <c r="G217" s="14">
        <f>IF(F217="","",VALUE(LEFT(F217,1)))</f>
        <v/>
      </c>
      <c r="H217" s="15" t="n"/>
      <c r="I217" s="15" t="n"/>
      <c r="J217" s="15" t="n"/>
      <c r="K217" s="13" t="n"/>
    </row>
    <row r="218">
      <c r="A218" s="13" t="n"/>
      <c r="B218" s="14">
        <f>IF(OR(A218="",Configurações!$B$5=""),"",INT((A218-Configurações!$B$5)/7)+1)</f>
        <v/>
      </c>
      <c r="C218" s="15" t="n"/>
      <c r="D218" s="15" t="n"/>
      <c r="E218" s="15" t="n"/>
      <c r="F218" s="15" t="n"/>
      <c r="G218" s="14">
        <f>IF(F218="","",VALUE(LEFT(F218,1)))</f>
        <v/>
      </c>
      <c r="H218" s="15" t="n"/>
      <c r="I218" s="15" t="n"/>
      <c r="J218" s="15" t="n"/>
      <c r="K218" s="13" t="n"/>
    </row>
    <row r="219">
      <c r="A219" s="13" t="n"/>
      <c r="B219" s="14">
        <f>IF(OR(A219="",Configurações!$B$5=""),"",INT((A219-Configurações!$B$5)/7)+1)</f>
        <v/>
      </c>
      <c r="C219" s="15" t="n"/>
      <c r="D219" s="15" t="n"/>
      <c r="E219" s="15" t="n"/>
      <c r="F219" s="15" t="n"/>
      <c r="G219" s="14">
        <f>IF(F219="","",VALUE(LEFT(F219,1)))</f>
        <v/>
      </c>
      <c r="H219" s="15" t="n"/>
      <c r="I219" s="15" t="n"/>
      <c r="J219" s="15" t="n"/>
      <c r="K219" s="13" t="n"/>
    </row>
    <row r="220">
      <c r="A220" s="13" t="n"/>
      <c r="B220" s="14">
        <f>IF(OR(A220="",Configurações!$B$5=""),"",INT((A220-Configurações!$B$5)/7)+1)</f>
        <v/>
      </c>
      <c r="C220" s="15" t="n"/>
      <c r="D220" s="15" t="n"/>
      <c r="E220" s="15" t="n"/>
      <c r="F220" s="15" t="n"/>
      <c r="G220" s="14">
        <f>IF(F220="","",VALUE(LEFT(F220,1)))</f>
        <v/>
      </c>
      <c r="H220" s="15" t="n"/>
      <c r="I220" s="15" t="n"/>
      <c r="J220" s="15" t="n"/>
      <c r="K220" s="13" t="n"/>
    </row>
    <row r="221">
      <c r="A221" s="13" t="n"/>
      <c r="B221" s="14">
        <f>IF(OR(A221="",Configurações!$B$5=""),"",INT((A221-Configurações!$B$5)/7)+1)</f>
        <v/>
      </c>
      <c r="C221" s="15" t="n"/>
      <c r="D221" s="15" t="n"/>
      <c r="E221" s="15" t="n"/>
      <c r="F221" s="15" t="n"/>
      <c r="G221" s="14">
        <f>IF(F221="","",VALUE(LEFT(F221,1)))</f>
        <v/>
      </c>
      <c r="H221" s="15" t="n"/>
      <c r="I221" s="15" t="n"/>
      <c r="J221" s="15" t="n"/>
      <c r="K221" s="13" t="n"/>
    </row>
    <row r="222">
      <c r="A222" s="13" t="n"/>
      <c r="B222" s="14">
        <f>IF(OR(A222="",Configurações!$B$5=""),"",INT((A222-Configurações!$B$5)/7)+1)</f>
        <v/>
      </c>
      <c r="C222" s="15" t="n"/>
      <c r="D222" s="15" t="n"/>
      <c r="E222" s="15" t="n"/>
      <c r="F222" s="15" t="n"/>
      <c r="G222" s="14">
        <f>IF(F222="","",VALUE(LEFT(F222,1)))</f>
        <v/>
      </c>
      <c r="H222" s="15" t="n"/>
      <c r="I222" s="15" t="n"/>
      <c r="J222" s="15" t="n"/>
      <c r="K222" s="13" t="n"/>
    </row>
    <row r="223">
      <c r="A223" s="13" t="n"/>
      <c r="B223" s="14">
        <f>IF(OR(A223="",Configurações!$B$5=""),"",INT((A223-Configurações!$B$5)/7)+1)</f>
        <v/>
      </c>
      <c r="C223" s="15" t="n"/>
      <c r="D223" s="15" t="n"/>
      <c r="E223" s="15" t="n"/>
      <c r="F223" s="15" t="n"/>
      <c r="G223" s="14">
        <f>IF(F223="","",VALUE(LEFT(F223,1)))</f>
        <v/>
      </c>
      <c r="H223" s="15" t="n"/>
      <c r="I223" s="15" t="n"/>
      <c r="J223" s="15" t="n"/>
      <c r="K223" s="13" t="n"/>
    </row>
    <row r="224">
      <c r="A224" s="13" t="n"/>
      <c r="B224" s="14">
        <f>IF(OR(A224="",Configurações!$B$5=""),"",INT((A224-Configurações!$B$5)/7)+1)</f>
        <v/>
      </c>
      <c r="C224" s="15" t="n"/>
      <c r="D224" s="15" t="n"/>
      <c r="E224" s="15" t="n"/>
      <c r="F224" s="15" t="n"/>
      <c r="G224" s="14">
        <f>IF(F224="","",VALUE(LEFT(F224,1)))</f>
        <v/>
      </c>
      <c r="H224" s="15" t="n"/>
      <c r="I224" s="15" t="n"/>
      <c r="J224" s="15" t="n"/>
      <c r="K224" s="13" t="n"/>
    </row>
    <row r="225">
      <c r="A225" s="13" t="n"/>
      <c r="B225" s="14">
        <f>IF(OR(A225="",Configurações!$B$5=""),"",INT((A225-Configurações!$B$5)/7)+1)</f>
        <v/>
      </c>
      <c r="C225" s="15" t="n"/>
      <c r="D225" s="15" t="n"/>
      <c r="E225" s="15" t="n"/>
      <c r="F225" s="15" t="n"/>
      <c r="G225" s="14">
        <f>IF(F225="","",VALUE(LEFT(F225,1)))</f>
        <v/>
      </c>
      <c r="H225" s="15" t="n"/>
      <c r="I225" s="15" t="n"/>
      <c r="J225" s="15" t="n"/>
      <c r="K225" s="13" t="n"/>
    </row>
    <row r="226">
      <c r="A226" s="13" t="n"/>
      <c r="B226" s="14">
        <f>IF(OR(A226="",Configurações!$B$5=""),"",INT((A226-Configurações!$B$5)/7)+1)</f>
        <v/>
      </c>
      <c r="C226" s="15" t="n"/>
      <c r="D226" s="15" t="n"/>
      <c r="E226" s="15" t="n"/>
      <c r="F226" s="15" t="n"/>
      <c r="G226" s="14">
        <f>IF(F226="","",VALUE(LEFT(F226,1)))</f>
        <v/>
      </c>
      <c r="H226" s="15" t="n"/>
      <c r="I226" s="15" t="n"/>
      <c r="J226" s="15" t="n"/>
      <c r="K226" s="13" t="n"/>
    </row>
    <row r="227">
      <c r="A227" s="13" t="n"/>
      <c r="B227" s="14">
        <f>IF(OR(A227="",Configurações!$B$5=""),"",INT((A227-Configurações!$B$5)/7)+1)</f>
        <v/>
      </c>
      <c r="C227" s="15" t="n"/>
      <c r="D227" s="15" t="n"/>
      <c r="E227" s="15" t="n"/>
      <c r="F227" s="15" t="n"/>
      <c r="G227" s="14">
        <f>IF(F227="","",VALUE(LEFT(F227,1)))</f>
        <v/>
      </c>
      <c r="H227" s="15" t="n"/>
      <c r="I227" s="15" t="n"/>
      <c r="J227" s="15" t="n"/>
      <c r="K227" s="13" t="n"/>
    </row>
    <row r="228">
      <c r="A228" s="13" t="n"/>
      <c r="B228" s="14">
        <f>IF(OR(A228="",Configurações!$B$5=""),"",INT((A228-Configurações!$B$5)/7)+1)</f>
        <v/>
      </c>
      <c r="C228" s="15" t="n"/>
      <c r="D228" s="15" t="n"/>
      <c r="E228" s="15" t="n"/>
      <c r="F228" s="15" t="n"/>
      <c r="G228" s="14">
        <f>IF(F228="","",VALUE(LEFT(F228,1)))</f>
        <v/>
      </c>
      <c r="H228" s="15" t="n"/>
      <c r="I228" s="15" t="n"/>
      <c r="J228" s="15" t="n"/>
      <c r="K228" s="13" t="n"/>
    </row>
    <row r="229">
      <c r="A229" s="13" t="n"/>
      <c r="B229" s="14">
        <f>IF(OR(A229="",Configurações!$B$5=""),"",INT((A229-Configurações!$B$5)/7)+1)</f>
        <v/>
      </c>
      <c r="C229" s="15" t="n"/>
      <c r="D229" s="15" t="n"/>
      <c r="E229" s="15" t="n"/>
      <c r="F229" s="15" t="n"/>
      <c r="G229" s="14">
        <f>IF(F229="","",VALUE(LEFT(F229,1)))</f>
        <v/>
      </c>
      <c r="H229" s="15" t="n"/>
      <c r="I229" s="15" t="n"/>
      <c r="J229" s="15" t="n"/>
      <c r="K229" s="13" t="n"/>
    </row>
    <row r="230">
      <c r="A230" s="13" t="n"/>
      <c r="B230" s="14">
        <f>IF(OR(A230="",Configurações!$B$5=""),"",INT((A230-Configurações!$B$5)/7)+1)</f>
        <v/>
      </c>
      <c r="C230" s="15" t="n"/>
      <c r="D230" s="15" t="n"/>
      <c r="E230" s="15" t="n"/>
      <c r="F230" s="15" t="n"/>
      <c r="G230" s="14">
        <f>IF(F230="","",VALUE(LEFT(F230,1)))</f>
        <v/>
      </c>
      <c r="H230" s="15" t="n"/>
      <c r="I230" s="15" t="n"/>
      <c r="J230" s="15" t="n"/>
      <c r="K230" s="13" t="n"/>
    </row>
    <row r="231">
      <c r="A231" s="13" t="n"/>
      <c r="B231" s="14">
        <f>IF(OR(A231="",Configurações!$B$5=""),"",INT((A231-Configurações!$B$5)/7)+1)</f>
        <v/>
      </c>
      <c r="C231" s="15" t="n"/>
      <c r="D231" s="15" t="n"/>
      <c r="E231" s="15" t="n"/>
      <c r="F231" s="15" t="n"/>
      <c r="G231" s="14">
        <f>IF(F231="","",VALUE(LEFT(F231,1)))</f>
        <v/>
      </c>
      <c r="H231" s="15" t="n"/>
      <c r="I231" s="15" t="n"/>
      <c r="J231" s="15" t="n"/>
      <c r="K231" s="13" t="n"/>
    </row>
    <row r="232">
      <c r="A232" s="13" t="n"/>
      <c r="B232" s="14">
        <f>IF(OR(A232="",Configurações!$B$5=""),"",INT((A232-Configurações!$B$5)/7)+1)</f>
        <v/>
      </c>
      <c r="C232" s="15" t="n"/>
      <c r="D232" s="15" t="n"/>
      <c r="E232" s="15" t="n"/>
      <c r="F232" s="15" t="n"/>
      <c r="G232" s="14">
        <f>IF(F232="","",VALUE(LEFT(F232,1)))</f>
        <v/>
      </c>
      <c r="H232" s="15" t="n"/>
      <c r="I232" s="15" t="n"/>
      <c r="J232" s="15" t="n"/>
      <c r="K232" s="13" t="n"/>
    </row>
    <row r="233">
      <c r="A233" s="13" t="n"/>
      <c r="B233" s="14">
        <f>IF(OR(A233="",Configurações!$B$5=""),"",INT((A233-Configurações!$B$5)/7)+1)</f>
        <v/>
      </c>
      <c r="C233" s="15" t="n"/>
      <c r="D233" s="15" t="n"/>
      <c r="E233" s="15" t="n"/>
      <c r="F233" s="15" t="n"/>
      <c r="G233" s="14">
        <f>IF(F233="","",VALUE(LEFT(F233,1)))</f>
        <v/>
      </c>
      <c r="H233" s="15" t="n"/>
      <c r="I233" s="15" t="n"/>
      <c r="J233" s="15" t="n"/>
      <c r="K233" s="13" t="n"/>
    </row>
    <row r="234">
      <c r="A234" s="13" t="n"/>
      <c r="B234" s="14">
        <f>IF(OR(A234="",Configurações!$B$5=""),"",INT((A234-Configurações!$B$5)/7)+1)</f>
        <v/>
      </c>
      <c r="C234" s="15" t="n"/>
      <c r="D234" s="15" t="n"/>
      <c r="E234" s="15" t="n"/>
      <c r="F234" s="15" t="n"/>
      <c r="G234" s="14">
        <f>IF(F234="","",VALUE(LEFT(F234,1)))</f>
        <v/>
      </c>
      <c r="H234" s="15" t="n"/>
      <c r="I234" s="15" t="n"/>
      <c r="J234" s="15" t="n"/>
      <c r="K234" s="13" t="n"/>
    </row>
    <row r="235">
      <c r="A235" s="13" t="n"/>
      <c r="B235" s="14">
        <f>IF(OR(A235="",Configurações!$B$5=""),"",INT((A235-Configurações!$B$5)/7)+1)</f>
        <v/>
      </c>
      <c r="C235" s="15" t="n"/>
      <c r="D235" s="15" t="n"/>
      <c r="E235" s="15" t="n"/>
      <c r="F235" s="15" t="n"/>
      <c r="G235" s="14">
        <f>IF(F235="","",VALUE(LEFT(F235,1)))</f>
        <v/>
      </c>
      <c r="H235" s="15" t="n"/>
      <c r="I235" s="15" t="n"/>
      <c r="J235" s="15" t="n"/>
      <c r="K235" s="13" t="n"/>
    </row>
    <row r="236">
      <c r="A236" s="13" t="n"/>
      <c r="B236" s="14">
        <f>IF(OR(A236="",Configurações!$B$5=""),"",INT((A236-Configurações!$B$5)/7)+1)</f>
        <v/>
      </c>
      <c r="C236" s="15" t="n"/>
      <c r="D236" s="15" t="n"/>
      <c r="E236" s="15" t="n"/>
      <c r="F236" s="15" t="n"/>
      <c r="G236" s="14">
        <f>IF(F236="","",VALUE(LEFT(F236,1)))</f>
        <v/>
      </c>
      <c r="H236" s="15" t="n"/>
      <c r="I236" s="15" t="n"/>
      <c r="J236" s="15" t="n"/>
      <c r="K236" s="13" t="n"/>
    </row>
    <row r="237">
      <c r="A237" s="13" t="n"/>
      <c r="B237" s="14">
        <f>IF(OR(A237="",Configurações!$B$5=""),"",INT((A237-Configurações!$B$5)/7)+1)</f>
        <v/>
      </c>
      <c r="C237" s="15" t="n"/>
      <c r="D237" s="15" t="n"/>
      <c r="E237" s="15" t="n"/>
      <c r="F237" s="15" t="n"/>
      <c r="G237" s="14">
        <f>IF(F237="","",VALUE(LEFT(F237,1)))</f>
        <v/>
      </c>
      <c r="H237" s="15" t="n"/>
      <c r="I237" s="15" t="n"/>
      <c r="J237" s="15" t="n"/>
      <c r="K237" s="13" t="n"/>
    </row>
    <row r="238">
      <c r="A238" s="13" t="n"/>
      <c r="B238" s="14">
        <f>IF(OR(A238="",Configurações!$B$5=""),"",INT((A238-Configurações!$B$5)/7)+1)</f>
        <v/>
      </c>
      <c r="C238" s="15" t="n"/>
      <c r="D238" s="15" t="n"/>
      <c r="E238" s="15" t="n"/>
      <c r="F238" s="15" t="n"/>
      <c r="G238" s="14">
        <f>IF(F238="","",VALUE(LEFT(F238,1)))</f>
        <v/>
      </c>
      <c r="H238" s="15" t="n"/>
      <c r="I238" s="15" t="n"/>
      <c r="J238" s="15" t="n"/>
      <c r="K238" s="13" t="n"/>
    </row>
    <row r="239">
      <c r="A239" s="13" t="n"/>
      <c r="B239" s="14">
        <f>IF(OR(A239="",Configurações!$B$5=""),"",INT((A239-Configurações!$B$5)/7)+1)</f>
        <v/>
      </c>
      <c r="C239" s="15" t="n"/>
      <c r="D239" s="15" t="n"/>
      <c r="E239" s="15" t="n"/>
      <c r="F239" s="15" t="n"/>
      <c r="G239" s="14">
        <f>IF(F239="","",VALUE(LEFT(F239,1)))</f>
        <v/>
      </c>
      <c r="H239" s="15" t="n"/>
      <c r="I239" s="15" t="n"/>
      <c r="J239" s="15" t="n"/>
      <c r="K239" s="13" t="n"/>
    </row>
    <row r="240">
      <c r="A240" s="13" t="n"/>
      <c r="B240" s="14">
        <f>IF(OR(A240="",Configurações!$B$5=""),"",INT((A240-Configurações!$B$5)/7)+1)</f>
        <v/>
      </c>
      <c r="C240" s="15" t="n"/>
      <c r="D240" s="15" t="n"/>
      <c r="E240" s="15" t="n"/>
      <c r="F240" s="15" t="n"/>
      <c r="G240" s="14">
        <f>IF(F240="","",VALUE(LEFT(F240,1)))</f>
        <v/>
      </c>
      <c r="H240" s="15" t="n"/>
      <c r="I240" s="15" t="n"/>
      <c r="J240" s="15" t="n"/>
      <c r="K240" s="13" t="n"/>
    </row>
    <row r="241">
      <c r="A241" s="13" t="n"/>
      <c r="B241" s="14">
        <f>IF(OR(A241="",Configurações!$B$5=""),"",INT((A241-Configurações!$B$5)/7)+1)</f>
        <v/>
      </c>
      <c r="C241" s="15" t="n"/>
      <c r="D241" s="15" t="n"/>
      <c r="E241" s="15" t="n"/>
      <c r="F241" s="15" t="n"/>
      <c r="G241" s="14">
        <f>IF(F241="","",VALUE(LEFT(F241,1)))</f>
        <v/>
      </c>
      <c r="H241" s="15" t="n"/>
      <c r="I241" s="15" t="n"/>
      <c r="J241" s="15" t="n"/>
      <c r="K241" s="13" t="n"/>
    </row>
    <row r="242">
      <c r="A242" s="13" t="n"/>
      <c r="B242" s="14">
        <f>IF(OR(A242="",Configurações!$B$5=""),"",INT((A242-Configurações!$B$5)/7)+1)</f>
        <v/>
      </c>
      <c r="C242" s="15" t="n"/>
      <c r="D242" s="15" t="n"/>
      <c r="E242" s="15" t="n"/>
      <c r="F242" s="15" t="n"/>
      <c r="G242" s="14">
        <f>IF(F242="","",VALUE(LEFT(F242,1)))</f>
        <v/>
      </c>
      <c r="H242" s="15" t="n"/>
      <c r="I242" s="15" t="n"/>
      <c r="J242" s="15" t="n"/>
      <c r="K242" s="13" t="n"/>
    </row>
    <row r="243">
      <c r="A243" s="13" t="n"/>
      <c r="B243" s="14">
        <f>IF(OR(A243="",Configurações!$B$5=""),"",INT((A243-Configurações!$B$5)/7)+1)</f>
        <v/>
      </c>
      <c r="C243" s="15" t="n"/>
      <c r="D243" s="15" t="n"/>
      <c r="E243" s="15" t="n"/>
      <c r="F243" s="15" t="n"/>
      <c r="G243" s="14">
        <f>IF(F243="","",VALUE(LEFT(F243,1)))</f>
        <v/>
      </c>
      <c r="H243" s="15" t="n"/>
      <c r="I243" s="15" t="n"/>
      <c r="J243" s="15" t="n"/>
      <c r="K243" s="13" t="n"/>
    </row>
    <row r="244">
      <c r="A244" s="13" t="n"/>
      <c r="B244" s="14">
        <f>IF(OR(A244="",Configurações!$B$5=""),"",INT((A244-Configurações!$B$5)/7)+1)</f>
        <v/>
      </c>
      <c r="C244" s="15" t="n"/>
      <c r="D244" s="15" t="n"/>
      <c r="E244" s="15" t="n"/>
      <c r="F244" s="15" t="n"/>
      <c r="G244" s="14">
        <f>IF(F244="","",VALUE(LEFT(F244,1)))</f>
        <v/>
      </c>
      <c r="H244" s="15" t="n"/>
      <c r="I244" s="15" t="n"/>
      <c r="J244" s="15" t="n"/>
      <c r="K244" s="13" t="n"/>
    </row>
    <row r="245">
      <c r="A245" s="13" t="n"/>
      <c r="B245" s="14">
        <f>IF(OR(A245="",Configurações!$B$5=""),"",INT((A245-Configurações!$B$5)/7)+1)</f>
        <v/>
      </c>
      <c r="C245" s="15" t="n"/>
      <c r="D245" s="15" t="n"/>
      <c r="E245" s="15" t="n"/>
      <c r="F245" s="15" t="n"/>
      <c r="G245" s="14">
        <f>IF(F245="","",VALUE(LEFT(F245,1)))</f>
        <v/>
      </c>
      <c r="H245" s="15" t="n"/>
      <c r="I245" s="15" t="n"/>
      <c r="J245" s="15" t="n"/>
      <c r="K245" s="13" t="n"/>
    </row>
    <row r="246">
      <c r="A246" s="13" t="n"/>
      <c r="B246" s="14">
        <f>IF(OR(A246="",Configurações!$B$5=""),"",INT((A246-Configurações!$B$5)/7)+1)</f>
        <v/>
      </c>
      <c r="C246" s="15" t="n"/>
      <c r="D246" s="15" t="n"/>
      <c r="E246" s="15" t="n"/>
      <c r="F246" s="15" t="n"/>
      <c r="G246" s="14">
        <f>IF(F246="","",VALUE(LEFT(F246,1)))</f>
        <v/>
      </c>
      <c r="H246" s="15" t="n"/>
      <c r="I246" s="15" t="n"/>
      <c r="J246" s="15" t="n"/>
      <c r="K246" s="13" t="n"/>
    </row>
    <row r="247">
      <c r="A247" s="13" t="n"/>
      <c r="B247" s="14">
        <f>IF(OR(A247="",Configurações!$B$5=""),"",INT((A247-Configurações!$B$5)/7)+1)</f>
        <v/>
      </c>
      <c r="C247" s="15" t="n"/>
      <c r="D247" s="15" t="n"/>
      <c r="E247" s="15" t="n"/>
      <c r="F247" s="15" t="n"/>
      <c r="G247" s="14">
        <f>IF(F247="","",VALUE(LEFT(F247,1)))</f>
        <v/>
      </c>
      <c r="H247" s="15" t="n"/>
      <c r="I247" s="15" t="n"/>
      <c r="J247" s="15" t="n"/>
      <c r="K247" s="13" t="n"/>
    </row>
    <row r="248">
      <c r="A248" s="13" t="n"/>
      <c r="B248" s="14">
        <f>IF(OR(A248="",Configurações!$B$5=""),"",INT((A248-Configurações!$B$5)/7)+1)</f>
        <v/>
      </c>
      <c r="C248" s="15" t="n"/>
      <c r="D248" s="15" t="n"/>
      <c r="E248" s="15" t="n"/>
      <c r="F248" s="15" t="n"/>
      <c r="G248" s="14">
        <f>IF(F248="","",VALUE(LEFT(F248,1)))</f>
        <v/>
      </c>
      <c r="H248" s="15" t="n"/>
      <c r="I248" s="15" t="n"/>
      <c r="J248" s="15" t="n"/>
      <c r="K248" s="13" t="n"/>
    </row>
    <row r="249">
      <c r="A249" s="13" t="n"/>
      <c r="B249" s="14">
        <f>IF(OR(A249="",Configurações!$B$5=""),"",INT((A249-Configurações!$B$5)/7)+1)</f>
        <v/>
      </c>
      <c r="C249" s="15" t="n"/>
      <c r="D249" s="15" t="n"/>
      <c r="E249" s="15" t="n"/>
      <c r="F249" s="15" t="n"/>
      <c r="G249" s="14">
        <f>IF(F249="","",VALUE(LEFT(F249,1)))</f>
        <v/>
      </c>
      <c r="H249" s="15" t="n"/>
      <c r="I249" s="15" t="n"/>
      <c r="J249" s="15" t="n"/>
      <c r="K249" s="13" t="n"/>
    </row>
    <row r="250">
      <c r="A250" s="13" t="n"/>
      <c r="B250" s="14">
        <f>IF(OR(A250="",Configurações!$B$5=""),"",INT((A250-Configurações!$B$5)/7)+1)</f>
        <v/>
      </c>
      <c r="C250" s="15" t="n"/>
      <c r="D250" s="15" t="n"/>
      <c r="E250" s="15" t="n"/>
      <c r="F250" s="15" t="n"/>
      <c r="G250" s="14">
        <f>IF(F250="","",VALUE(LEFT(F250,1)))</f>
        <v/>
      </c>
      <c r="H250" s="15" t="n"/>
      <c r="I250" s="15" t="n"/>
      <c r="J250" s="15" t="n"/>
      <c r="K250" s="13" t="n"/>
    </row>
    <row r="251">
      <c r="A251" s="13" t="n"/>
      <c r="B251" s="14">
        <f>IF(OR(A251="",Configurações!$B$5=""),"",INT((A251-Configurações!$B$5)/7)+1)</f>
        <v/>
      </c>
      <c r="C251" s="15" t="n"/>
      <c r="D251" s="15" t="n"/>
      <c r="E251" s="15" t="n"/>
      <c r="F251" s="15" t="n"/>
      <c r="G251" s="14">
        <f>IF(F251="","",VALUE(LEFT(F251,1)))</f>
        <v/>
      </c>
      <c r="H251" s="15" t="n"/>
      <c r="I251" s="15" t="n"/>
      <c r="J251" s="15" t="n"/>
      <c r="K251" s="13" t="n"/>
    </row>
    <row r="252">
      <c r="A252" s="13" t="n"/>
      <c r="B252" s="14">
        <f>IF(OR(A252="",Configurações!$B$5=""),"",INT((A252-Configurações!$B$5)/7)+1)</f>
        <v/>
      </c>
      <c r="C252" s="15" t="n"/>
      <c r="D252" s="15" t="n"/>
      <c r="E252" s="15" t="n"/>
      <c r="F252" s="15" t="n"/>
      <c r="G252" s="14">
        <f>IF(F252="","",VALUE(LEFT(F252,1)))</f>
        <v/>
      </c>
      <c r="H252" s="15" t="n"/>
      <c r="I252" s="15" t="n"/>
      <c r="J252" s="15" t="n"/>
      <c r="K252" s="13" t="n"/>
    </row>
    <row r="253">
      <c r="A253" s="13" t="n"/>
      <c r="B253" s="14">
        <f>IF(OR(A253="",Configurações!$B$5=""),"",INT((A253-Configurações!$B$5)/7)+1)</f>
        <v/>
      </c>
      <c r="C253" s="15" t="n"/>
      <c r="D253" s="15" t="n"/>
      <c r="E253" s="15" t="n"/>
      <c r="F253" s="15" t="n"/>
      <c r="G253" s="14">
        <f>IF(F253="","",VALUE(LEFT(F253,1)))</f>
        <v/>
      </c>
      <c r="H253" s="15" t="n"/>
      <c r="I253" s="15" t="n"/>
      <c r="J253" s="15" t="n"/>
      <c r="K253" s="13" t="n"/>
    </row>
    <row r="254">
      <c r="A254" s="13" t="n"/>
      <c r="B254" s="14">
        <f>IF(OR(A254="",Configurações!$B$5=""),"",INT((A254-Configurações!$B$5)/7)+1)</f>
        <v/>
      </c>
      <c r="C254" s="15" t="n"/>
      <c r="D254" s="15" t="n"/>
      <c r="E254" s="15" t="n"/>
      <c r="F254" s="15" t="n"/>
      <c r="G254" s="14">
        <f>IF(F254="","",VALUE(LEFT(F254,1)))</f>
        <v/>
      </c>
      <c r="H254" s="15" t="n"/>
      <c r="I254" s="15" t="n"/>
      <c r="J254" s="15" t="n"/>
      <c r="K254" s="13" t="n"/>
    </row>
    <row r="255">
      <c r="A255" s="13" t="n"/>
      <c r="B255" s="14">
        <f>IF(OR(A255="",Configurações!$B$5=""),"",INT((A255-Configurações!$B$5)/7)+1)</f>
        <v/>
      </c>
      <c r="C255" s="15" t="n"/>
      <c r="D255" s="15" t="n"/>
      <c r="E255" s="15" t="n"/>
      <c r="F255" s="15" t="n"/>
      <c r="G255" s="14">
        <f>IF(F255="","",VALUE(LEFT(F255,1)))</f>
        <v/>
      </c>
      <c r="H255" s="15" t="n"/>
      <c r="I255" s="15" t="n"/>
      <c r="J255" s="15" t="n"/>
      <c r="K255" s="13" t="n"/>
    </row>
    <row r="256">
      <c r="A256" s="13" t="n"/>
      <c r="B256" s="14">
        <f>IF(OR(A256="",Configurações!$B$5=""),"",INT((A256-Configurações!$B$5)/7)+1)</f>
        <v/>
      </c>
      <c r="C256" s="15" t="n"/>
      <c r="D256" s="15" t="n"/>
      <c r="E256" s="15" t="n"/>
      <c r="F256" s="15" t="n"/>
      <c r="G256" s="14">
        <f>IF(F256="","",VALUE(LEFT(F256,1)))</f>
        <v/>
      </c>
      <c r="H256" s="15" t="n"/>
      <c r="I256" s="15" t="n"/>
      <c r="J256" s="15" t="n"/>
      <c r="K256" s="13" t="n"/>
    </row>
    <row r="257">
      <c r="A257" s="13" t="n"/>
      <c r="B257" s="14">
        <f>IF(OR(A257="",Configurações!$B$5=""),"",INT((A257-Configurações!$B$5)/7)+1)</f>
        <v/>
      </c>
      <c r="C257" s="15" t="n"/>
      <c r="D257" s="15" t="n"/>
      <c r="E257" s="15" t="n"/>
      <c r="F257" s="15" t="n"/>
      <c r="G257" s="14">
        <f>IF(F257="","",VALUE(LEFT(F257,1)))</f>
        <v/>
      </c>
      <c r="H257" s="15" t="n"/>
      <c r="I257" s="15" t="n"/>
      <c r="J257" s="15" t="n"/>
      <c r="K257" s="13" t="n"/>
    </row>
    <row r="258">
      <c r="A258" s="13" t="n"/>
      <c r="B258" s="14">
        <f>IF(OR(A258="",Configurações!$B$5=""),"",INT((A258-Configurações!$B$5)/7)+1)</f>
        <v/>
      </c>
      <c r="C258" s="15" t="n"/>
      <c r="D258" s="15" t="n"/>
      <c r="E258" s="15" t="n"/>
      <c r="F258" s="15" t="n"/>
      <c r="G258" s="14">
        <f>IF(F258="","",VALUE(LEFT(F258,1)))</f>
        <v/>
      </c>
      <c r="H258" s="15" t="n"/>
      <c r="I258" s="15" t="n"/>
      <c r="J258" s="15" t="n"/>
      <c r="K258" s="13" t="n"/>
    </row>
    <row r="259">
      <c r="A259" s="13" t="n"/>
      <c r="B259" s="14">
        <f>IF(OR(A259="",Configurações!$B$5=""),"",INT((A259-Configurações!$B$5)/7)+1)</f>
        <v/>
      </c>
      <c r="C259" s="15" t="n"/>
      <c r="D259" s="15" t="n"/>
      <c r="E259" s="15" t="n"/>
      <c r="F259" s="15" t="n"/>
      <c r="G259" s="14">
        <f>IF(F259="","",VALUE(LEFT(F259,1)))</f>
        <v/>
      </c>
      <c r="H259" s="15" t="n"/>
      <c r="I259" s="15" t="n"/>
      <c r="J259" s="15" t="n"/>
      <c r="K259" s="13" t="n"/>
    </row>
    <row r="260">
      <c r="A260" s="13" t="n"/>
      <c r="B260" s="14">
        <f>IF(OR(A260="",Configurações!$B$5=""),"",INT((A260-Configurações!$B$5)/7)+1)</f>
        <v/>
      </c>
      <c r="C260" s="15" t="n"/>
      <c r="D260" s="15" t="n"/>
      <c r="E260" s="15" t="n"/>
      <c r="F260" s="15" t="n"/>
      <c r="G260" s="14">
        <f>IF(F260="","",VALUE(LEFT(F260,1)))</f>
        <v/>
      </c>
      <c r="H260" s="15" t="n"/>
      <c r="I260" s="15" t="n"/>
      <c r="J260" s="15" t="n"/>
      <c r="K260" s="13" t="n"/>
    </row>
    <row r="261">
      <c r="A261" s="13" t="n"/>
      <c r="B261" s="14">
        <f>IF(OR(A261="",Configurações!$B$5=""),"",INT((A261-Configurações!$B$5)/7)+1)</f>
        <v/>
      </c>
      <c r="C261" s="15" t="n"/>
      <c r="D261" s="15" t="n"/>
      <c r="E261" s="15" t="n"/>
      <c r="F261" s="15" t="n"/>
      <c r="G261" s="14">
        <f>IF(F261="","",VALUE(LEFT(F261,1)))</f>
        <v/>
      </c>
      <c r="H261" s="15" t="n"/>
      <c r="I261" s="15" t="n"/>
      <c r="J261" s="15" t="n"/>
      <c r="K261" s="13" t="n"/>
    </row>
    <row r="262">
      <c r="A262" s="13" t="n"/>
      <c r="B262" s="14">
        <f>IF(OR(A262="",Configurações!$B$5=""),"",INT((A262-Configurações!$B$5)/7)+1)</f>
        <v/>
      </c>
      <c r="C262" s="15" t="n"/>
      <c r="D262" s="15" t="n"/>
      <c r="E262" s="15" t="n"/>
      <c r="F262" s="15" t="n"/>
      <c r="G262" s="14">
        <f>IF(F262="","",VALUE(LEFT(F262,1)))</f>
        <v/>
      </c>
      <c r="H262" s="15" t="n"/>
      <c r="I262" s="15" t="n"/>
      <c r="J262" s="15" t="n"/>
      <c r="K262" s="13" t="n"/>
    </row>
    <row r="263">
      <c r="A263" s="13" t="n"/>
      <c r="B263" s="14">
        <f>IF(OR(A263="",Configurações!$B$5=""),"",INT((A263-Configurações!$B$5)/7)+1)</f>
        <v/>
      </c>
      <c r="C263" s="15" t="n"/>
      <c r="D263" s="15" t="n"/>
      <c r="E263" s="15" t="n"/>
      <c r="F263" s="15" t="n"/>
      <c r="G263" s="14">
        <f>IF(F263="","",VALUE(LEFT(F263,1)))</f>
        <v/>
      </c>
      <c r="H263" s="15" t="n"/>
      <c r="I263" s="15" t="n"/>
      <c r="J263" s="15" t="n"/>
      <c r="K263" s="13" t="n"/>
    </row>
    <row r="264">
      <c r="A264" s="13" t="n"/>
      <c r="B264" s="14">
        <f>IF(OR(A264="",Configurações!$B$5=""),"",INT((A264-Configurações!$B$5)/7)+1)</f>
        <v/>
      </c>
      <c r="C264" s="15" t="n"/>
      <c r="D264" s="15" t="n"/>
      <c r="E264" s="15" t="n"/>
      <c r="F264" s="15" t="n"/>
      <c r="G264" s="14">
        <f>IF(F264="","",VALUE(LEFT(F264,1)))</f>
        <v/>
      </c>
      <c r="H264" s="15" t="n"/>
      <c r="I264" s="15" t="n"/>
      <c r="J264" s="15" t="n"/>
      <c r="K264" s="13" t="n"/>
    </row>
    <row r="265">
      <c r="A265" s="13" t="n"/>
      <c r="B265" s="14">
        <f>IF(OR(A265="",Configurações!$B$5=""),"",INT((A265-Configurações!$B$5)/7)+1)</f>
        <v/>
      </c>
      <c r="C265" s="15" t="n"/>
      <c r="D265" s="15" t="n"/>
      <c r="E265" s="15" t="n"/>
      <c r="F265" s="15" t="n"/>
      <c r="G265" s="14">
        <f>IF(F265="","",VALUE(LEFT(F265,1)))</f>
        <v/>
      </c>
      <c r="H265" s="15" t="n"/>
      <c r="I265" s="15" t="n"/>
      <c r="J265" s="15" t="n"/>
      <c r="K265" s="13" t="n"/>
    </row>
    <row r="266">
      <c r="A266" s="13" t="n"/>
      <c r="B266" s="14">
        <f>IF(OR(A266="",Configurações!$B$5=""),"",INT((A266-Configurações!$B$5)/7)+1)</f>
        <v/>
      </c>
      <c r="C266" s="15" t="n"/>
      <c r="D266" s="15" t="n"/>
      <c r="E266" s="15" t="n"/>
      <c r="F266" s="15" t="n"/>
      <c r="G266" s="14">
        <f>IF(F266="","",VALUE(LEFT(F266,1)))</f>
        <v/>
      </c>
      <c r="H266" s="15" t="n"/>
      <c r="I266" s="15" t="n"/>
      <c r="J266" s="15" t="n"/>
      <c r="K266" s="13" t="n"/>
    </row>
    <row r="267">
      <c r="A267" s="13" t="n"/>
      <c r="B267" s="14">
        <f>IF(OR(A267="",Configurações!$B$5=""),"",INT((A267-Configurações!$B$5)/7)+1)</f>
        <v/>
      </c>
      <c r="C267" s="15" t="n"/>
      <c r="D267" s="15" t="n"/>
      <c r="E267" s="15" t="n"/>
      <c r="F267" s="15" t="n"/>
      <c r="G267" s="14">
        <f>IF(F267="","",VALUE(LEFT(F267,1)))</f>
        <v/>
      </c>
      <c r="H267" s="15" t="n"/>
      <c r="I267" s="15" t="n"/>
      <c r="J267" s="15" t="n"/>
      <c r="K267" s="13" t="n"/>
    </row>
    <row r="268">
      <c r="A268" s="13" t="n"/>
      <c r="B268" s="14">
        <f>IF(OR(A268="",Configurações!$B$5=""),"",INT((A268-Configurações!$B$5)/7)+1)</f>
        <v/>
      </c>
      <c r="C268" s="15" t="n"/>
      <c r="D268" s="15" t="n"/>
      <c r="E268" s="15" t="n"/>
      <c r="F268" s="15" t="n"/>
      <c r="G268" s="14">
        <f>IF(F268="","",VALUE(LEFT(F268,1)))</f>
        <v/>
      </c>
      <c r="H268" s="15" t="n"/>
      <c r="I268" s="15" t="n"/>
      <c r="J268" s="15" t="n"/>
      <c r="K268" s="13" t="n"/>
    </row>
    <row r="269">
      <c r="A269" s="13" t="n"/>
      <c r="B269" s="14">
        <f>IF(OR(A269="",Configurações!$B$5=""),"",INT((A269-Configurações!$B$5)/7)+1)</f>
        <v/>
      </c>
      <c r="C269" s="15" t="n"/>
      <c r="D269" s="15" t="n"/>
      <c r="E269" s="15" t="n"/>
      <c r="F269" s="15" t="n"/>
      <c r="G269" s="14">
        <f>IF(F269="","",VALUE(LEFT(F269,1)))</f>
        <v/>
      </c>
      <c r="H269" s="15" t="n"/>
      <c r="I269" s="15" t="n"/>
      <c r="J269" s="15" t="n"/>
      <c r="K269" s="13" t="n"/>
    </row>
    <row r="270">
      <c r="A270" s="13" t="n"/>
      <c r="B270" s="14">
        <f>IF(OR(A270="",Configurações!$B$5=""),"",INT((A270-Configurações!$B$5)/7)+1)</f>
        <v/>
      </c>
      <c r="C270" s="15" t="n"/>
      <c r="D270" s="15" t="n"/>
      <c r="E270" s="15" t="n"/>
      <c r="F270" s="15" t="n"/>
      <c r="G270" s="14">
        <f>IF(F270="","",VALUE(LEFT(F270,1)))</f>
        <v/>
      </c>
      <c r="H270" s="15" t="n"/>
      <c r="I270" s="15" t="n"/>
      <c r="J270" s="15" t="n"/>
      <c r="K270" s="13" t="n"/>
    </row>
    <row r="271">
      <c r="A271" s="13" t="n"/>
      <c r="B271" s="14">
        <f>IF(OR(A271="",Configurações!$B$5=""),"",INT((A271-Configurações!$B$5)/7)+1)</f>
        <v/>
      </c>
      <c r="C271" s="15" t="n"/>
      <c r="D271" s="15" t="n"/>
      <c r="E271" s="15" t="n"/>
      <c r="F271" s="15" t="n"/>
      <c r="G271" s="14">
        <f>IF(F271="","",VALUE(LEFT(F271,1)))</f>
        <v/>
      </c>
      <c r="H271" s="15" t="n"/>
      <c r="I271" s="15" t="n"/>
      <c r="J271" s="15" t="n"/>
      <c r="K271" s="13" t="n"/>
    </row>
    <row r="272">
      <c r="A272" s="13" t="n"/>
      <c r="B272" s="14">
        <f>IF(OR(A272="",Configurações!$B$5=""),"",INT((A272-Configurações!$B$5)/7)+1)</f>
        <v/>
      </c>
      <c r="C272" s="15" t="n"/>
      <c r="D272" s="15" t="n"/>
      <c r="E272" s="15" t="n"/>
      <c r="F272" s="15" t="n"/>
      <c r="G272" s="14">
        <f>IF(F272="","",VALUE(LEFT(F272,1)))</f>
        <v/>
      </c>
      <c r="H272" s="15" t="n"/>
      <c r="I272" s="15" t="n"/>
      <c r="J272" s="15" t="n"/>
      <c r="K272" s="13" t="n"/>
    </row>
    <row r="273">
      <c r="A273" s="13" t="n"/>
      <c r="B273" s="14">
        <f>IF(OR(A273="",Configurações!$B$5=""),"",INT((A273-Configurações!$B$5)/7)+1)</f>
        <v/>
      </c>
      <c r="C273" s="15" t="n"/>
      <c r="D273" s="15" t="n"/>
      <c r="E273" s="15" t="n"/>
      <c r="F273" s="15" t="n"/>
      <c r="G273" s="14">
        <f>IF(F273="","",VALUE(LEFT(F273,1)))</f>
        <v/>
      </c>
      <c r="H273" s="15" t="n"/>
      <c r="I273" s="15" t="n"/>
      <c r="J273" s="15" t="n"/>
      <c r="K273" s="13" t="n"/>
    </row>
    <row r="274">
      <c r="A274" s="13" t="n"/>
      <c r="B274" s="14">
        <f>IF(OR(A274="",Configurações!$B$5=""),"",INT((A274-Configurações!$B$5)/7)+1)</f>
        <v/>
      </c>
      <c r="C274" s="15" t="n"/>
      <c r="D274" s="15" t="n"/>
      <c r="E274" s="15" t="n"/>
      <c r="F274" s="15" t="n"/>
      <c r="G274" s="14">
        <f>IF(F274="","",VALUE(LEFT(F274,1)))</f>
        <v/>
      </c>
      <c r="H274" s="15" t="n"/>
      <c r="I274" s="15" t="n"/>
      <c r="J274" s="15" t="n"/>
      <c r="K274" s="13" t="n"/>
    </row>
    <row r="275">
      <c r="A275" s="13" t="n"/>
      <c r="B275" s="14">
        <f>IF(OR(A275="",Configurações!$B$5=""),"",INT((A275-Configurações!$B$5)/7)+1)</f>
        <v/>
      </c>
      <c r="C275" s="15" t="n"/>
      <c r="D275" s="15" t="n"/>
      <c r="E275" s="15" t="n"/>
      <c r="F275" s="15" t="n"/>
      <c r="G275" s="14">
        <f>IF(F275="","",VALUE(LEFT(F275,1)))</f>
        <v/>
      </c>
      <c r="H275" s="15" t="n"/>
      <c r="I275" s="15" t="n"/>
      <c r="J275" s="15" t="n"/>
      <c r="K275" s="13" t="n"/>
    </row>
    <row r="276">
      <c r="A276" s="13" t="n"/>
      <c r="B276" s="14">
        <f>IF(OR(A276="",Configurações!$B$5=""),"",INT((A276-Configurações!$B$5)/7)+1)</f>
        <v/>
      </c>
      <c r="C276" s="15" t="n"/>
      <c r="D276" s="15" t="n"/>
      <c r="E276" s="15" t="n"/>
      <c r="F276" s="15" t="n"/>
      <c r="G276" s="14">
        <f>IF(F276="","",VALUE(LEFT(F276,1)))</f>
        <v/>
      </c>
      <c r="H276" s="15" t="n"/>
      <c r="I276" s="15" t="n"/>
      <c r="J276" s="15" t="n"/>
      <c r="K276" s="13" t="n"/>
    </row>
    <row r="277">
      <c r="A277" s="13" t="n"/>
      <c r="B277" s="14">
        <f>IF(OR(A277="",Configurações!$B$5=""),"",INT((A277-Configurações!$B$5)/7)+1)</f>
        <v/>
      </c>
      <c r="C277" s="15" t="n"/>
      <c r="D277" s="15" t="n"/>
      <c r="E277" s="15" t="n"/>
      <c r="F277" s="15" t="n"/>
      <c r="G277" s="14">
        <f>IF(F277="","",VALUE(LEFT(F277,1)))</f>
        <v/>
      </c>
      <c r="H277" s="15" t="n"/>
      <c r="I277" s="15" t="n"/>
      <c r="J277" s="15" t="n"/>
      <c r="K277" s="13" t="n"/>
    </row>
    <row r="278">
      <c r="A278" s="13" t="n"/>
      <c r="B278" s="14">
        <f>IF(OR(A278="",Configurações!$B$5=""),"",INT((A278-Configurações!$B$5)/7)+1)</f>
        <v/>
      </c>
      <c r="C278" s="15" t="n"/>
      <c r="D278" s="15" t="n"/>
      <c r="E278" s="15" t="n"/>
      <c r="F278" s="15" t="n"/>
      <c r="G278" s="14">
        <f>IF(F278="","",VALUE(LEFT(F278,1)))</f>
        <v/>
      </c>
      <c r="H278" s="15" t="n"/>
      <c r="I278" s="15" t="n"/>
      <c r="J278" s="15" t="n"/>
      <c r="K278" s="13" t="n"/>
    </row>
    <row r="279">
      <c r="A279" s="13" t="n"/>
      <c r="B279" s="14">
        <f>IF(OR(A279="",Configurações!$B$5=""),"",INT((A279-Configurações!$B$5)/7)+1)</f>
        <v/>
      </c>
      <c r="C279" s="15" t="n"/>
      <c r="D279" s="15" t="n"/>
      <c r="E279" s="15" t="n"/>
      <c r="F279" s="15" t="n"/>
      <c r="G279" s="14">
        <f>IF(F279="","",VALUE(LEFT(F279,1)))</f>
        <v/>
      </c>
      <c r="H279" s="15" t="n"/>
      <c r="I279" s="15" t="n"/>
      <c r="J279" s="15" t="n"/>
      <c r="K279" s="13" t="n"/>
    </row>
    <row r="280">
      <c r="A280" s="13" t="n"/>
      <c r="B280" s="14">
        <f>IF(OR(A280="",Configurações!$B$5=""),"",INT((A280-Configurações!$B$5)/7)+1)</f>
        <v/>
      </c>
      <c r="C280" s="15" t="n"/>
      <c r="D280" s="15" t="n"/>
      <c r="E280" s="15" t="n"/>
      <c r="F280" s="15" t="n"/>
      <c r="G280" s="14">
        <f>IF(F280="","",VALUE(LEFT(F280,1)))</f>
        <v/>
      </c>
      <c r="H280" s="15" t="n"/>
      <c r="I280" s="15" t="n"/>
      <c r="J280" s="15" t="n"/>
      <c r="K280" s="13" t="n"/>
    </row>
    <row r="281">
      <c r="A281" s="13" t="n"/>
      <c r="B281" s="14">
        <f>IF(OR(A281="",Configurações!$B$5=""),"",INT((A281-Configurações!$B$5)/7)+1)</f>
        <v/>
      </c>
      <c r="C281" s="15" t="n"/>
      <c r="D281" s="15" t="n"/>
      <c r="E281" s="15" t="n"/>
      <c r="F281" s="15" t="n"/>
      <c r="G281" s="14">
        <f>IF(F281="","",VALUE(LEFT(F281,1)))</f>
        <v/>
      </c>
      <c r="H281" s="15" t="n"/>
      <c r="I281" s="15" t="n"/>
      <c r="J281" s="15" t="n"/>
      <c r="K281" s="13" t="n"/>
    </row>
    <row r="282">
      <c r="A282" s="13" t="n"/>
      <c r="B282" s="14">
        <f>IF(OR(A282="",Configurações!$B$5=""),"",INT((A282-Configurações!$B$5)/7)+1)</f>
        <v/>
      </c>
      <c r="C282" s="15" t="n"/>
      <c r="D282" s="15" t="n"/>
      <c r="E282" s="15" t="n"/>
      <c r="F282" s="15" t="n"/>
      <c r="G282" s="14">
        <f>IF(F282="","",VALUE(LEFT(F282,1)))</f>
        <v/>
      </c>
      <c r="H282" s="15" t="n"/>
      <c r="I282" s="15" t="n"/>
      <c r="J282" s="15" t="n"/>
      <c r="K282" s="13" t="n"/>
    </row>
    <row r="283">
      <c r="A283" s="13" t="n"/>
      <c r="B283" s="14">
        <f>IF(OR(A283="",Configurações!$B$5=""),"",INT((A283-Configurações!$B$5)/7)+1)</f>
        <v/>
      </c>
      <c r="C283" s="15" t="n"/>
      <c r="D283" s="15" t="n"/>
      <c r="E283" s="15" t="n"/>
      <c r="F283" s="15" t="n"/>
      <c r="G283" s="14">
        <f>IF(F283="","",VALUE(LEFT(F283,1)))</f>
        <v/>
      </c>
      <c r="H283" s="15" t="n"/>
      <c r="I283" s="15" t="n"/>
      <c r="J283" s="15" t="n"/>
      <c r="K283" s="13" t="n"/>
    </row>
    <row r="284">
      <c r="A284" s="13" t="n"/>
      <c r="B284" s="14">
        <f>IF(OR(A284="",Configurações!$B$5=""),"",INT((A284-Configurações!$B$5)/7)+1)</f>
        <v/>
      </c>
      <c r="C284" s="15" t="n"/>
      <c r="D284" s="15" t="n"/>
      <c r="E284" s="15" t="n"/>
      <c r="F284" s="15" t="n"/>
      <c r="G284" s="14">
        <f>IF(F284="","",VALUE(LEFT(F284,1)))</f>
        <v/>
      </c>
      <c r="H284" s="15" t="n"/>
      <c r="I284" s="15" t="n"/>
      <c r="J284" s="15" t="n"/>
      <c r="K284" s="13" t="n"/>
    </row>
    <row r="285">
      <c r="A285" s="13" t="n"/>
      <c r="B285" s="14">
        <f>IF(OR(A285="",Configurações!$B$5=""),"",INT((A285-Configurações!$B$5)/7)+1)</f>
        <v/>
      </c>
      <c r="C285" s="15" t="n"/>
      <c r="D285" s="15" t="n"/>
      <c r="E285" s="15" t="n"/>
      <c r="F285" s="15" t="n"/>
      <c r="G285" s="14">
        <f>IF(F285="","",VALUE(LEFT(F285,1)))</f>
        <v/>
      </c>
      <c r="H285" s="15" t="n"/>
      <c r="I285" s="15" t="n"/>
      <c r="J285" s="15" t="n"/>
      <c r="K285" s="13" t="n"/>
    </row>
    <row r="286">
      <c r="A286" s="13" t="n"/>
      <c r="B286" s="14">
        <f>IF(OR(A286="",Configurações!$B$5=""),"",INT((A286-Configurações!$B$5)/7)+1)</f>
        <v/>
      </c>
      <c r="C286" s="15" t="n"/>
      <c r="D286" s="15" t="n"/>
      <c r="E286" s="15" t="n"/>
      <c r="F286" s="15" t="n"/>
      <c r="G286" s="14">
        <f>IF(F286="","",VALUE(LEFT(F286,1)))</f>
        <v/>
      </c>
      <c r="H286" s="15" t="n"/>
      <c r="I286" s="15" t="n"/>
      <c r="J286" s="15" t="n"/>
      <c r="K286" s="13" t="n"/>
    </row>
    <row r="287">
      <c r="A287" s="13" t="n"/>
      <c r="B287" s="14">
        <f>IF(OR(A287="",Configurações!$B$5=""),"",INT((A287-Configurações!$B$5)/7)+1)</f>
        <v/>
      </c>
      <c r="C287" s="15" t="n"/>
      <c r="D287" s="15" t="n"/>
      <c r="E287" s="15" t="n"/>
      <c r="F287" s="15" t="n"/>
      <c r="G287" s="14">
        <f>IF(F287="","",VALUE(LEFT(F287,1)))</f>
        <v/>
      </c>
      <c r="H287" s="15" t="n"/>
      <c r="I287" s="15" t="n"/>
      <c r="J287" s="15" t="n"/>
      <c r="K287" s="13" t="n"/>
    </row>
    <row r="288">
      <c r="A288" s="13" t="n"/>
      <c r="B288" s="14">
        <f>IF(OR(A288="",Configurações!$B$5=""),"",INT((A288-Configurações!$B$5)/7)+1)</f>
        <v/>
      </c>
      <c r="C288" s="15" t="n"/>
      <c r="D288" s="15" t="n"/>
      <c r="E288" s="15" t="n"/>
      <c r="F288" s="15" t="n"/>
      <c r="G288" s="14">
        <f>IF(F288="","",VALUE(LEFT(F288,1)))</f>
        <v/>
      </c>
      <c r="H288" s="15" t="n"/>
      <c r="I288" s="15" t="n"/>
      <c r="J288" s="15" t="n"/>
      <c r="K288" s="13" t="n"/>
    </row>
    <row r="289">
      <c r="A289" s="13" t="n"/>
      <c r="B289" s="14">
        <f>IF(OR(A289="",Configurações!$B$5=""),"",INT((A289-Configurações!$B$5)/7)+1)</f>
        <v/>
      </c>
      <c r="C289" s="15" t="n"/>
      <c r="D289" s="15" t="n"/>
      <c r="E289" s="15" t="n"/>
      <c r="F289" s="15" t="n"/>
      <c r="G289" s="14">
        <f>IF(F289="","",VALUE(LEFT(F289,1)))</f>
        <v/>
      </c>
      <c r="H289" s="15" t="n"/>
      <c r="I289" s="15" t="n"/>
      <c r="J289" s="15" t="n"/>
      <c r="K289" s="13" t="n"/>
    </row>
    <row r="290">
      <c r="A290" s="13" t="n"/>
      <c r="B290" s="14">
        <f>IF(OR(A290="",Configurações!$B$5=""),"",INT((A290-Configurações!$B$5)/7)+1)</f>
        <v/>
      </c>
      <c r="C290" s="15" t="n"/>
      <c r="D290" s="15" t="n"/>
      <c r="E290" s="15" t="n"/>
      <c r="F290" s="15" t="n"/>
      <c r="G290" s="14">
        <f>IF(F290="","",VALUE(LEFT(F290,1)))</f>
        <v/>
      </c>
      <c r="H290" s="15" t="n"/>
      <c r="I290" s="15" t="n"/>
      <c r="J290" s="15" t="n"/>
      <c r="K290" s="13" t="n"/>
    </row>
    <row r="291">
      <c r="A291" s="13" t="n"/>
      <c r="B291" s="14">
        <f>IF(OR(A291="",Configurações!$B$5=""),"",INT((A291-Configurações!$B$5)/7)+1)</f>
        <v/>
      </c>
      <c r="C291" s="15" t="n"/>
      <c r="D291" s="15" t="n"/>
      <c r="E291" s="15" t="n"/>
      <c r="F291" s="15" t="n"/>
      <c r="G291" s="14">
        <f>IF(F291="","",VALUE(LEFT(F291,1)))</f>
        <v/>
      </c>
      <c r="H291" s="15" t="n"/>
      <c r="I291" s="15" t="n"/>
      <c r="J291" s="15" t="n"/>
      <c r="K291" s="13" t="n"/>
    </row>
    <row r="292">
      <c r="A292" s="13" t="n"/>
      <c r="B292" s="14">
        <f>IF(OR(A292="",Configurações!$B$5=""),"",INT((A292-Configurações!$B$5)/7)+1)</f>
        <v/>
      </c>
      <c r="C292" s="15" t="n"/>
      <c r="D292" s="15" t="n"/>
      <c r="E292" s="15" t="n"/>
      <c r="F292" s="15" t="n"/>
      <c r="G292" s="14">
        <f>IF(F292="","",VALUE(LEFT(F292,1)))</f>
        <v/>
      </c>
      <c r="H292" s="15" t="n"/>
      <c r="I292" s="15" t="n"/>
      <c r="J292" s="15" t="n"/>
      <c r="K292" s="13" t="n"/>
    </row>
    <row r="293">
      <c r="A293" s="13" t="n"/>
      <c r="B293" s="14">
        <f>IF(OR(A293="",Configurações!$B$5=""),"",INT((A293-Configurações!$B$5)/7)+1)</f>
        <v/>
      </c>
      <c r="C293" s="15" t="n"/>
      <c r="D293" s="15" t="n"/>
      <c r="E293" s="15" t="n"/>
      <c r="F293" s="15" t="n"/>
      <c r="G293" s="14">
        <f>IF(F293="","",VALUE(LEFT(F293,1)))</f>
        <v/>
      </c>
      <c r="H293" s="15" t="n"/>
      <c r="I293" s="15" t="n"/>
      <c r="J293" s="15" t="n"/>
      <c r="K293" s="13" t="n"/>
    </row>
    <row r="294">
      <c r="A294" s="13" t="n"/>
      <c r="B294" s="14">
        <f>IF(OR(A294="",Configurações!$B$5=""),"",INT((A294-Configurações!$B$5)/7)+1)</f>
        <v/>
      </c>
      <c r="C294" s="15" t="n"/>
      <c r="D294" s="15" t="n"/>
      <c r="E294" s="15" t="n"/>
      <c r="F294" s="15" t="n"/>
      <c r="G294" s="14">
        <f>IF(F294="","",VALUE(LEFT(F294,1)))</f>
        <v/>
      </c>
      <c r="H294" s="15" t="n"/>
      <c r="I294" s="15" t="n"/>
      <c r="J294" s="15" t="n"/>
      <c r="K294" s="13" t="n"/>
    </row>
    <row r="295">
      <c r="A295" s="13" t="n"/>
      <c r="B295" s="14">
        <f>IF(OR(A295="",Configurações!$B$5=""),"",INT((A295-Configurações!$B$5)/7)+1)</f>
        <v/>
      </c>
      <c r="C295" s="15" t="n"/>
      <c r="D295" s="15" t="n"/>
      <c r="E295" s="15" t="n"/>
      <c r="F295" s="15" t="n"/>
      <c r="G295" s="14">
        <f>IF(F295="","",VALUE(LEFT(F295,1)))</f>
        <v/>
      </c>
      <c r="H295" s="15" t="n"/>
      <c r="I295" s="15" t="n"/>
      <c r="J295" s="15" t="n"/>
      <c r="K295" s="13" t="n"/>
    </row>
    <row r="296">
      <c r="A296" s="13" t="n"/>
      <c r="B296" s="14">
        <f>IF(OR(A296="",Configurações!$B$5=""),"",INT((A296-Configurações!$B$5)/7)+1)</f>
        <v/>
      </c>
      <c r="C296" s="15" t="n"/>
      <c r="D296" s="15" t="n"/>
      <c r="E296" s="15" t="n"/>
      <c r="F296" s="15" t="n"/>
      <c r="G296" s="14">
        <f>IF(F296="","",VALUE(LEFT(F296,1)))</f>
        <v/>
      </c>
      <c r="H296" s="15" t="n"/>
      <c r="I296" s="15" t="n"/>
      <c r="J296" s="15" t="n"/>
      <c r="K296" s="13" t="n"/>
    </row>
    <row r="297">
      <c r="A297" s="13" t="n"/>
      <c r="B297" s="14">
        <f>IF(OR(A297="",Configurações!$B$5=""),"",INT((A297-Configurações!$B$5)/7)+1)</f>
        <v/>
      </c>
      <c r="C297" s="15" t="n"/>
      <c r="D297" s="15" t="n"/>
      <c r="E297" s="15" t="n"/>
      <c r="F297" s="15" t="n"/>
      <c r="G297" s="14">
        <f>IF(F297="","",VALUE(LEFT(F297,1)))</f>
        <v/>
      </c>
      <c r="H297" s="15" t="n"/>
      <c r="I297" s="15" t="n"/>
      <c r="J297" s="15" t="n"/>
      <c r="K297" s="13" t="n"/>
    </row>
    <row r="298">
      <c r="A298" s="13" t="n"/>
      <c r="B298" s="14">
        <f>IF(OR(A298="",Configurações!$B$5=""),"",INT((A298-Configurações!$B$5)/7)+1)</f>
        <v/>
      </c>
      <c r="C298" s="15" t="n"/>
      <c r="D298" s="15" t="n"/>
      <c r="E298" s="15" t="n"/>
      <c r="F298" s="15" t="n"/>
      <c r="G298" s="14">
        <f>IF(F298="","",VALUE(LEFT(F298,1)))</f>
        <v/>
      </c>
      <c r="H298" s="15" t="n"/>
      <c r="I298" s="15" t="n"/>
      <c r="J298" s="15" t="n"/>
      <c r="K298" s="13" t="n"/>
    </row>
    <row r="299">
      <c r="A299" s="13" t="n"/>
      <c r="B299" s="14">
        <f>IF(OR(A299="",Configurações!$B$5=""),"",INT((A299-Configurações!$B$5)/7)+1)</f>
        <v/>
      </c>
      <c r="C299" s="15" t="n"/>
      <c r="D299" s="15" t="n"/>
      <c r="E299" s="15" t="n"/>
      <c r="F299" s="15" t="n"/>
      <c r="G299" s="14">
        <f>IF(F299="","",VALUE(LEFT(F299,1)))</f>
        <v/>
      </c>
      <c r="H299" s="15" t="n"/>
      <c r="I299" s="15" t="n"/>
      <c r="J299" s="15" t="n"/>
      <c r="K299" s="13" t="n"/>
    </row>
    <row r="300">
      <c r="A300" s="13" t="n"/>
      <c r="B300" s="14">
        <f>IF(OR(A300="",Configurações!$B$5=""),"",INT((A300-Configurações!$B$5)/7)+1)</f>
        <v/>
      </c>
      <c r="C300" s="15" t="n"/>
      <c r="D300" s="15" t="n"/>
      <c r="E300" s="15" t="n"/>
      <c r="F300" s="15" t="n"/>
      <c r="G300" s="14">
        <f>IF(F300="","",VALUE(LEFT(F300,1)))</f>
        <v/>
      </c>
      <c r="H300" s="15" t="n"/>
      <c r="I300" s="15" t="n"/>
      <c r="J300" s="15" t="n"/>
      <c r="K300" s="13" t="n"/>
    </row>
    <row r="301">
      <c r="A301" s="13" t="n"/>
      <c r="B301" s="14">
        <f>IF(OR(A301="",Configurações!$B$5=""),"",INT((A301-Configurações!$B$5)/7)+1)</f>
        <v/>
      </c>
      <c r="C301" s="15" t="n"/>
      <c r="D301" s="15" t="n"/>
      <c r="E301" s="15" t="n"/>
      <c r="F301" s="15" t="n"/>
      <c r="G301" s="14">
        <f>IF(F301="","",VALUE(LEFT(F301,1)))</f>
        <v/>
      </c>
      <c r="H301" s="15" t="n"/>
      <c r="I301" s="15" t="n"/>
      <c r="J301" s="15" t="n"/>
      <c r="K301" s="13" t="n"/>
    </row>
    <row r="302">
      <c r="A302" s="13" t="n"/>
      <c r="B302" s="14">
        <f>IF(OR(A302="",Configurações!$B$5=""),"",INT((A302-Configurações!$B$5)/7)+1)</f>
        <v/>
      </c>
      <c r="C302" s="15" t="n"/>
      <c r="D302" s="15" t="n"/>
      <c r="E302" s="15" t="n"/>
      <c r="F302" s="15" t="n"/>
      <c r="G302" s="14">
        <f>IF(F302="","",VALUE(LEFT(F302,1)))</f>
        <v/>
      </c>
      <c r="H302" s="15" t="n"/>
      <c r="I302" s="15" t="n"/>
      <c r="J302" s="15" t="n"/>
      <c r="K302" s="13" t="n"/>
    </row>
    <row r="303">
      <c r="A303" s="13" t="n"/>
      <c r="B303" s="14">
        <f>IF(OR(A303="",Configurações!$B$5=""),"",INT((A303-Configurações!$B$5)/7)+1)</f>
        <v/>
      </c>
      <c r="C303" s="15" t="n"/>
      <c r="D303" s="15" t="n"/>
      <c r="E303" s="15" t="n"/>
      <c r="F303" s="15" t="n"/>
      <c r="G303" s="14">
        <f>IF(F303="","",VALUE(LEFT(F303,1)))</f>
        <v/>
      </c>
      <c r="H303" s="15" t="n"/>
      <c r="I303" s="15" t="n"/>
      <c r="J303" s="15" t="n"/>
      <c r="K303" s="13" t="n"/>
    </row>
    <row r="304">
      <c r="A304" s="13" t="n"/>
      <c r="B304" s="14">
        <f>IF(OR(A304="",Configurações!$B$5=""),"",INT((A304-Configurações!$B$5)/7)+1)</f>
        <v/>
      </c>
      <c r="C304" s="15" t="n"/>
      <c r="D304" s="15" t="n"/>
      <c r="E304" s="15" t="n"/>
      <c r="F304" s="15" t="n"/>
      <c r="G304" s="14">
        <f>IF(F304="","",VALUE(LEFT(F304,1)))</f>
        <v/>
      </c>
      <c r="H304" s="15" t="n"/>
      <c r="I304" s="15" t="n"/>
      <c r="J304" s="15" t="n"/>
      <c r="K304" s="13" t="n"/>
    </row>
    <row r="305">
      <c r="A305" s="13" t="n"/>
      <c r="B305" s="14">
        <f>IF(OR(A305="",Configurações!$B$5=""),"",INT((A305-Configurações!$B$5)/7)+1)</f>
        <v/>
      </c>
      <c r="C305" s="15" t="n"/>
      <c r="D305" s="15" t="n"/>
      <c r="E305" s="15" t="n"/>
      <c r="F305" s="15" t="n"/>
      <c r="G305" s="14">
        <f>IF(F305="","",VALUE(LEFT(F305,1)))</f>
        <v/>
      </c>
      <c r="H305" s="15" t="n"/>
      <c r="I305" s="15" t="n"/>
      <c r="J305" s="15" t="n"/>
      <c r="K305" s="13" t="n"/>
    </row>
    <row r="306">
      <c r="A306" s="13" t="n"/>
      <c r="B306" s="14">
        <f>IF(OR(A306="",Configurações!$B$5=""),"",INT((A306-Configurações!$B$5)/7)+1)</f>
        <v/>
      </c>
      <c r="C306" s="15" t="n"/>
      <c r="D306" s="15" t="n"/>
      <c r="E306" s="15" t="n"/>
      <c r="F306" s="15" t="n"/>
      <c r="G306" s="14">
        <f>IF(F306="","",VALUE(LEFT(F306,1)))</f>
        <v/>
      </c>
      <c r="H306" s="15" t="n"/>
      <c r="I306" s="15" t="n"/>
      <c r="J306" s="15" t="n"/>
      <c r="K306" s="13" t="n"/>
    </row>
    <row r="307">
      <c r="A307" s="13" t="n"/>
      <c r="B307" s="14">
        <f>IF(OR(A307="",Configurações!$B$5=""),"",INT((A307-Configurações!$B$5)/7)+1)</f>
        <v/>
      </c>
      <c r="C307" s="15" t="n"/>
      <c r="D307" s="15" t="n"/>
      <c r="E307" s="15" t="n"/>
      <c r="F307" s="15" t="n"/>
      <c r="G307" s="14">
        <f>IF(F307="","",VALUE(LEFT(F307,1)))</f>
        <v/>
      </c>
      <c r="H307" s="15" t="n"/>
      <c r="I307" s="15" t="n"/>
      <c r="J307" s="15" t="n"/>
      <c r="K307" s="13" t="n"/>
    </row>
    <row r="308">
      <c r="A308" s="13" t="n"/>
      <c r="B308" s="14">
        <f>IF(OR(A308="",Configurações!$B$5=""),"",INT((A308-Configurações!$B$5)/7)+1)</f>
        <v/>
      </c>
      <c r="C308" s="15" t="n"/>
      <c r="D308" s="15" t="n"/>
      <c r="E308" s="15" t="n"/>
      <c r="F308" s="15" t="n"/>
      <c r="G308" s="14">
        <f>IF(F308="","",VALUE(LEFT(F308,1)))</f>
        <v/>
      </c>
      <c r="H308" s="15" t="n"/>
      <c r="I308" s="15" t="n"/>
      <c r="J308" s="15" t="n"/>
      <c r="K308" s="13" t="n"/>
    </row>
    <row r="309">
      <c r="A309" s="13" t="n"/>
      <c r="B309" s="14">
        <f>IF(OR(A309="",Configurações!$B$5=""),"",INT((A309-Configurações!$B$5)/7)+1)</f>
        <v/>
      </c>
      <c r="C309" s="15" t="n"/>
      <c r="D309" s="15" t="n"/>
      <c r="E309" s="15" t="n"/>
      <c r="F309" s="15" t="n"/>
      <c r="G309" s="14">
        <f>IF(F309="","",VALUE(LEFT(F309,1)))</f>
        <v/>
      </c>
      <c r="H309" s="15" t="n"/>
      <c r="I309" s="15" t="n"/>
      <c r="J309" s="15" t="n"/>
      <c r="K309" s="13" t="n"/>
    </row>
    <row r="310">
      <c r="A310" s="13" t="n"/>
      <c r="B310" s="14">
        <f>IF(OR(A310="",Configurações!$B$5=""),"",INT((A310-Configurações!$B$5)/7)+1)</f>
        <v/>
      </c>
      <c r="C310" s="15" t="n"/>
      <c r="D310" s="15" t="n"/>
      <c r="E310" s="15" t="n"/>
      <c r="F310" s="15" t="n"/>
      <c r="G310" s="14">
        <f>IF(F310="","",VALUE(LEFT(F310,1)))</f>
        <v/>
      </c>
      <c r="H310" s="15" t="n"/>
      <c r="I310" s="15" t="n"/>
      <c r="J310" s="15" t="n"/>
      <c r="K310" s="13" t="n"/>
    </row>
    <row r="311">
      <c r="A311" s="13" t="n"/>
      <c r="B311" s="14">
        <f>IF(OR(A311="",Configurações!$B$5=""),"",INT((A311-Configurações!$B$5)/7)+1)</f>
        <v/>
      </c>
      <c r="C311" s="15" t="n"/>
      <c r="D311" s="15" t="n"/>
      <c r="E311" s="15" t="n"/>
      <c r="F311" s="15" t="n"/>
      <c r="G311" s="14">
        <f>IF(F311="","",VALUE(LEFT(F311,1)))</f>
        <v/>
      </c>
      <c r="H311" s="15" t="n"/>
      <c r="I311" s="15" t="n"/>
      <c r="J311" s="15" t="n"/>
      <c r="K311" s="13" t="n"/>
    </row>
    <row r="312">
      <c r="A312" s="13" t="n"/>
      <c r="B312" s="14">
        <f>IF(OR(A312="",Configurações!$B$5=""),"",INT((A312-Configurações!$B$5)/7)+1)</f>
        <v/>
      </c>
      <c r="C312" s="15" t="n"/>
      <c r="D312" s="15" t="n"/>
      <c r="E312" s="15" t="n"/>
      <c r="F312" s="15" t="n"/>
      <c r="G312" s="14">
        <f>IF(F312="","",VALUE(LEFT(F312,1)))</f>
        <v/>
      </c>
      <c r="H312" s="15" t="n"/>
      <c r="I312" s="15" t="n"/>
      <c r="J312" s="15" t="n"/>
      <c r="K312" s="13" t="n"/>
    </row>
    <row r="313">
      <c r="A313" s="13" t="n"/>
      <c r="B313" s="14">
        <f>IF(OR(A313="",Configurações!$B$5=""),"",INT((A313-Configurações!$B$5)/7)+1)</f>
        <v/>
      </c>
      <c r="C313" s="15" t="n"/>
      <c r="D313" s="15" t="n"/>
      <c r="E313" s="15" t="n"/>
      <c r="F313" s="15" t="n"/>
      <c r="G313" s="14">
        <f>IF(F313="","",VALUE(LEFT(F313,1)))</f>
        <v/>
      </c>
      <c r="H313" s="15" t="n"/>
      <c r="I313" s="15" t="n"/>
      <c r="J313" s="15" t="n"/>
      <c r="K313" s="13" t="n"/>
    </row>
    <row r="314">
      <c r="A314" s="13" t="n"/>
      <c r="B314" s="14">
        <f>IF(OR(A314="",Configurações!$B$5=""),"",INT((A314-Configurações!$B$5)/7)+1)</f>
        <v/>
      </c>
      <c r="C314" s="15" t="n"/>
      <c r="D314" s="15" t="n"/>
      <c r="E314" s="15" t="n"/>
      <c r="F314" s="15" t="n"/>
      <c r="G314" s="14">
        <f>IF(F314="","",VALUE(LEFT(F314,1)))</f>
        <v/>
      </c>
      <c r="H314" s="15" t="n"/>
      <c r="I314" s="15" t="n"/>
      <c r="J314" s="15" t="n"/>
      <c r="K314" s="13" t="n"/>
    </row>
    <row r="315">
      <c r="A315" s="13" t="n"/>
      <c r="B315" s="14">
        <f>IF(OR(A315="",Configurações!$B$5=""),"",INT((A315-Configurações!$B$5)/7)+1)</f>
        <v/>
      </c>
      <c r="C315" s="15" t="n"/>
      <c r="D315" s="15" t="n"/>
      <c r="E315" s="15" t="n"/>
      <c r="F315" s="15" t="n"/>
      <c r="G315" s="14">
        <f>IF(F315="","",VALUE(LEFT(F315,1)))</f>
        <v/>
      </c>
      <c r="H315" s="15" t="n"/>
      <c r="I315" s="15" t="n"/>
      <c r="J315" s="15" t="n"/>
      <c r="K315" s="13" t="n"/>
    </row>
    <row r="316">
      <c r="A316" s="13" t="n"/>
      <c r="B316" s="14">
        <f>IF(OR(A316="",Configurações!$B$5=""),"",INT((A316-Configurações!$B$5)/7)+1)</f>
        <v/>
      </c>
      <c r="C316" s="15" t="n"/>
      <c r="D316" s="15" t="n"/>
      <c r="E316" s="15" t="n"/>
      <c r="F316" s="15" t="n"/>
      <c r="G316" s="14">
        <f>IF(F316="","",VALUE(LEFT(F316,1)))</f>
        <v/>
      </c>
      <c r="H316" s="15" t="n"/>
      <c r="I316" s="15" t="n"/>
      <c r="J316" s="15" t="n"/>
      <c r="K316" s="13" t="n"/>
    </row>
    <row r="317">
      <c r="A317" s="13" t="n"/>
      <c r="B317" s="14">
        <f>IF(OR(A317="",Configurações!$B$5=""),"",INT((A317-Configurações!$B$5)/7)+1)</f>
        <v/>
      </c>
      <c r="C317" s="15" t="n"/>
      <c r="D317" s="15" t="n"/>
      <c r="E317" s="15" t="n"/>
      <c r="F317" s="15" t="n"/>
      <c r="G317" s="14">
        <f>IF(F317="","",VALUE(LEFT(F317,1)))</f>
        <v/>
      </c>
      <c r="H317" s="15" t="n"/>
      <c r="I317" s="15" t="n"/>
      <c r="J317" s="15" t="n"/>
      <c r="K317" s="13" t="n"/>
    </row>
    <row r="318">
      <c r="A318" s="13" t="n"/>
      <c r="B318" s="14">
        <f>IF(OR(A318="",Configurações!$B$5=""),"",INT((A318-Configurações!$B$5)/7)+1)</f>
        <v/>
      </c>
      <c r="C318" s="15" t="n"/>
      <c r="D318" s="15" t="n"/>
      <c r="E318" s="15" t="n"/>
      <c r="F318" s="15" t="n"/>
      <c r="G318" s="14">
        <f>IF(F318="","",VALUE(LEFT(F318,1)))</f>
        <v/>
      </c>
      <c r="H318" s="15" t="n"/>
      <c r="I318" s="15" t="n"/>
      <c r="J318" s="15" t="n"/>
      <c r="K318" s="13" t="n"/>
    </row>
    <row r="319">
      <c r="A319" s="13" t="n"/>
      <c r="B319" s="14">
        <f>IF(OR(A319="",Configurações!$B$5=""),"",INT((A319-Configurações!$B$5)/7)+1)</f>
        <v/>
      </c>
      <c r="C319" s="15" t="n"/>
      <c r="D319" s="15" t="n"/>
      <c r="E319" s="15" t="n"/>
      <c r="F319" s="15" t="n"/>
      <c r="G319" s="14">
        <f>IF(F319="","",VALUE(LEFT(F319,1)))</f>
        <v/>
      </c>
      <c r="H319" s="15" t="n"/>
      <c r="I319" s="15" t="n"/>
      <c r="J319" s="15" t="n"/>
      <c r="K319" s="13" t="n"/>
    </row>
    <row r="320">
      <c r="A320" s="13" t="n"/>
      <c r="B320" s="14">
        <f>IF(OR(A320="",Configurações!$B$5=""),"",INT((A320-Configurações!$B$5)/7)+1)</f>
        <v/>
      </c>
      <c r="C320" s="15" t="n"/>
      <c r="D320" s="15" t="n"/>
      <c r="E320" s="15" t="n"/>
      <c r="F320" s="15" t="n"/>
      <c r="G320" s="14">
        <f>IF(F320="","",VALUE(LEFT(F320,1)))</f>
        <v/>
      </c>
      <c r="H320" s="15" t="n"/>
      <c r="I320" s="15" t="n"/>
      <c r="J320" s="15" t="n"/>
      <c r="K320" s="13" t="n"/>
    </row>
    <row r="321">
      <c r="A321" s="13" t="n"/>
      <c r="B321" s="14">
        <f>IF(OR(A321="",Configurações!$B$5=""),"",INT((A321-Configurações!$B$5)/7)+1)</f>
        <v/>
      </c>
      <c r="C321" s="15" t="n"/>
      <c r="D321" s="15" t="n"/>
      <c r="E321" s="15" t="n"/>
      <c r="F321" s="15" t="n"/>
      <c r="G321" s="14">
        <f>IF(F321="","",VALUE(LEFT(F321,1)))</f>
        <v/>
      </c>
      <c r="H321" s="15" t="n"/>
      <c r="I321" s="15" t="n"/>
      <c r="J321" s="15" t="n"/>
      <c r="K321" s="13" t="n"/>
    </row>
    <row r="322">
      <c r="A322" s="13" t="n"/>
      <c r="B322" s="14">
        <f>IF(OR(A322="",Configurações!$B$5=""),"",INT((A322-Configurações!$B$5)/7)+1)</f>
        <v/>
      </c>
      <c r="C322" s="15" t="n"/>
      <c r="D322" s="15" t="n"/>
      <c r="E322" s="15" t="n"/>
      <c r="F322" s="15" t="n"/>
      <c r="G322" s="14">
        <f>IF(F322="","",VALUE(LEFT(F322,1)))</f>
        <v/>
      </c>
      <c r="H322" s="15" t="n"/>
      <c r="I322" s="15" t="n"/>
      <c r="J322" s="15" t="n"/>
      <c r="K322" s="13" t="n"/>
    </row>
    <row r="323">
      <c r="A323" s="13" t="n"/>
      <c r="B323" s="14">
        <f>IF(OR(A323="",Configurações!$B$5=""),"",INT((A323-Configurações!$B$5)/7)+1)</f>
        <v/>
      </c>
      <c r="C323" s="15" t="n"/>
      <c r="D323" s="15" t="n"/>
      <c r="E323" s="15" t="n"/>
      <c r="F323" s="15" t="n"/>
      <c r="G323" s="14">
        <f>IF(F323="","",VALUE(LEFT(F323,1)))</f>
        <v/>
      </c>
      <c r="H323" s="15" t="n"/>
      <c r="I323" s="15" t="n"/>
      <c r="J323" s="15" t="n"/>
      <c r="K323" s="13" t="n"/>
    </row>
    <row r="324">
      <c r="A324" s="13" t="n"/>
      <c r="B324" s="14">
        <f>IF(OR(A324="",Configurações!$B$5=""),"",INT((A324-Configurações!$B$5)/7)+1)</f>
        <v/>
      </c>
      <c r="C324" s="15" t="n"/>
      <c r="D324" s="15" t="n"/>
      <c r="E324" s="15" t="n"/>
      <c r="F324" s="15" t="n"/>
      <c r="G324" s="14">
        <f>IF(F324="","",VALUE(LEFT(F324,1)))</f>
        <v/>
      </c>
      <c r="H324" s="15" t="n"/>
      <c r="I324" s="15" t="n"/>
      <c r="J324" s="15" t="n"/>
      <c r="K324" s="13" t="n"/>
    </row>
    <row r="325">
      <c r="A325" s="13" t="n"/>
      <c r="B325" s="14">
        <f>IF(OR(A325="",Configurações!$B$5=""),"",INT((A325-Configurações!$B$5)/7)+1)</f>
        <v/>
      </c>
      <c r="C325" s="15" t="n"/>
      <c r="D325" s="15" t="n"/>
      <c r="E325" s="15" t="n"/>
      <c r="F325" s="15" t="n"/>
      <c r="G325" s="14">
        <f>IF(F325="","",VALUE(LEFT(F325,1)))</f>
        <v/>
      </c>
      <c r="H325" s="15" t="n"/>
      <c r="I325" s="15" t="n"/>
      <c r="J325" s="15" t="n"/>
      <c r="K325" s="13" t="n"/>
    </row>
    <row r="326">
      <c r="A326" s="13" t="n"/>
      <c r="B326" s="14">
        <f>IF(OR(A326="",Configurações!$B$5=""),"",INT((A326-Configurações!$B$5)/7)+1)</f>
        <v/>
      </c>
      <c r="C326" s="15" t="n"/>
      <c r="D326" s="15" t="n"/>
      <c r="E326" s="15" t="n"/>
      <c r="F326" s="15" t="n"/>
      <c r="G326" s="14">
        <f>IF(F326="","",VALUE(LEFT(F326,1)))</f>
        <v/>
      </c>
      <c r="H326" s="15" t="n"/>
      <c r="I326" s="15" t="n"/>
      <c r="J326" s="15" t="n"/>
      <c r="K326" s="13" t="n"/>
    </row>
    <row r="327">
      <c r="A327" s="13" t="n"/>
      <c r="B327" s="14">
        <f>IF(OR(A327="",Configurações!$B$5=""),"",INT((A327-Configurações!$B$5)/7)+1)</f>
        <v/>
      </c>
      <c r="C327" s="15" t="n"/>
      <c r="D327" s="15" t="n"/>
      <c r="E327" s="15" t="n"/>
      <c r="F327" s="15" t="n"/>
      <c r="G327" s="14">
        <f>IF(F327="","",VALUE(LEFT(F327,1)))</f>
        <v/>
      </c>
      <c r="H327" s="15" t="n"/>
      <c r="I327" s="15" t="n"/>
      <c r="J327" s="15" t="n"/>
      <c r="K327" s="13" t="n"/>
    </row>
    <row r="328">
      <c r="A328" s="13" t="n"/>
      <c r="B328" s="14">
        <f>IF(OR(A328="",Configurações!$B$5=""),"",INT((A328-Configurações!$B$5)/7)+1)</f>
        <v/>
      </c>
      <c r="C328" s="15" t="n"/>
      <c r="D328" s="15" t="n"/>
      <c r="E328" s="15" t="n"/>
      <c r="F328" s="15" t="n"/>
      <c r="G328" s="14">
        <f>IF(F328="","",VALUE(LEFT(F328,1)))</f>
        <v/>
      </c>
      <c r="H328" s="15" t="n"/>
      <c r="I328" s="15" t="n"/>
      <c r="J328" s="15" t="n"/>
      <c r="K328" s="13" t="n"/>
    </row>
    <row r="329">
      <c r="A329" s="13" t="n"/>
      <c r="B329" s="14">
        <f>IF(OR(A329="",Configurações!$B$5=""),"",INT((A329-Configurações!$B$5)/7)+1)</f>
        <v/>
      </c>
      <c r="C329" s="15" t="n"/>
      <c r="D329" s="15" t="n"/>
      <c r="E329" s="15" t="n"/>
      <c r="F329" s="15" t="n"/>
      <c r="G329" s="14">
        <f>IF(F329="","",VALUE(LEFT(F329,1)))</f>
        <v/>
      </c>
      <c r="H329" s="15" t="n"/>
      <c r="I329" s="15" t="n"/>
      <c r="J329" s="15" t="n"/>
      <c r="K329" s="13" t="n"/>
    </row>
    <row r="330">
      <c r="A330" s="13" t="n"/>
      <c r="B330" s="14">
        <f>IF(OR(A330="",Configurações!$B$5=""),"",INT((A330-Configurações!$B$5)/7)+1)</f>
        <v/>
      </c>
      <c r="C330" s="15" t="n"/>
      <c r="D330" s="15" t="n"/>
      <c r="E330" s="15" t="n"/>
      <c r="F330" s="15" t="n"/>
      <c r="G330" s="14">
        <f>IF(F330="","",VALUE(LEFT(F330,1)))</f>
        <v/>
      </c>
      <c r="H330" s="15" t="n"/>
      <c r="I330" s="15" t="n"/>
      <c r="J330" s="15" t="n"/>
      <c r="K330" s="13" t="n"/>
    </row>
    <row r="331">
      <c r="A331" s="13" t="n"/>
      <c r="B331" s="14">
        <f>IF(OR(A331="",Configurações!$B$5=""),"",INT((A331-Configurações!$B$5)/7)+1)</f>
        <v/>
      </c>
      <c r="C331" s="15" t="n"/>
      <c r="D331" s="15" t="n"/>
      <c r="E331" s="15" t="n"/>
      <c r="F331" s="15" t="n"/>
      <c r="G331" s="14">
        <f>IF(F331="","",VALUE(LEFT(F331,1)))</f>
        <v/>
      </c>
      <c r="H331" s="15" t="n"/>
      <c r="I331" s="15" t="n"/>
      <c r="J331" s="15" t="n"/>
      <c r="K331" s="13" t="n"/>
    </row>
    <row r="332">
      <c r="A332" s="13" t="n"/>
      <c r="B332" s="14">
        <f>IF(OR(A332="",Configurações!$B$5=""),"",INT((A332-Configurações!$B$5)/7)+1)</f>
        <v/>
      </c>
      <c r="C332" s="15" t="n"/>
      <c r="D332" s="15" t="n"/>
      <c r="E332" s="15" t="n"/>
      <c r="F332" s="15" t="n"/>
      <c r="G332" s="14">
        <f>IF(F332="","",VALUE(LEFT(F332,1)))</f>
        <v/>
      </c>
      <c r="H332" s="15" t="n"/>
      <c r="I332" s="15" t="n"/>
      <c r="J332" s="15" t="n"/>
      <c r="K332" s="13" t="n"/>
    </row>
    <row r="333">
      <c r="A333" s="13" t="n"/>
      <c r="B333" s="14">
        <f>IF(OR(A333="",Configurações!$B$5=""),"",INT((A333-Configurações!$B$5)/7)+1)</f>
        <v/>
      </c>
      <c r="C333" s="15" t="n"/>
      <c r="D333" s="15" t="n"/>
      <c r="E333" s="15" t="n"/>
      <c r="F333" s="15" t="n"/>
      <c r="G333" s="14">
        <f>IF(F333="","",VALUE(LEFT(F333,1)))</f>
        <v/>
      </c>
      <c r="H333" s="15" t="n"/>
      <c r="I333" s="15" t="n"/>
      <c r="J333" s="15" t="n"/>
      <c r="K333" s="13" t="n"/>
    </row>
    <row r="334">
      <c r="A334" s="13" t="n"/>
      <c r="B334" s="14">
        <f>IF(OR(A334="",Configurações!$B$5=""),"",INT((A334-Configurações!$B$5)/7)+1)</f>
        <v/>
      </c>
      <c r="C334" s="15" t="n"/>
      <c r="D334" s="15" t="n"/>
      <c r="E334" s="15" t="n"/>
      <c r="F334" s="15" t="n"/>
      <c r="G334" s="14">
        <f>IF(F334="","",VALUE(LEFT(F334,1)))</f>
        <v/>
      </c>
      <c r="H334" s="15" t="n"/>
      <c r="I334" s="15" t="n"/>
      <c r="J334" s="15" t="n"/>
      <c r="K334" s="13" t="n"/>
    </row>
    <row r="335">
      <c r="A335" s="13" t="n"/>
      <c r="B335" s="14">
        <f>IF(OR(A335="",Configurações!$B$5=""),"",INT((A335-Configurações!$B$5)/7)+1)</f>
        <v/>
      </c>
      <c r="C335" s="15" t="n"/>
      <c r="D335" s="15" t="n"/>
      <c r="E335" s="15" t="n"/>
      <c r="F335" s="15" t="n"/>
      <c r="G335" s="14">
        <f>IF(F335="","",VALUE(LEFT(F335,1)))</f>
        <v/>
      </c>
      <c r="H335" s="15" t="n"/>
      <c r="I335" s="15" t="n"/>
      <c r="J335" s="15" t="n"/>
      <c r="K335" s="13" t="n"/>
    </row>
    <row r="336">
      <c r="A336" s="13" t="n"/>
      <c r="B336" s="14">
        <f>IF(OR(A336="",Configurações!$B$5=""),"",INT((A336-Configurações!$B$5)/7)+1)</f>
        <v/>
      </c>
      <c r="C336" s="15" t="n"/>
      <c r="D336" s="15" t="n"/>
      <c r="E336" s="15" t="n"/>
      <c r="F336" s="15" t="n"/>
      <c r="G336" s="14">
        <f>IF(F336="","",VALUE(LEFT(F336,1)))</f>
        <v/>
      </c>
      <c r="H336" s="15" t="n"/>
      <c r="I336" s="15" t="n"/>
      <c r="J336" s="15" t="n"/>
      <c r="K336" s="13" t="n"/>
    </row>
    <row r="337">
      <c r="A337" s="13" t="n"/>
      <c r="B337" s="14">
        <f>IF(OR(A337="",Configurações!$B$5=""),"",INT((A337-Configurações!$B$5)/7)+1)</f>
        <v/>
      </c>
      <c r="C337" s="15" t="n"/>
      <c r="D337" s="15" t="n"/>
      <c r="E337" s="15" t="n"/>
      <c r="F337" s="15" t="n"/>
      <c r="G337" s="14">
        <f>IF(F337="","",VALUE(LEFT(F337,1)))</f>
        <v/>
      </c>
      <c r="H337" s="15" t="n"/>
      <c r="I337" s="15" t="n"/>
      <c r="J337" s="15" t="n"/>
      <c r="K337" s="13" t="n"/>
    </row>
    <row r="338">
      <c r="A338" s="13" t="n"/>
      <c r="B338" s="14">
        <f>IF(OR(A338="",Configurações!$B$5=""),"",INT((A338-Configurações!$B$5)/7)+1)</f>
        <v/>
      </c>
      <c r="C338" s="15" t="n"/>
      <c r="D338" s="15" t="n"/>
      <c r="E338" s="15" t="n"/>
      <c r="F338" s="15" t="n"/>
      <c r="G338" s="14">
        <f>IF(F338="","",VALUE(LEFT(F338,1)))</f>
        <v/>
      </c>
      <c r="H338" s="15" t="n"/>
      <c r="I338" s="15" t="n"/>
      <c r="J338" s="15" t="n"/>
      <c r="K338" s="13" t="n"/>
    </row>
    <row r="339">
      <c r="A339" s="13" t="n"/>
      <c r="B339" s="14">
        <f>IF(OR(A339="",Configurações!$B$5=""),"",INT((A339-Configurações!$B$5)/7)+1)</f>
        <v/>
      </c>
      <c r="C339" s="15" t="n"/>
      <c r="D339" s="15" t="n"/>
      <c r="E339" s="15" t="n"/>
      <c r="F339" s="15" t="n"/>
      <c r="G339" s="14">
        <f>IF(F339="","",VALUE(LEFT(F339,1)))</f>
        <v/>
      </c>
      <c r="H339" s="15" t="n"/>
      <c r="I339" s="15" t="n"/>
      <c r="J339" s="15" t="n"/>
      <c r="K339" s="13" t="n"/>
    </row>
    <row r="340">
      <c r="A340" s="13" t="n"/>
      <c r="B340" s="14">
        <f>IF(OR(A340="",Configurações!$B$5=""),"",INT((A340-Configurações!$B$5)/7)+1)</f>
        <v/>
      </c>
      <c r="C340" s="15" t="n"/>
      <c r="D340" s="15" t="n"/>
      <c r="E340" s="15" t="n"/>
      <c r="F340" s="15" t="n"/>
      <c r="G340" s="14">
        <f>IF(F340="","",VALUE(LEFT(F340,1)))</f>
        <v/>
      </c>
      <c r="H340" s="15" t="n"/>
      <c r="I340" s="15" t="n"/>
      <c r="J340" s="15" t="n"/>
      <c r="K340" s="13" t="n"/>
    </row>
    <row r="341">
      <c r="A341" s="13" t="n"/>
      <c r="B341" s="14">
        <f>IF(OR(A341="",Configurações!$B$5=""),"",INT((A341-Configurações!$B$5)/7)+1)</f>
        <v/>
      </c>
      <c r="C341" s="15" t="n"/>
      <c r="D341" s="15" t="n"/>
      <c r="E341" s="15" t="n"/>
      <c r="F341" s="15" t="n"/>
      <c r="G341" s="14">
        <f>IF(F341="","",VALUE(LEFT(F341,1)))</f>
        <v/>
      </c>
      <c r="H341" s="15" t="n"/>
      <c r="I341" s="15" t="n"/>
      <c r="J341" s="15" t="n"/>
      <c r="K341" s="13" t="n"/>
    </row>
    <row r="342">
      <c r="A342" s="13" t="n"/>
      <c r="B342" s="14">
        <f>IF(OR(A342="",Configurações!$B$5=""),"",INT((A342-Configurações!$B$5)/7)+1)</f>
        <v/>
      </c>
      <c r="C342" s="15" t="n"/>
      <c r="D342" s="15" t="n"/>
      <c r="E342" s="15" t="n"/>
      <c r="F342" s="15" t="n"/>
      <c r="G342" s="14">
        <f>IF(F342="","",VALUE(LEFT(F342,1)))</f>
        <v/>
      </c>
      <c r="H342" s="15" t="n"/>
      <c r="I342" s="15" t="n"/>
      <c r="J342" s="15" t="n"/>
      <c r="K342" s="13" t="n"/>
    </row>
    <row r="343">
      <c r="A343" s="13" t="n"/>
      <c r="B343" s="14">
        <f>IF(OR(A343="",Configurações!$B$5=""),"",INT((A343-Configurações!$B$5)/7)+1)</f>
        <v/>
      </c>
      <c r="C343" s="15" t="n"/>
      <c r="D343" s="15" t="n"/>
      <c r="E343" s="15" t="n"/>
      <c r="F343" s="15" t="n"/>
      <c r="G343" s="14">
        <f>IF(F343="","",VALUE(LEFT(F343,1)))</f>
        <v/>
      </c>
      <c r="H343" s="15" t="n"/>
      <c r="I343" s="15" t="n"/>
      <c r="J343" s="15" t="n"/>
      <c r="K343" s="13" t="n"/>
    </row>
    <row r="344">
      <c r="A344" s="13" t="n"/>
      <c r="B344" s="14">
        <f>IF(OR(A344="",Configurações!$B$5=""),"",INT((A344-Configurações!$B$5)/7)+1)</f>
        <v/>
      </c>
      <c r="C344" s="15" t="n"/>
      <c r="D344" s="15" t="n"/>
      <c r="E344" s="15" t="n"/>
      <c r="F344" s="15" t="n"/>
      <c r="G344" s="14">
        <f>IF(F344="","",VALUE(LEFT(F344,1)))</f>
        <v/>
      </c>
      <c r="H344" s="15" t="n"/>
      <c r="I344" s="15" t="n"/>
      <c r="J344" s="15" t="n"/>
      <c r="K344" s="13" t="n"/>
    </row>
    <row r="345">
      <c r="A345" s="13" t="n"/>
      <c r="B345" s="14">
        <f>IF(OR(A345="",Configurações!$B$5=""),"",INT((A345-Configurações!$B$5)/7)+1)</f>
        <v/>
      </c>
      <c r="C345" s="15" t="n"/>
      <c r="D345" s="15" t="n"/>
      <c r="E345" s="15" t="n"/>
      <c r="F345" s="15" t="n"/>
      <c r="G345" s="14">
        <f>IF(F345="","",VALUE(LEFT(F345,1)))</f>
        <v/>
      </c>
      <c r="H345" s="15" t="n"/>
      <c r="I345" s="15" t="n"/>
      <c r="J345" s="15" t="n"/>
      <c r="K345" s="13" t="n"/>
    </row>
    <row r="346">
      <c r="A346" s="13" t="n"/>
      <c r="B346" s="14">
        <f>IF(OR(A346="",Configurações!$B$5=""),"",INT((A346-Configurações!$B$5)/7)+1)</f>
        <v/>
      </c>
      <c r="C346" s="15" t="n"/>
      <c r="D346" s="15" t="n"/>
      <c r="E346" s="15" t="n"/>
      <c r="F346" s="15" t="n"/>
      <c r="G346" s="14">
        <f>IF(F346="","",VALUE(LEFT(F346,1)))</f>
        <v/>
      </c>
      <c r="H346" s="15" t="n"/>
      <c r="I346" s="15" t="n"/>
      <c r="J346" s="15" t="n"/>
      <c r="K346" s="13" t="n"/>
    </row>
    <row r="347">
      <c r="A347" s="13" t="n"/>
      <c r="B347" s="14">
        <f>IF(OR(A347="",Configurações!$B$5=""),"",INT((A347-Configurações!$B$5)/7)+1)</f>
        <v/>
      </c>
      <c r="C347" s="15" t="n"/>
      <c r="D347" s="15" t="n"/>
      <c r="E347" s="15" t="n"/>
      <c r="F347" s="15" t="n"/>
      <c r="G347" s="14">
        <f>IF(F347="","",VALUE(LEFT(F347,1)))</f>
        <v/>
      </c>
      <c r="H347" s="15" t="n"/>
      <c r="I347" s="15" t="n"/>
      <c r="J347" s="15" t="n"/>
      <c r="K347" s="13" t="n"/>
    </row>
    <row r="348">
      <c r="A348" s="13" t="n"/>
      <c r="B348" s="14">
        <f>IF(OR(A348="",Configurações!$B$5=""),"",INT((A348-Configurações!$B$5)/7)+1)</f>
        <v/>
      </c>
      <c r="C348" s="15" t="n"/>
      <c r="D348" s="15" t="n"/>
      <c r="E348" s="15" t="n"/>
      <c r="F348" s="15" t="n"/>
      <c r="G348" s="14">
        <f>IF(F348="","",VALUE(LEFT(F348,1)))</f>
        <v/>
      </c>
      <c r="H348" s="15" t="n"/>
      <c r="I348" s="15" t="n"/>
      <c r="J348" s="15" t="n"/>
      <c r="K348" s="13" t="n"/>
    </row>
    <row r="349">
      <c r="A349" s="13" t="n"/>
      <c r="B349" s="14">
        <f>IF(OR(A349="",Configurações!$B$5=""),"",INT((A349-Configurações!$B$5)/7)+1)</f>
        <v/>
      </c>
      <c r="C349" s="15" t="n"/>
      <c r="D349" s="15" t="n"/>
      <c r="E349" s="15" t="n"/>
      <c r="F349" s="15" t="n"/>
      <c r="G349" s="14">
        <f>IF(F349="","",VALUE(LEFT(F349,1)))</f>
        <v/>
      </c>
      <c r="H349" s="15" t="n"/>
      <c r="I349" s="15" t="n"/>
      <c r="J349" s="15" t="n"/>
      <c r="K349" s="13" t="n"/>
    </row>
    <row r="350">
      <c r="A350" s="13" t="n"/>
      <c r="B350" s="14">
        <f>IF(OR(A350="",Configurações!$B$5=""),"",INT((A350-Configurações!$B$5)/7)+1)</f>
        <v/>
      </c>
      <c r="C350" s="15" t="n"/>
      <c r="D350" s="15" t="n"/>
      <c r="E350" s="15" t="n"/>
      <c r="F350" s="15" t="n"/>
      <c r="G350" s="14">
        <f>IF(F350="","",VALUE(LEFT(F350,1)))</f>
        <v/>
      </c>
      <c r="H350" s="15" t="n"/>
      <c r="I350" s="15" t="n"/>
      <c r="J350" s="15" t="n"/>
      <c r="K350" s="13" t="n"/>
    </row>
    <row r="351">
      <c r="A351" s="13" t="n"/>
      <c r="B351" s="14">
        <f>IF(OR(A351="",Configurações!$B$5=""),"",INT((A351-Configurações!$B$5)/7)+1)</f>
        <v/>
      </c>
      <c r="C351" s="15" t="n"/>
      <c r="D351" s="15" t="n"/>
      <c r="E351" s="15" t="n"/>
      <c r="F351" s="15" t="n"/>
      <c r="G351" s="14">
        <f>IF(F351="","",VALUE(LEFT(F351,1)))</f>
        <v/>
      </c>
      <c r="H351" s="15" t="n"/>
      <c r="I351" s="15" t="n"/>
      <c r="J351" s="15" t="n"/>
      <c r="K351" s="13" t="n"/>
    </row>
    <row r="352">
      <c r="A352" s="13" t="n"/>
      <c r="B352" s="14">
        <f>IF(OR(A352="",Configurações!$B$5=""),"",INT((A352-Configurações!$B$5)/7)+1)</f>
        <v/>
      </c>
      <c r="C352" s="15" t="n"/>
      <c r="D352" s="15" t="n"/>
      <c r="E352" s="15" t="n"/>
      <c r="F352" s="15" t="n"/>
      <c r="G352" s="14">
        <f>IF(F352="","",VALUE(LEFT(F352,1)))</f>
        <v/>
      </c>
      <c r="H352" s="15" t="n"/>
      <c r="I352" s="15" t="n"/>
      <c r="J352" s="15" t="n"/>
      <c r="K352" s="13" t="n"/>
    </row>
    <row r="353">
      <c r="A353" s="13" t="n"/>
      <c r="B353" s="14">
        <f>IF(OR(A353="",Configurações!$B$5=""),"",INT((A353-Configurações!$B$5)/7)+1)</f>
        <v/>
      </c>
      <c r="C353" s="15" t="n"/>
      <c r="D353" s="15" t="n"/>
      <c r="E353" s="15" t="n"/>
      <c r="F353" s="15" t="n"/>
      <c r="G353" s="14">
        <f>IF(F353="","",VALUE(LEFT(F353,1)))</f>
        <v/>
      </c>
      <c r="H353" s="15" t="n"/>
      <c r="I353" s="15" t="n"/>
      <c r="J353" s="15" t="n"/>
      <c r="K353" s="13" t="n"/>
    </row>
    <row r="354">
      <c r="A354" s="13" t="n"/>
      <c r="B354" s="14">
        <f>IF(OR(A354="",Configurações!$B$5=""),"",INT((A354-Configurações!$B$5)/7)+1)</f>
        <v/>
      </c>
      <c r="C354" s="15" t="n"/>
      <c r="D354" s="15" t="n"/>
      <c r="E354" s="15" t="n"/>
      <c r="F354" s="15" t="n"/>
      <c r="G354" s="14">
        <f>IF(F354="","",VALUE(LEFT(F354,1)))</f>
        <v/>
      </c>
      <c r="H354" s="15" t="n"/>
      <c r="I354" s="15" t="n"/>
      <c r="J354" s="15" t="n"/>
      <c r="K354" s="13" t="n"/>
    </row>
    <row r="355">
      <c r="A355" s="13" t="n"/>
      <c r="B355" s="14">
        <f>IF(OR(A355="",Configurações!$B$5=""),"",INT((A355-Configurações!$B$5)/7)+1)</f>
        <v/>
      </c>
      <c r="C355" s="15" t="n"/>
      <c r="D355" s="15" t="n"/>
      <c r="E355" s="15" t="n"/>
      <c r="F355" s="15" t="n"/>
      <c r="G355" s="14">
        <f>IF(F355="","",VALUE(LEFT(F355,1)))</f>
        <v/>
      </c>
      <c r="H355" s="15" t="n"/>
      <c r="I355" s="15" t="n"/>
      <c r="J355" s="15" t="n"/>
      <c r="K355" s="13" t="n"/>
    </row>
    <row r="356">
      <c r="A356" s="13" t="n"/>
      <c r="B356" s="14">
        <f>IF(OR(A356="",Configurações!$B$5=""),"",INT((A356-Configurações!$B$5)/7)+1)</f>
        <v/>
      </c>
      <c r="C356" s="15" t="n"/>
      <c r="D356" s="15" t="n"/>
      <c r="E356" s="15" t="n"/>
      <c r="F356" s="15" t="n"/>
      <c r="G356" s="14">
        <f>IF(F356="","",VALUE(LEFT(F356,1)))</f>
        <v/>
      </c>
      <c r="H356" s="15" t="n"/>
      <c r="I356" s="15" t="n"/>
      <c r="J356" s="15" t="n"/>
      <c r="K356" s="13" t="n"/>
    </row>
    <row r="357">
      <c r="A357" s="13" t="n"/>
      <c r="B357" s="14">
        <f>IF(OR(A357="",Configurações!$B$5=""),"",INT((A357-Configurações!$B$5)/7)+1)</f>
        <v/>
      </c>
      <c r="C357" s="15" t="n"/>
      <c r="D357" s="15" t="n"/>
      <c r="E357" s="15" t="n"/>
      <c r="F357" s="15" t="n"/>
      <c r="G357" s="14">
        <f>IF(F357="","",VALUE(LEFT(F357,1)))</f>
        <v/>
      </c>
      <c r="H357" s="15" t="n"/>
      <c r="I357" s="15" t="n"/>
      <c r="J357" s="15" t="n"/>
      <c r="K357" s="13" t="n"/>
    </row>
    <row r="358">
      <c r="A358" s="13" t="n"/>
      <c r="B358" s="14">
        <f>IF(OR(A358="",Configurações!$B$5=""),"",INT((A358-Configurações!$B$5)/7)+1)</f>
        <v/>
      </c>
      <c r="C358" s="15" t="n"/>
      <c r="D358" s="15" t="n"/>
      <c r="E358" s="15" t="n"/>
      <c r="F358" s="15" t="n"/>
      <c r="G358" s="14">
        <f>IF(F358="","",VALUE(LEFT(F358,1)))</f>
        <v/>
      </c>
      <c r="H358" s="15" t="n"/>
      <c r="I358" s="15" t="n"/>
      <c r="J358" s="15" t="n"/>
      <c r="K358" s="13" t="n"/>
    </row>
    <row r="359">
      <c r="A359" s="13" t="n"/>
      <c r="B359" s="14">
        <f>IF(OR(A359="",Configurações!$B$5=""),"",INT((A359-Configurações!$B$5)/7)+1)</f>
        <v/>
      </c>
      <c r="C359" s="15" t="n"/>
      <c r="D359" s="15" t="n"/>
      <c r="E359" s="15" t="n"/>
      <c r="F359" s="15" t="n"/>
      <c r="G359" s="14">
        <f>IF(F359="","",VALUE(LEFT(F359,1)))</f>
        <v/>
      </c>
      <c r="H359" s="15" t="n"/>
      <c r="I359" s="15" t="n"/>
      <c r="J359" s="15" t="n"/>
      <c r="K359" s="13" t="n"/>
    </row>
    <row r="360">
      <c r="A360" s="13" t="n"/>
      <c r="B360" s="14">
        <f>IF(OR(A360="",Configurações!$B$5=""),"",INT((A360-Configurações!$B$5)/7)+1)</f>
        <v/>
      </c>
      <c r="C360" s="15" t="n"/>
      <c r="D360" s="15" t="n"/>
      <c r="E360" s="15" t="n"/>
      <c r="F360" s="15" t="n"/>
      <c r="G360" s="14">
        <f>IF(F360="","",VALUE(LEFT(F360,1)))</f>
        <v/>
      </c>
      <c r="H360" s="15" t="n"/>
      <c r="I360" s="15" t="n"/>
      <c r="J360" s="15" t="n"/>
      <c r="K360" s="13" t="n"/>
    </row>
    <row r="361">
      <c r="A361" s="13" t="n"/>
      <c r="B361" s="14">
        <f>IF(OR(A361="",Configurações!$B$5=""),"",INT((A361-Configurações!$B$5)/7)+1)</f>
        <v/>
      </c>
      <c r="C361" s="15" t="n"/>
      <c r="D361" s="15" t="n"/>
      <c r="E361" s="15" t="n"/>
      <c r="F361" s="15" t="n"/>
      <c r="G361" s="14">
        <f>IF(F361="","",VALUE(LEFT(F361,1)))</f>
        <v/>
      </c>
      <c r="H361" s="15" t="n"/>
      <c r="I361" s="15" t="n"/>
      <c r="J361" s="15" t="n"/>
      <c r="K361" s="13" t="n"/>
    </row>
    <row r="362">
      <c r="A362" s="13" t="n"/>
      <c r="B362" s="14">
        <f>IF(OR(A362="",Configurações!$B$5=""),"",INT((A362-Configurações!$B$5)/7)+1)</f>
        <v/>
      </c>
      <c r="C362" s="15" t="n"/>
      <c r="D362" s="15" t="n"/>
      <c r="E362" s="15" t="n"/>
      <c r="F362" s="15" t="n"/>
      <c r="G362" s="14">
        <f>IF(F362="","",VALUE(LEFT(F362,1)))</f>
        <v/>
      </c>
      <c r="H362" s="15" t="n"/>
      <c r="I362" s="15" t="n"/>
      <c r="J362" s="15" t="n"/>
      <c r="K362" s="13" t="n"/>
    </row>
    <row r="363">
      <c r="A363" s="13" t="n"/>
      <c r="B363" s="14">
        <f>IF(OR(A363="",Configurações!$B$5=""),"",INT((A363-Configurações!$B$5)/7)+1)</f>
        <v/>
      </c>
      <c r="C363" s="15" t="n"/>
      <c r="D363" s="15" t="n"/>
      <c r="E363" s="15" t="n"/>
      <c r="F363" s="15" t="n"/>
      <c r="G363" s="14">
        <f>IF(F363="","",VALUE(LEFT(F363,1)))</f>
        <v/>
      </c>
      <c r="H363" s="15" t="n"/>
      <c r="I363" s="15" t="n"/>
      <c r="J363" s="15" t="n"/>
      <c r="K363" s="13" t="n"/>
    </row>
    <row r="364">
      <c r="A364" s="13" t="n"/>
      <c r="B364" s="14">
        <f>IF(OR(A364="",Configurações!$B$5=""),"",INT((A364-Configurações!$B$5)/7)+1)</f>
        <v/>
      </c>
      <c r="C364" s="15" t="n"/>
      <c r="D364" s="15" t="n"/>
      <c r="E364" s="15" t="n"/>
      <c r="F364" s="15" t="n"/>
      <c r="G364" s="14">
        <f>IF(F364="","",VALUE(LEFT(F364,1)))</f>
        <v/>
      </c>
      <c r="H364" s="15" t="n"/>
      <c r="I364" s="15" t="n"/>
      <c r="J364" s="15" t="n"/>
      <c r="K364" s="13" t="n"/>
    </row>
    <row r="365">
      <c r="A365" s="13" t="n"/>
      <c r="B365" s="14">
        <f>IF(OR(A365="",Configurações!$B$5=""),"",INT((A365-Configurações!$B$5)/7)+1)</f>
        <v/>
      </c>
      <c r="C365" s="15" t="n"/>
      <c r="D365" s="15" t="n"/>
      <c r="E365" s="15" t="n"/>
      <c r="F365" s="15" t="n"/>
      <c r="G365" s="14">
        <f>IF(F365="","",VALUE(LEFT(F365,1)))</f>
        <v/>
      </c>
      <c r="H365" s="15" t="n"/>
      <c r="I365" s="15" t="n"/>
      <c r="J365" s="15" t="n"/>
      <c r="K365" s="13" t="n"/>
    </row>
    <row r="366">
      <c r="A366" s="13" t="n"/>
      <c r="B366" s="14">
        <f>IF(OR(A366="",Configurações!$B$5=""),"",INT((A366-Configurações!$B$5)/7)+1)</f>
        <v/>
      </c>
      <c r="C366" s="15" t="n"/>
      <c r="D366" s="15" t="n"/>
      <c r="E366" s="15" t="n"/>
      <c r="F366" s="15" t="n"/>
      <c r="G366" s="14">
        <f>IF(F366="","",VALUE(LEFT(F366,1)))</f>
        <v/>
      </c>
      <c r="H366" s="15" t="n"/>
      <c r="I366" s="15" t="n"/>
      <c r="J366" s="15" t="n"/>
      <c r="K366" s="13" t="n"/>
    </row>
    <row r="367">
      <c r="A367" s="13" t="n"/>
      <c r="B367" s="14">
        <f>IF(OR(A367="",Configurações!$B$5=""),"",INT((A367-Configurações!$B$5)/7)+1)</f>
        <v/>
      </c>
      <c r="C367" s="15" t="n"/>
      <c r="D367" s="15" t="n"/>
      <c r="E367" s="15" t="n"/>
      <c r="F367" s="15" t="n"/>
      <c r="G367" s="14">
        <f>IF(F367="","",VALUE(LEFT(F367,1)))</f>
        <v/>
      </c>
      <c r="H367" s="15" t="n"/>
      <c r="I367" s="15" t="n"/>
      <c r="J367" s="15" t="n"/>
      <c r="K367" s="13" t="n"/>
    </row>
    <row r="368">
      <c r="A368" s="13" t="n"/>
      <c r="B368" s="14">
        <f>IF(OR(A368="",Configurações!$B$5=""),"",INT((A368-Configurações!$B$5)/7)+1)</f>
        <v/>
      </c>
      <c r="C368" s="15" t="n"/>
      <c r="D368" s="15" t="n"/>
      <c r="E368" s="15" t="n"/>
      <c r="F368" s="15" t="n"/>
      <c r="G368" s="14">
        <f>IF(F368="","",VALUE(LEFT(F368,1)))</f>
        <v/>
      </c>
      <c r="H368" s="15" t="n"/>
      <c r="I368" s="15" t="n"/>
      <c r="J368" s="15" t="n"/>
      <c r="K368" s="13" t="n"/>
    </row>
    <row r="369">
      <c r="A369" s="13" t="n"/>
      <c r="B369" s="14">
        <f>IF(OR(A369="",Configurações!$B$5=""),"",INT((A369-Configurações!$B$5)/7)+1)</f>
        <v/>
      </c>
      <c r="C369" s="15" t="n"/>
      <c r="D369" s="15" t="n"/>
      <c r="E369" s="15" t="n"/>
      <c r="F369" s="15" t="n"/>
      <c r="G369" s="14">
        <f>IF(F369="","",VALUE(LEFT(F369,1)))</f>
        <v/>
      </c>
      <c r="H369" s="15" t="n"/>
      <c r="I369" s="15" t="n"/>
      <c r="J369" s="15" t="n"/>
      <c r="K369" s="13" t="n"/>
    </row>
    <row r="370">
      <c r="A370" s="13" t="n"/>
      <c r="B370" s="14">
        <f>IF(OR(A370="",Configurações!$B$5=""),"",INT((A370-Configurações!$B$5)/7)+1)</f>
        <v/>
      </c>
      <c r="C370" s="15" t="n"/>
      <c r="D370" s="15" t="n"/>
      <c r="E370" s="15" t="n"/>
      <c r="F370" s="15" t="n"/>
      <c r="G370" s="14">
        <f>IF(F370="","",VALUE(LEFT(F370,1)))</f>
        <v/>
      </c>
      <c r="H370" s="15" t="n"/>
      <c r="I370" s="15" t="n"/>
      <c r="J370" s="15" t="n"/>
      <c r="K370" s="13" t="n"/>
    </row>
    <row r="371">
      <c r="A371" s="13" t="n"/>
      <c r="B371" s="14">
        <f>IF(OR(A371="",Configurações!$B$5=""),"",INT((A371-Configurações!$B$5)/7)+1)</f>
        <v/>
      </c>
      <c r="C371" s="15" t="n"/>
      <c r="D371" s="15" t="n"/>
      <c r="E371" s="15" t="n"/>
      <c r="F371" s="15" t="n"/>
      <c r="G371" s="14">
        <f>IF(F371="","",VALUE(LEFT(F371,1)))</f>
        <v/>
      </c>
      <c r="H371" s="15" t="n"/>
      <c r="I371" s="15" t="n"/>
      <c r="J371" s="15" t="n"/>
      <c r="K371" s="13" t="n"/>
    </row>
    <row r="372">
      <c r="A372" s="13" t="n"/>
      <c r="B372" s="14">
        <f>IF(OR(A372="",Configurações!$B$5=""),"",INT((A372-Configurações!$B$5)/7)+1)</f>
        <v/>
      </c>
      <c r="C372" s="15" t="n"/>
      <c r="D372" s="15" t="n"/>
      <c r="E372" s="15" t="n"/>
      <c r="F372" s="15" t="n"/>
      <c r="G372" s="14">
        <f>IF(F372="","",VALUE(LEFT(F372,1)))</f>
        <v/>
      </c>
      <c r="H372" s="15" t="n"/>
      <c r="I372" s="15" t="n"/>
      <c r="J372" s="15" t="n"/>
      <c r="K372" s="13" t="n"/>
    </row>
    <row r="373">
      <c r="A373" s="13" t="n"/>
      <c r="B373" s="14">
        <f>IF(OR(A373="",Configurações!$B$5=""),"",INT((A373-Configurações!$B$5)/7)+1)</f>
        <v/>
      </c>
      <c r="C373" s="15" t="n"/>
      <c r="D373" s="15" t="n"/>
      <c r="E373" s="15" t="n"/>
      <c r="F373" s="15" t="n"/>
      <c r="G373" s="14">
        <f>IF(F373="","",VALUE(LEFT(F373,1)))</f>
        <v/>
      </c>
      <c r="H373" s="15" t="n"/>
      <c r="I373" s="15" t="n"/>
      <c r="J373" s="15" t="n"/>
      <c r="K373" s="13" t="n"/>
    </row>
    <row r="374">
      <c r="A374" s="13" t="n"/>
      <c r="B374" s="14">
        <f>IF(OR(A374="",Configurações!$B$5=""),"",INT((A374-Configurações!$B$5)/7)+1)</f>
        <v/>
      </c>
      <c r="C374" s="15" t="n"/>
      <c r="D374" s="15" t="n"/>
      <c r="E374" s="15" t="n"/>
      <c r="F374" s="15" t="n"/>
      <c r="G374" s="14">
        <f>IF(F374="","",VALUE(LEFT(F374,1)))</f>
        <v/>
      </c>
      <c r="H374" s="15" t="n"/>
      <c r="I374" s="15" t="n"/>
      <c r="J374" s="15" t="n"/>
      <c r="K374" s="13" t="n"/>
    </row>
    <row r="375">
      <c r="A375" s="13" t="n"/>
      <c r="B375" s="14">
        <f>IF(OR(A375="",Configurações!$B$5=""),"",INT((A375-Configurações!$B$5)/7)+1)</f>
        <v/>
      </c>
      <c r="C375" s="15" t="n"/>
      <c r="D375" s="15" t="n"/>
      <c r="E375" s="15" t="n"/>
      <c r="F375" s="15" t="n"/>
      <c r="G375" s="14">
        <f>IF(F375="","",VALUE(LEFT(F375,1)))</f>
        <v/>
      </c>
      <c r="H375" s="15" t="n"/>
      <c r="I375" s="15" t="n"/>
      <c r="J375" s="15" t="n"/>
      <c r="K375" s="13" t="n"/>
    </row>
    <row r="376">
      <c r="A376" s="13" t="n"/>
      <c r="B376" s="14">
        <f>IF(OR(A376="",Configurações!$B$5=""),"",INT((A376-Configurações!$B$5)/7)+1)</f>
        <v/>
      </c>
      <c r="C376" s="15" t="n"/>
      <c r="D376" s="15" t="n"/>
      <c r="E376" s="15" t="n"/>
      <c r="F376" s="15" t="n"/>
      <c r="G376" s="14">
        <f>IF(F376="","",VALUE(LEFT(F376,1)))</f>
        <v/>
      </c>
      <c r="H376" s="15" t="n"/>
      <c r="I376" s="15" t="n"/>
      <c r="J376" s="15" t="n"/>
      <c r="K376" s="13" t="n"/>
    </row>
    <row r="377">
      <c r="A377" s="13" t="n"/>
      <c r="B377" s="14">
        <f>IF(OR(A377="",Configurações!$B$5=""),"",INT((A377-Configurações!$B$5)/7)+1)</f>
        <v/>
      </c>
      <c r="C377" s="15" t="n"/>
      <c r="D377" s="15" t="n"/>
      <c r="E377" s="15" t="n"/>
      <c r="F377" s="15" t="n"/>
      <c r="G377" s="14">
        <f>IF(F377="","",VALUE(LEFT(F377,1)))</f>
        <v/>
      </c>
      <c r="H377" s="15" t="n"/>
      <c r="I377" s="15" t="n"/>
      <c r="J377" s="15" t="n"/>
      <c r="K377" s="13" t="n"/>
    </row>
    <row r="378">
      <c r="A378" s="13" t="n"/>
      <c r="B378" s="14">
        <f>IF(OR(A378="",Configurações!$B$5=""),"",INT((A378-Configurações!$B$5)/7)+1)</f>
        <v/>
      </c>
      <c r="C378" s="15" t="n"/>
      <c r="D378" s="15" t="n"/>
      <c r="E378" s="15" t="n"/>
      <c r="F378" s="15" t="n"/>
      <c r="G378" s="14">
        <f>IF(F378="","",VALUE(LEFT(F378,1)))</f>
        <v/>
      </c>
      <c r="H378" s="15" t="n"/>
      <c r="I378" s="15" t="n"/>
      <c r="J378" s="15" t="n"/>
      <c r="K378" s="13" t="n"/>
    </row>
    <row r="379">
      <c r="A379" s="13" t="n"/>
      <c r="B379" s="14">
        <f>IF(OR(A379="",Configurações!$B$5=""),"",INT((A379-Configurações!$B$5)/7)+1)</f>
        <v/>
      </c>
      <c r="C379" s="15" t="n"/>
      <c r="D379" s="15" t="n"/>
      <c r="E379" s="15" t="n"/>
      <c r="F379" s="15" t="n"/>
      <c r="G379" s="14">
        <f>IF(F379="","",VALUE(LEFT(F379,1)))</f>
        <v/>
      </c>
      <c r="H379" s="15" t="n"/>
      <c r="I379" s="15" t="n"/>
      <c r="J379" s="15" t="n"/>
      <c r="K379" s="13" t="n"/>
    </row>
    <row r="380">
      <c r="A380" s="13" t="n"/>
      <c r="B380" s="14">
        <f>IF(OR(A380="",Configurações!$B$5=""),"",INT((A380-Configurações!$B$5)/7)+1)</f>
        <v/>
      </c>
      <c r="C380" s="15" t="n"/>
      <c r="D380" s="15" t="n"/>
      <c r="E380" s="15" t="n"/>
      <c r="F380" s="15" t="n"/>
      <c r="G380" s="14">
        <f>IF(F380="","",VALUE(LEFT(F380,1)))</f>
        <v/>
      </c>
      <c r="H380" s="15" t="n"/>
      <c r="I380" s="15" t="n"/>
      <c r="J380" s="15" t="n"/>
      <c r="K380" s="13" t="n"/>
    </row>
    <row r="381">
      <c r="A381" s="13" t="n"/>
      <c r="B381" s="14">
        <f>IF(OR(A381="",Configurações!$B$5=""),"",INT((A381-Configurações!$B$5)/7)+1)</f>
        <v/>
      </c>
      <c r="C381" s="15" t="n"/>
      <c r="D381" s="15" t="n"/>
      <c r="E381" s="15" t="n"/>
      <c r="F381" s="15" t="n"/>
      <c r="G381" s="14">
        <f>IF(F381="","",VALUE(LEFT(F381,1)))</f>
        <v/>
      </c>
      <c r="H381" s="15" t="n"/>
      <c r="I381" s="15" t="n"/>
      <c r="J381" s="15" t="n"/>
      <c r="K381" s="13" t="n"/>
    </row>
    <row r="382">
      <c r="A382" s="13" t="n"/>
      <c r="B382" s="14">
        <f>IF(OR(A382="",Configurações!$B$5=""),"",INT((A382-Configurações!$B$5)/7)+1)</f>
        <v/>
      </c>
      <c r="C382" s="15" t="n"/>
      <c r="D382" s="15" t="n"/>
      <c r="E382" s="15" t="n"/>
      <c r="F382" s="15" t="n"/>
      <c r="G382" s="14">
        <f>IF(F382="","",VALUE(LEFT(F382,1)))</f>
        <v/>
      </c>
      <c r="H382" s="15" t="n"/>
      <c r="I382" s="15" t="n"/>
      <c r="J382" s="15" t="n"/>
      <c r="K382" s="13" t="n"/>
    </row>
    <row r="383">
      <c r="A383" s="13" t="n"/>
      <c r="B383" s="14">
        <f>IF(OR(A383="",Configurações!$B$5=""),"",INT((A383-Configurações!$B$5)/7)+1)</f>
        <v/>
      </c>
      <c r="C383" s="15" t="n"/>
      <c r="D383" s="15" t="n"/>
      <c r="E383" s="15" t="n"/>
      <c r="F383" s="15" t="n"/>
      <c r="G383" s="14">
        <f>IF(F383="","",VALUE(LEFT(F383,1)))</f>
        <v/>
      </c>
      <c r="H383" s="15" t="n"/>
      <c r="I383" s="15" t="n"/>
      <c r="J383" s="15" t="n"/>
      <c r="K383" s="13" t="n"/>
    </row>
    <row r="384">
      <c r="A384" s="13" t="n"/>
      <c r="B384" s="14">
        <f>IF(OR(A384="",Configurações!$B$5=""),"",INT((A384-Configurações!$B$5)/7)+1)</f>
        <v/>
      </c>
      <c r="C384" s="15" t="n"/>
      <c r="D384" s="15" t="n"/>
      <c r="E384" s="15" t="n"/>
      <c r="F384" s="15" t="n"/>
      <c r="G384" s="14">
        <f>IF(F384="","",VALUE(LEFT(F384,1)))</f>
        <v/>
      </c>
      <c r="H384" s="15" t="n"/>
      <c r="I384" s="15" t="n"/>
      <c r="J384" s="15" t="n"/>
      <c r="K384" s="13" t="n"/>
    </row>
    <row r="385">
      <c r="A385" s="13" t="n"/>
      <c r="B385" s="14">
        <f>IF(OR(A385="",Configurações!$B$5=""),"",INT((A385-Configurações!$B$5)/7)+1)</f>
        <v/>
      </c>
      <c r="C385" s="15" t="n"/>
      <c r="D385" s="15" t="n"/>
      <c r="E385" s="15" t="n"/>
      <c r="F385" s="15" t="n"/>
      <c r="G385" s="14">
        <f>IF(F385="","",VALUE(LEFT(F385,1)))</f>
        <v/>
      </c>
      <c r="H385" s="15" t="n"/>
      <c r="I385" s="15" t="n"/>
      <c r="J385" s="15" t="n"/>
      <c r="K385" s="13" t="n"/>
    </row>
    <row r="386">
      <c r="A386" s="13" t="n"/>
      <c r="B386" s="14">
        <f>IF(OR(A386="",Configurações!$B$5=""),"",INT((A386-Configurações!$B$5)/7)+1)</f>
        <v/>
      </c>
      <c r="C386" s="15" t="n"/>
      <c r="D386" s="15" t="n"/>
      <c r="E386" s="15" t="n"/>
      <c r="F386" s="15" t="n"/>
      <c r="G386" s="14">
        <f>IF(F386="","",VALUE(LEFT(F386,1)))</f>
        <v/>
      </c>
      <c r="H386" s="15" t="n"/>
      <c r="I386" s="15" t="n"/>
      <c r="J386" s="15" t="n"/>
      <c r="K386" s="13" t="n"/>
    </row>
    <row r="387">
      <c r="A387" s="13" t="n"/>
      <c r="B387" s="14">
        <f>IF(OR(A387="",Configurações!$B$5=""),"",INT((A387-Configurações!$B$5)/7)+1)</f>
        <v/>
      </c>
      <c r="C387" s="15" t="n"/>
      <c r="D387" s="15" t="n"/>
      <c r="E387" s="15" t="n"/>
      <c r="F387" s="15" t="n"/>
      <c r="G387" s="14">
        <f>IF(F387="","",VALUE(LEFT(F387,1)))</f>
        <v/>
      </c>
      <c r="H387" s="15" t="n"/>
      <c r="I387" s="15" t="n"/>
      <c r="J387" s="15" t="n"/>
      <c r="K387" s="13" t="n"/>
    </row>
    <row r="388">
      <c r="A388" s="13" t="n"/>
      <c r="B388" s="14">
        <f>IF(OR(A388="",Configurações!$B$5=""),"",INT((A388-Configurações!$B$5)/7)+1)</f>
        <v/>
      </c>
      <c r="C388" s="15" t="n"/>
      <c r="D388" s="15" t="n"/>
      <c r="E388" s="15" t="n"/>
      <c r="F388" s="15" t="n"/>
      <c r="G388" s="14">
        <f>IF(F388="","",VALUE(LEFT(F388,1)))</f>
        <v/>
      </c>
      <c r="H388" s="15" t="n"/>
      <c r="I388" s="15" t="n"/>
      <c r="J388" s="15" t="n"/>
      <c r="K388" s="13" t="n"/>
    </row>
    <row r="389">
      <c r="A389" s="13" t="n"/>
      <c r="B389" s="14">
        <f>IF(OR(A389="",Configurações!$B$5=""),"",INT((A389-Configurações!$B$5)/7)+1)</f>
        <v/>
      </c>
      <c r="C389" s="15" t="n"/>
      <c r="D389" s="15" t="n"/>
      <c r="E389" s="15" t="n"/>
      <c r="F389" s="15" t="n"/>
      <c r="G389" s="14">
        <f>IF(F389="","",VALUE(LEFT(F389,1)))</f>
        <v/>
      </c>
      <c r="H389" s="15" t="n"/>
      <c r="I389" s="15" t="n"/>
      <c r="J389" s="15" t="n"/>
      <c r="K389" s="13" t="n"/>
    </row>
    <row r="390">
      <c r="A390" s="13" t="n"/>
      <c r="B390" s="14">
        <f>IF(OR(A390="",Configurações!$B$5=""),"",INT((A390-Configurações!$B$5)/7)+1)</f>
        <v/>
      </c>
      <c r="C390" s="15" t="n"/>
      <c r="D390" s="15" t="n"/>
      <c r="E390" s="15" t="n"/>
      <c r="F390" s="15" t="n"/>
      <c r="G390" s="14">
        <f>IF(F390="","",VALUE(LEFT(F390,1)))</f>
        <v/>
      </c>
      <c r="H390" s="15" t="n"/>
      <c r="I390" s="15" t="n"/>
      <c r="J390" s="15" t="n"/>
      <c r="K390" s="13" t="n"/>
    </row>
    <row r="391">
      <c r="A391" s="13" t="n"/>
      <c r="B391" s="14">
        <f>IF(OR(A391="",Configurações!$B$5=""),"",INT((A391-Configurações!$B$5)/7)+1)</f>
        <v/>
      </c>
      <c r="C391" s="15" t="n"/>
      <c r="D391" s="15" t="n"/>
      <c r="E391" s="15" t="n"/>
      <c r="F391" s="15" t="n"/>
      <c r="G391" s="14">
        <f>IF(F391="","",VALUE(LEFT(F391,1)))</f>
        <v/>
      </c>
      <c r="H391" s="15" t="n"/>
      <c r="I391" s="15" t="n"/>
      <c r="J391" s="15" t="n"/>
      <c r="K391" s="13" t="n"/>
    </row>
    <row r="392">
      <c r="A392" s="13" t="n"/>
      <c r="B392" s="14">
        <f>IF(OR(A392="",Configurações!$B$5=""),"",INT((A392-Configurações!$B$5)/7)+1)</f>
        <v/>
      </c>
      <c r="C392" s="15" t="n"/>
      <c r="D392" s="15" t="n"/>
      <c r="E392" s="15" t="n"/>
      <c r="F392" s="15" t="n"/>
      <c r="G392" s="14">
        <f>IF(F392="","",VALUE(LEFT(F392,1)))</f>
        <v/>
      </c>
      <c r="H392" s="15" t="n"/>
      <c r="I392" s="15" t="n"/>
      <c r="J392" s="15" t="n"/>
      <c r="K392" s="13" t="n"/>
    </row>
    <row r="393">
      <c r="A393" s="13" t="n"/>
      <c r="B393" s="14">
        <f>IF(OR(A393="",Configurações!$B$5=""),"",INT((A393-Configurações!$B$5)/7)+1)</f>
        <v/>
      </c>
      <c r="C393" s="15" t="n"/>
      <c r="D393" s="15" t="n"/>
      <c r="E393" s="15" t="n"/>
      <c r="F393" s="15" t="n"/>
      <c r="G393" s="14">
        <f>IF(F393="","",VALUE(LEFT(F393,1)))</f>
        <v/>
      </c>
      <c r="H393" s="15" t="n"/>
      <c r="I393" s="15" t="n"/>
      <c r="J393" s="15" t="n"/>
      <c r="K393" s="13" t="n"/>
    </row>
    <row r="394">
      <c r="A394" s="13" t="n"/>
      <c r="B394" s="14">
        <f>IF(OR(A394="",Configurações!$B$5=""),"",INT((A394-Configurações!$B$5)/7)+1)</f>
        <v/>
      </c>
      <c r="C394" s="15" t="n"/>
      <c r="D394" s="15" t="n"/>
      <c r="E394" s="15" t="n"/>
      <c r="F394" s="15" t="n"/>
      <c r="G394" s="14">
        <f>IF(F394="","",VALUE(LEFT(F394,1)))</f>
        <v/>
      </c>
      <c r="H394" s="15" t="n"/>
      <c r="I394" s="15" t="n"/>
      <c r="J394" s="15" t="n"/>
      <c r="K394" s="13" t="n"/>
    </row>
    <row r="395">
      <c r="A395" s="13" t="n"/>
      <c r="B395" s="14">
        <f>IF(OR(A395="",Configurações!$B$5=""),"",INT((A395-Configurações!$B$5)/7)+1)</f>
        <v/>
      </c>
      <c r="C395" s="15" t="n"/>
      <c r="D395" s="15" t="n"/>
      <c r="E395" s="15" t="n"/>
      <c r="F395" s="15" t="n"/>
      <c r="G395" s="14">
        <f>IF(F395="","",VALUE(LEFT(F395,1)))</f>
        <v/>
      </c>
      <c r="H395" s="15" t="n"/>
      <c r="I395" s="15" t="n"/>
      <c r="J395" s="15" t="n"/>
      <c r="K395" s="13" t="n"/>
    </row>
    <row r="396">
      <c r="A396" s="13" t="n"/>
      <c r="B396" s="14">
        <f>IF(OR(A396="",Configurações!$B$5=""),"",INT((A396-Configurações!$B$5)/7)+1)</f>
        <v/>
      </c>
      <c r="C396" s="15" t="n"/>
      <c r="D396" s="15" t="n"/>
      <c r="E396" s="15" t="n"/>
      <c r="F396" s="15" t="n"/>
      <c r="G396" s="14">
        <f>IF(F396="","",VALUE(LEFT(F396,1)))</f>
        <v/>
      </c>
      <c r="H396" s="15" t="n"/>
      <c r="I396" s="15" t="n"/>
      <c r="J396" s="15" t="n"/>
      <c r="K396" s="13" t="n"/>
    </row>
    <row r="397">
      <c r="A397" s="13" t="n"/>
      <c r="B397" s="14">
        <f>IF(OR(A397="",Configurações!$B$5=""),"",INT((A397-Configurações!$B$5)/7)+1)</f>
        <v/>
      </c>
      <c r="C397" s="15" t="n"/>
      <c r="D397" s="15" t="n"/>
      <c r="E397" s="15" t="n"/>
      <c r="F397" s="15" t="n"/>
      <c r="G397" s="14">
        <f>IF(F397="","",VALUE(LEFT(F397,1)))</f>
        <v/>
      </c>
      <c r="H397" s="15" t="n"/>
      <c r="I397" s="15" t="n"/>
      <c r="J397" s="15" t="n"/>
      <c r="K397" s="13" t="n"/>
    </row>
    <row r="398">
      <c r="A398" s="13" t="n"/>
      <c r="B398" s="14">
        <f>IF(OR(A398="",Configurações!$B$5=""),"",INT((A398-Configurações!$B$5)/7)+1)</f>
        <v/>
      </c>
      <c r="C398" s="15" t="n"/>
      <c r="D398" s="15" t="n"/>
      <c r="E398" s="15" t="n"/>
      <c r="F398" s="15" t="n"/>
      <c r="G398" s="14">
        <f>IF(F398="","",VALUE(LEFT(F398,1)))</f>
        <v/>
      </c>
      <c r="H398" s="15" t="n"/>
      <c r="I398" s="15" t="n"/>
      <c r="J398" s="15" t="n"/>
      <c r="K398" s="13" t="n"/>
    </row>
    <row r="399">
      <c r="A399" s="13" t="n"/>
      <c r="B399" s="14">
        <f>IF(OR(A399="",Configurações!$B$5=""),"",INT((A399-Configurações!$B$5)/7)+1)</f>
        <v/>
      </c>
      <c r="C399" s="15" t="n"/>
      <c r="D399" s="15" t="n"/>
      <c r="E399" s="15" t="n"/>
      <c r="F399" s="15" t="n"/>
      <c r="G399" s="14">
        <f>IF(F399="","",VALUE(LEFT(F399,1)))</f>
        <v/>
      </c>
      <c r="H399" s="15" t="n"/>
      <c r="I399" s="15" t="n"/>
      <c r="J399" s="15" t="n"/>
      <c r="K399" s="13" t="n"/>
    </row>
    <row r="400">
      <c r="A400" s="13" t="n"/>
      <c r="B400" s="14">
        <f>IF(OR(A400="",Configurações!$B$5=""),"",INT((A400-Configurações!$B$5)/7)+1)</f>
        <v/>
      </c>
      <c r="C400" s="15" t="n"/>
      <c r="D400" s="15" t="n"/>
      <c r="E400" s="15" t="n"/>
      <c r="F400" s="15" t="n"/>
      <c r="G400" s="14">
        <f>IF(F400="","",VALUE(LEFT(F400,1)))</f>
        <v/>
      </c>
      <c r="H400" s="15" t="n"/>
      <c r="I400" s="15" t="n"/>
      <c r="J400" s="15" t="n"/>
      <c r="K400" s="13" t="n"/>
    </row>
    <row r="401">
      <c r="A401" s="13" t="n"/>
      <c r="B401" s="14">
        <f>IF(OR(A401="",Configurações!$B$5=""),"",INT((A401-Configurações!$B$5)/7)+1)</f>
        <v/>
      </c>
      <c r="C401" s="15" t="n"/>
      <c r="D401" s="15" t="n"/>
      <c r="E401" s="15" t="n"/>
      <c r="F401" s="15" t="n"/>
      <c r="G401" s="14">
        <f>IF(F401="","",VALUE(LEFT(F401,1)))</f>
        <v/>
      </c>
      <c r="H401" s="15" t="n"/>
      <c r="I401" s="15" t="n"/>
      <c r="J401" s="15" t="n"/>
      <c r="K401" s="13" t="n"/>
    </row>
    <row r="402">
      <c r="A402" s="13" t="n"/>
      <c r="B402" s="14">
        <f>IF(OR(A402="",Configurações!$B$5=""),"",INT((A402-Configurações!$B$5)/7)+1)</f>
        <v/>
      </c>
      <c r="C402" s="15" t="n"/>
      <c r="D402" s="15" t="n"/>
      <c r="E402" s="15" t="n"/>
      <c r="F402" s="15" t="n"/>
      <c r="G402" s="14">
        <f>IF(F402="","",VALUE(LEFT(F402,1)))</f>
        <v/>
      </c>
      <c r="H402" s="15" t="n"/>
      <c r="I402" s="15" t="n"/>
      <c r="J402" s="15" t="n"/>
      <c r="K402" s="13" t="n"/>
    </row>
    <row r="403">
      <c r="A403" s="13" t="n"/>
      <c r="B403" s="14">
        <f>IF(OR(A403="",Configurações!$B$5=""),"",INT((A403-Configurações!$B$5)/7)+1)</f>
        <v/>
      </c>
      <c r="C403" s="15" t="n"/>
      <c r="D403" s="15" t="n"/>
      <c r="E403" s="15" t="n"/>
      <c r="F403" s="15" t="n"/>
      <c r="G403" s="14">
        <f>IF(F403="","",VALUE(LEFT(F403,1)))</f>
        <v/>
      </c>
      <c r="H403" s="15" t="n"/>
      <c r="I403" s="15" t="n"/>
      <c r="J403" s="15" t="n"/>
      <c r="K403" s="13" t="n"/>
    </row>
    <row r="404">
      <c r="A404" s="13" t="n"/>
      <c r="B404" s="14">
        <f>IF(OR(A404="",Configurações!$B$5=""),"",INT((A404-Configurações!$B$5)/7)+1)</f>
        <v/>
      </c>
      <c r="C404" s="15" t="n"/>
      <c r="D404" s="15" t="n"/>
      <c r="E404" s="15" t="n"/>
      <c r="F404" s="15" t="n"/>
      <c r="G404" s="14">
        <f>IF(F404="","",VALUE(LEFT(F404,1)))</f>
        <v/>
      </c>
      <c r="H404" s="15" t="n"/>
      <c r="I404" s="15" t="n"/>
      <c r="J404" s="15" t="n"/>
      <c r="K404" s="13" t="n"/>
    </row>
    <row r="405">
      <c r="A405" s="13" t="n"/>
      <c r="B405" s="14">
        <f>IF(OR(A405="",Configurações!$B$5=""),"",INT((A405-Configurações!$B$5)/7)+1)</f>
        <v/>
      </c>
      <c r="C405" s="15" t="n"/>
      <c r="D405" s="15" t="n"/>
      <c r="E405" s="15" t="n"/>
      <c r="F405" s="15" t="n"/>
      <c r="G405" s="14">
        <f>IF(F405="","",VALUE(LEFT(F405,1)))</f>
        <v/>
      </c>
      <c r="H405" s="15" t="n"/>
      <c r="I405" s="15" t="n"/>
      <c r="J405" s="15" t="n"/>
      <c r="K405" s="13" t="n"/>
    </row>
    <row r="406">
      <c r="A406" s="13" t="n"/>
      <c r="B406" s="14">
        <f>IF(OR(A406="",Configurações!$B$5=""),"",INT((A406-Configurações!$B$5)/7)+1)</f>
        <v/>
      </c>
      <c r="C406" s="15" t="n"/>
      <c r="D406" s="15" t="n"/>
      <c r="E406" s="15" t="n"/>
      <c r="F406" s="15" t="n"/>
      <c r="G406" s="14">
        <f>IF(F406="","",VALUE(LEFT(F406,1)))</f>
        <v/>
      </c>
      <c r="H406" s="15" t="n"/>
      <c r="I406" s="15" t="n"/>
      <c r="J406" s="15" t="n"/>
      <c r="K406" s="13" t="n"/>
    </row>
    <row r="407">
      <c r="A407" s="13" t="n"/>
      <c r="B407" s="14">
        <f>IF(OR(A407="",Configurações!$B$5=""),"",INT((A407-Configurações!$B$5)/7)+1)</f>
        <v/>
      </c>
      <c r="C407" s="15" t="n"/>
      <c r="D407" s="15" t="n"/>
      <c r="E407" s="15" t="n"/>
      <c r="F407" s="15" t="n"/>
      <c r="G407" s="14">
        <f>IF(F407="","",VALUE(LEFT(F407,1)))</f>
        <v/>
      </c>
      <c r="H407" s="15" t="n"/>
      <c r="I407" s="15" t="n"/>
      <c r="J407" s="15" t="n"/>
      <c r="K407" s="13" t="n"/>
    </row>
    <row r="408">
      <c r="A408" s="13" t="n"/>
      <c r="B408" s="14">
        <f>IF(OR(A408="",Configurações!$B$5=""),"",INT((A408-Configurações!$B$5)/7)+1)</f>
        <v/>
      </c>
      <c r="C408" s="15" t="n"/>
      <c r="D408" s="15" t="n"/>
      <c r="E408" s="15" t="n"/>
      <c r="F408" s="15" t="n"/>
      <c r="G408" s="14">
        <f>IF(F408="","",VALUE(LEFT(F408,1)))</f>
        <v/>
      </c>
      <c r="H408" s="15" t="n"/>
      <c r="I408" s="15" t="n"/>
      <c r="J408" s="15" t="n"/>
      <c r="K408" s="13" t="n"/>
    </row>
    <row r="409">
      <c r="A409" s="13" t="n"/>
      <c r="B409" s="14">
        <f>IF(OR(A409="",Configurações!$B$5=""),"",INT((A409-Configurações!$B$5)/7)+1)</f>
        <v/>
      </c>
      <c r="C409" s="15" t="n"/>
      <c r="D409" s="15" t="n"/>
      <c r="E409" s="15" t="n"/>
      <c r="F409" s="15" t="n"/>
      <c r="G409" s="14">
        <f>IF(F409="","",VALUE(LEFT(F409,1)))</f>
        <v/>
      </c>
      <c r="H409" s="15" t="n"/>
      <c r="I409" s="15" t="n"/>
      <c r="J409" s="15" t="n"/>
      <c r="K409" s="13" t="n"/>
    </row>
    <row r="410">
      <c r="A410" s="13" t="n"/>
      <c r="B410" s="14">
        <f>IF(OR(A410="",Configurações!$B$5=""),"",INT((A410-Configurações!$B$5)/7)+1)</f>
        <v/>
      </c>
      <c r="C410" s="15" t="n"/>
      <c r="D410" s="15" t="n"/>
      <c r="E410" s="15" t="n"/>
      <c r="F410" s="15" t="n"/>
      <c r="G410" s="14">
        <f>IF(F410="","",VALUE(LEFT(F410,1)))</f>
        <v/>
      </c>
      <c r="H410" s="15" t="n"/>
      <c r="I410" s="15" t="n"/>
      <c r="J410" s="15" t="n"/>
      <c r="K410" s="13" t="n"/>
    </row>
    <row r="411">
      <c r="A411" s="13" t="n"/>
      <c r="B411" s="14">
        <f>IF(OR(A411="",Configurações!$B$5=""),"",INT((A411-Configurações!$B$5)/7)+1)</f>
        <v/>
      </c>
      <c r="C411" s="15" t="n"/>
      <c r="D411" s="15" t="n"/>
      <c r="E411" s="15" t="n"/>
      <c r="F411" s="15" t="n"/>
      <c r="G411" s="14">
        <f>IF(F411="","",VALUE(LEFT(F411,1)))</f>
        <v/>
      </c>
      <c r="H411" s="15" t="n"/>
      <c r="I411" s="15" t="n"/>
      <c r="J411" s="15" t="n"/>
      <c r="K411" s="13" t="n"/>
    </row>
    <row r="412">
      <c r="A412" s="13" t="n"/>
      <c r="B412" s="14">
        <f>IF(OR(A412="",Configurações!$B$5=""),"",INT((A412-Configurações!$B$5)/7)+1)</f>
        <v/>
      </c>
      <c r="C412" s="15" t="n"/>
      <c r="D412" s="15" t="n"/>
      <c r="E412" s="15" t="n"/>
      <c r="F412" s="15" t="n"/>
      <c r="G412" s="14">
        <f>IF(F412="","",VALUE(LEFT(F412,1)))</f>
        <v/>
      </c>
      <c r="H412" s="15" t="n"/>
      <c r="I412" s="15" t="n"/>
      <c r="J412" s="15" t="n"/>
      <c r="K412" s="13" t="n"/>
    </row>
    <row r="413">
      <c r="A413" s="13" t="n"/>
      <c r="B413" s="14">
        <f>IF(OR(A413="",Configurações!$B$5=""),"",INT((A413-Configurações!$B$5)/7)+1)</f>
        <v/>
      </c>
      <c r="C413" s="15" t="n"/>
      <c r="D413" s="15" t="n"/>
      <c r="E413" s="15" t="n"/>
      <c r="F413" s="15" t="n"/>
      <c r="G413" s="14">
        <f>IF(F413="","",VALUE(LEFT(F413,1)))</f>
        <v/>
      </c>
      <c r="H413" s="15" t="n"/>
      <c r="I413" s="15" t="n"/>
      <c r="J413" s="15" t="n"/>
      <c r="K413" s="13" t="n"/>
    </row>
    <row r="414">
      <c r="A414" s="13" t="n"/>
      <c r="B414" s="14">
        <f>IF(OR(A414="",Configurações!$B$5=""),"",INT((A414-Configurações!$B$5)/7)+1)</f>
        <v/>
      </c>
      <c r="C414" s="15" t="n"/>
      <c r="D414" s="15" t="n"/>
      <c r="E414" s="15" t="n"/>
      <c r="F414" s="15" t="n"/>
      <c r="G414" s="14">
        <f>IF(F414="","",VALUE(LEFT(F414,1)))</f>
        <v/>
      </c>
      <c r="H414" s="15" t="n"/>
      <c r="I414" s="15" t="n"/>
      <c r="J414" s="15" t="n"/>
      <c r="K414" s="13" t="n"/>
    </row>
    <row r="415">
      <c r="A415" s="13" t="n"/>
      <c r="B415" s="14">
        <f>IF(OR(A415="",Configurações!$B$5=""),"",INT((A415-Configurações!$B$5)/7)+1)</f>
        <v/>
      </c>
      <c r="C415" s="15" t="n"/>
      <c r="D415" s="15" t="n"/>
      <c r="E415" s="15" t="n"/>
      <c r="F415" s="15" t="n"/>
      <c r="G415" s="14">
        <f>IF(F415="","",VALUE(LEFT(F415,1)))</f>
        <v/>
      </c>
      <c r="H415" s="15" t="n"/>
      <c r="I415" s="15" t="n"/>
      <c r="J415" s="15" t="n"/>
      <c r="K415" s="13" t="n"/>
    </row>
    <row r="416">
      <c r="A416" s="13" t="n"/>
      <c r="B416" s="14">
        <f>IF(OR(A416="",Configurações!$B$5=""),"",INT((A416-Configurações!$B$5)/7)+1)</f>
        <v/>
      </c>
      <c r="C416" s="15" t="n"/>
      <c r="D416" s="15" t="n"/>
      <c r="E416" s="15" t="n"/>
      <c r="F416" s="15" t="n"/>
      <c r="G416" s="14">
        <f>IF(F416="","",VALUE(LEFT(F416,1)))</f>
        <v/>
      </c>
      <c r="H416" s="15" t="n"/>
      <c r="I416" s="15" t="n"/>
      <c r="J416" s="15" t="n"/>
      <c r="K416" s="13" t="n"/>
    </row>
    <row r="417">
      <c r="A417" s="13" t="n"/>
      <c r="B417" s="14">
        <f>IF(OR(A417="",Configurações!$B$5=""),"",INT((A417-Configurações!$B$5)/7)+1)</f>
        <v/>
      </c>
      <c r="C417" s="15" t="n"/>
      <c r="D417" s="15" t="n"/>
      <c r="E417" s="15" t="n"/>
      <c r="F417" s="15" t="n"/>
      <c r="G417" s="14">
        <f>IF(F417="","",VALUE(LEFT(F417,1)))</f>
        <v/>
      </c>
      <c r="H417" s="15" t="n"/>
      <c r="I417" s="15" t="n"/>
      <c r="J417" s="15" t="n"/>
      <c r="K417" s="13" t="n"/>
    </row>
    <row r="418">
      <c r="A418" s="13" t="n"/>
      <c r="B418" s="14">
        <f>IF(OR(A418="",Configurações!$B$5=""),"",INT((A418-Configurações!$B$5)/7)+1)</f>
        <v/>
      </c>
      <c r="C418" s="15" t="n"/>
      <c r="D418" s="15" t="n"/>
      <c r="E418" s="15" t="n"/>
      <c r="F418" s="15" t="n"/>
      <c r="G418" s="14">
        <f>IF(F418="","",VALUE(LEFT(F418,1)))</f>
        <v/>
      </c>
      <c r="H418" s="15" t="n"/>
      <c r="I418" s="15" t="n"/>
      <c r="J418" s="15" t="n"/>
      <c r="K418" s="13" t="n"/>
    </row>
    <row r="419">
      <c r="A419" s="13" t="n"/>
      <c r="B419" s="14">
        <f>IF(OR(A419="",Configurações!$B$5=""),"",INT((A419-Configurações!$B$5)/7)+1)</f>
        <v/>
      </c>
      <c r="C419" s="15" t="n"/>
      <c r="D419" s="15" t="n"/>
      <c r="E419" s="15" t="n"/>
      <c r="F419" s="15" t="n"/>
      <c r="G419" s="14">
        <f>IF(F419="","",VALUE(LEFT(F419,1)))</f>
        <v/>
      </c>
      <c r="H419" s="15" t="n"/>
      <c r="I419" s="15" t="n"/>
      <c r="J419" s="15" t="n"/>
      <c r="K419" s="13" t="n"/>
    </row>
    <row r="420">
      <c r="A420" s="13" t="n"/>
      <c r="B420" s="14">
        <f>IF(OR(A420="",Configurações!$B$5=""),"",INT((A420-Configurações!$B$5)/7)+1)</f>
        <v/>
      </c>
      <c r="C420" s="15" t="n"/>
      <c r="D420" s="15" t="n"/>
      <c r="E420" s="15" t="n"/>
      <c r="F420" s="15" t="n"/>
      <c r="G420" s="14">
        <f>IF(F420="","",VALUE(LEFT(F420,1)))</f>
        <v/>
      </c>
      <c r="H420" s="15" t="n"/>
      <c r="I420" s="15" t="n"/>
      <c r="J420" s="15" t="n"/>
      <c r="K420" s="13" t="n"/>
    </row>
    <row r="421">
      <c r="A421" s="13" t="n"/>
      <c r="B421" s="14">
        <f>IF(OR(A421="",Configurações!$B$5=""),"",INT((A421-Configurações!$B$5)/7)+1)</f>
        <v/>
      </c>
      <c r="C421" s="15" t="n"/>
      <c r="D421" s="15" t="n"/>
      <c r="E421" s="15" t="n"/>
      <c r="F421" s="15" t="n"/>
      <c r="G421" s="14">
        <f>IF(F421="","",VALUE(LEFT(F421,1)))</f>
        <v/>
      </c>
      <c r="H421" s="15" t="n"/>
      <c r="I421" s="15" t="n"/>
      <c r="J421" s="15" t="n"/>
      <c r="K421" s="13" t="n"/>
    </row>
    <row r="422">
      <c r="A422" s="13" t="n"/>
      <c r="B422" s="14">
        <f>IF(OR(A422="",Configurações!$B$5=""),"",INT((A422-Configurações!$B$5)/7)+1)</f>
        <v/>
      </c>
      <c r="C422" s="15" t="n"/>
      <c r="D422" s="15" t="n"/>
      <c r="E422" s="15" t="n"/>
      <c r="F422" s="15" t="n"/>
      <c r="G422" s="14">
        <f>IF(F422="","",VALUE(LEFT(F422,1)))</f>
        <v/>
      </c>
      <c r="H422" s="15" t="n"/>
      <c r="I422" s="15" t="n"/>
      <c r="J422" s="15" t="n"/>
      <c r="K422" s="13" t="n"/>
    </row>
    <row r="423">
      <c r="A423" s="13" t="n"/>
      <c r="B423" s="14">
        <f>IF(OR(A423="",Configurações!$B$5=""),"",INT((A423-Configurações!$B$5)/7)+1)</f>
        <v/>
      </c>
      <c r="C423" s="15" t="n"/>
      <c r="D423" s="15" t="n"/>
      <c r="E423" s="15" t="n"/>
      <c r="F423" s="15" t="n"/>
      <c r="G423" s="14">
        <f>IF(F423="","",VALUE(LEFT(F423,1)))</f>
        <v/>
      </c>
      <c r="H423" s="15" t="n"/>
      <c r="I423" s="15" t="n"/>
      <c r="J423" s="15" t="n"/>
      <c r="K423" s="13" t="n"/>
    </row>
    <row r="424">
      <c r="A424" s="13" t="n"/>
      <c r="B424" s="14">
        <f>IF(OR(A424="",Configurações!$B$5=""),"",INT((A424-Configurações!$B$5)/7)+1)</f>
        <v/>
      </c>
      <c r="C424" s="15" t="n"/>
      <c r="D424" s="15" t="n"/>
      <c r="E424" s="15" t="n"/>
      <c r="F424" s="15" t="n"/>
      <c r="G424" s="14">
        <f>IF(F424="","",VALUE(LEFT(F424,1)))</f>
        <v/>
      </c>
      <c r="H424" s="15" t="n"/>
      <c r="I424" s="15" t="n"/>
      <c r="J424" s="15" t="n"/>
      <c r="K424" s="13" t="n"/>
    </row>
    <row r="425">
      <c r="A425" s="13" t="n"/>
      <c r="B425" s="14">
        <f>IF(OR(A425="",Configurações!$B$5=""),"",INT((A425-Configurações!$B$5)/7)+1)</f>
        <v/>
      </c>
      <c r="C425" s="15" t="n"/>
      <c r="D425" s="15" t="n"/>
      <c r="E425" s="15" t="n"/>
      <c r="F425" s="15" t="n"/>
      <c r="G425" s="14">
        <f>IF(F425="","",VALUE(LEFT(F425,1)))</f>
        <v/>
      </c>
      <c r="H425" s="15" t="n"/>
      <c r="I425" s="15" t="n"/>
      <c r="J425" s="15" t="n"/>
      <c r="K425" s="13" t="n"/>
    </row>
    <row r="426">
      <c r="A426" s="13" t="n"/>
      <c r="B426" s="14">
        <f>IF(OR(A426="",Configurações!$B$5=""),"",INT((A426-Configurações!$B$5)/7)+1)</f>
        <v/>
      </c>
      <c r="C426" s="15" t="n"/>
      <c r="D426" s="15" t="n"/>
      <c r="E426" s="15" t="n"/>
      <c r="F426" s="15" t="n"/>
      <c r="G426" s="14">
        <f>IF(F426="","",VALUE(LEFT(F426,1)))</f>
        <v/>
      </c>
      <c r="H426" s="15" t="n"/>
      <c r="I426" s="15" t="n"/>
      <c r="J426" s="15" t="n"/>
      <c r="K426" s="13" t="n"/>
    </row>
    <row r="427">
      <c r="A427" s="13" t="n"/>
      <c r="B427" s="14">
        <f>IF(OR(A427="",Configurações!$B$5=""),"",INT((A427-Configurações!$B$5)/7)+1)</f>
        <v/>
      </c>
      <c r="C427" s="15" t="n"/>
      <c r="D427" s="15" t="n"/>
      <c r="E427" s="15" t="n"/>
      <c r="F427" s="15" t="n"/>
      <c r="G427" s="14">
        <f>IF(F427="","",VALUE(LEFT(F427,1)))</f>
        <v/>
      </c>
      <c r="H427" s="15" t="n"/>
      <c r="I427" s="15" t="n"/>
      <c r="J427" s="15" t="n"/>
      <c r="K427" s="13" t="n"/>
    </row>
    <row r="428">
      <c r="A428" s="13" t="n"/>
      <c r="B428" s="14">
        <f>IF(OR(A428="",Configurações!$B$5=""),"",INT((A428-Configurações!$B$5)/7)+1)</f>
        <v/>
      </c>
      <c r="C428" s="15" t="n"/>
      <c r="D428" s="15" t="n"/>
      <c r="E428" s="15" t="n"/>
      <c r="F428" s="15" t="n"/>
      <c r="G428" s="14">
        <f>IF(F428="","",VALUE(LEFT(F428,1)))</f>
        <v/>
      </c>
      <c r="H428" s="15" t="n"/>
      <c r="I428" s="15" t="n"/>
      <c r="J428" s="15" t="n"/>
      <c r="K428" s="13" t="n"/>
    </row>
    <row r="429">
      <c r="A429" s="13" t="n"/>
      <c r="B429" s="14">
        <f>IF(OR(A429="",Configurações!$B$5=""),"",INT((A429-Configurações!$B$5)/7)+1)</f>
        <v/>
      </c>
      <c r="C429" s="15" t="n"/>
      <c r="D429" s="15" t="n"/>
      <c r="E429" s="15" t="n"/>
      <c r="F429" s="15" t="n"/>
      <c r="G429" s="14">
        <f>IF(F429="","",VALUE(LEFT(F429,1)))</f>
        <v/>
      </c>
      <c r="H429" s="15" t="n"/>
      <c r="I429" s="15" t="n"/>
      <c r="J429" s="15" t="n"/>
      <c r="K429" s="13" t="n"/>
    </row>
    <row r="430">
      <c r="A430" s="13" t="n"/>
      <c r="B430" s="14">
        <f>IF(OR(A430="",Configurações!$B$5=""),"",INT((A430-Configurações!$B$5)/7)+1)</f>
        <v/>
      </c>
      <c r="C430" s="15" t="n"/>
      <c r="D430" s="15" t="n"/>
      <c r="E430" s="15" t="n"/>
      <c r="F430" s="15" t="n"/>
      <c r="G430" s="14">
        <f>IF(F430="","",VALUE(LEFT(F430,1)))</f>
        <v/>
      </c>
      <c r="H430" s="15" t="n"/>
      <c r="I430" s="15" t="n"/>
      <c r="J430" s="15" t="n"/>
      <c r="K430" s="13" t="n"/>
    </row>
    <row r="431">
      <c r="A431" s="13" t="n"/>
      <c r="B431" s="14">
        <f>IF(OR(A431="",Configurações!$B$5=""),"",INT((A431-Configurações!$B$5)/7)+1)</f>
        <v/>
      </c>
      <c r="C431" s="15" t="n"/>
      <c r="D431" s="15" t="n"/>
      <c r="E431" s="15" t="n"/>
      <c r="F431" s="15" t="n"/>
      <c r="G431" s="14">
        <f>IF(F431="","",VALUE(LEFT(F431,1)))</f>
        <v/>
      </c>
      <c r="H431" s="15" t="n"/>
      <c r="I431" s="15" t="n"/>
      <c r="J431" s="15" t="n"/>
      <c r="K431" s="13" t="n"/>
    </row>
    <row r="432">
      <c r="A432" s="13" t="n"/>
      <c r="B432" s="14">
        <f>IF(OR(A432="",Configurações!$B$5=""),"",INT((A432-Configurações!$B$5)/7)+1)</f>
        <v/>
      </c>
      <c r="C432" s="15" t="n"/>
      <c r="D432" s="15" t="n"/>
      <c r="E432" s="15" t="n"/>
      <c r="F432" s="15" t="n"/>
      <c r="G432" s="14">
        <f>IF(F432="","",VALUE(LEFT(F432,1)))</f>
        <v/>
      </c>
      <c r="H432" s="15" t="n"/>
      <c r="I432" s="15" t="n"/>
      <c r="J432" s="15" t="n"/>
      <c r="K432" s="13" t="n"/>
    </row>
    <row r="433">
      <c r="A433" s="13" t="n"/>
      <c r="B433" s="14">
        <f>IF(OR(A433="",Configurações!$B$5=""),"",INT((A433-Configurações!$B$5)/7)+1)</f>
        <v/>
      </c>
      <c r="C433" s="15" t="n"/>
      <c r="D433" s="15" t="n"/>
      <c r="E433" s="15" t="n"/>
      <c r="F433" s="15" t="n"/>
      <c r="G433" s="14">
        <f>IF(F433="","",VALUE(LEFT(F433,1)))</f>
        <v/>
      </c>
      <c r="H433" s="15" t="n"/>
      <c r="I433" s="15" t="n"/>
      <c r="J433" s="15" t="n"/>
      <c r="K433" s="13" t="n"/>
    </row>
    <row r="434">
      <c r="A434" s="13" t="n"/>
      <c r="B434" s="14">
        <f>IF(OR(A434="",Configurações!$B$5=""),"",INT((A434-Configurações!$B$5)/7)+1)</f>
        <v/>
      </c>
      <c r="C434" s="15" t="n"/>
      <c r="D434" s="15" t="n"/>
      <c r="E434" s="15" t="n"/>
      <c r="F434" s="15" t="n"/>
      <c r="G434" s="14">
        <f>IF(F434="","",VALUE(LEFT(F434,1)))</f>
        <v/>
      </c>
      <c r="H434" s="15" t="n"/>
      <c r="I434" s="15" t="n"/>
      <c r="J434" s="15" t="n"/>
      <c r="K434" s="13" t="n"/>
    </row>
    <row r="435">
      <c r="A435" s="13" t="n"/>
      <c r="B435" s="14">
        <f>IF(OR(A435="",Configurações!$B$5=""),"",INT((A435-Configurações!$B$5)/7)+1)</f>
        <v/>
      </c>
      <c r="C435" s="15" t="n"/>
      <c r="D435" s="15" t="n"/>
      <c r="E435" s="15" t="n"/>
      <c r="F435" s="15" t="n"/>
      <c r="G435" s="14">
        <f>IF(F435="","",VALUE(LEFT(F435,1)))</f>
        <v/>
      </c>
      <c r="H435" s="15" t="n"/>
      <c r="I435" s="15" t="n"/>
      <c r="J435" s="15" t="n"/>
      <c r="K435" s="13" t="n"/>
    </row>
    <row r="436">
      <c r="A436" s="13" t="n"/>
      <c r="B436" s="14">
        <f>IF(OR(A436="",Configurações!$B$5=""),"",INT((A436-Configurações!$B$5)/7)+1)</f>
        <v/>
      </c>
      <c r="C436" s="15" t="n"/>
      <c r="D436" s="15" t="n"/>
      <c r="E436" s="15" t="n"/>
      <c r="F436" s="15" t="n"/>
      <c r="G436" s="14">
        <f>IF(F436="","",VALUE(LEFT(F436,1)))</f>
        <v/>
      </c>
      <c r="H436" s="15" t="n"/>
      <c r="I436" s="15" t="n"/>
      <c r="J436" s="15" t="n"/>
      <c r="K436" s="13" t="n"/>
    </row>
    <row r="437">
      <c r="A437" s="13" t="n"/>
      <c r="B437" s="14">
        <f>IF(OR(A437="",Configurações!$B$5=""),"",INT((A437-Configurações!$B$5)/7)+1)</f>
        <v/>
      </c>
      <c r="C437" s="15" t="n"/>
      <c r="D437" s="15" t="n"/>
      <c r="E437" s="15" t="n"/>
      <c r="F437" s="15" t="n"/>
      <c r="G437" s="14">
        <f>IF(F437="","",VALUE(LEFT(F437,1)))</f>
        <v/>
      </c>
      <c r="H437" s="15" t="n"/>
      <c r="I437" s="15" t="n"/>
      <c r="J437" s="15" t="n"/>
      <c r="K437" s="13" t="n"/>
    </row>
    <row r="438">
      <c r="A438" s="13" t="n"/>
      <c r="B438" s="14">
        <f>IF(OR(A438="",Configurações!$B$5=""),"",INT((A438-Configurações!$B$5)/7)+1)</f>
        <v/>
      </c>
      <c r="C438" s="15" t="n"/>
      <c r="D438" s="15" t="n"/>
      <c r="E438" s="15" t="n"/>
      <c r="F438" s="15" t="n"/>
      <c r="G438" s="14">
        <f>IF(F438="","",VALUE(LEFT(F438,1)))</f>
        <v/>
      </c>
      <c r="H438" s="15" t="n"/>
      <c r="I438" s="15" t="n"/>
      <c r="J438" s="15" t="n"/>
      <c r="K438" s="13" t="n"/>
    </row>
    <row r="439">
      <c r="A439" s="13" t="n"/>
      <c r="B439" s="14">
        <f>IF(OR(A439="",Configurações!$B$5=""),"",INT((A439-Configurações!$B$5)/7)+1)</f>
        <v/>
      </c>
      <c r="C439" s="15" t="n"/>
      <c r="D439" s="15" t="n"/>
      <c r="E439" s="15" t="n"/>
      <c r="F439" s="15" t="n"/>
      <c r="G439" s="14">
        <f>IF(F439="","",VALUE(LEFT(F439,1)))</f>
        <v/>
      </c>
      <c r="H439" s="15" t="n"/>
      <c r="I439" s="15" t="n"/>
      <c r="J439" s="15" t="n"/>
      <c r="K439" s="13" t="n"/>
    </row>
    <row r="440">
      <c r="A440" s="13" t="n"/>
      <c r="B440" s="14">
        <f>IF(OR(A440="",Configurações!$B$5=""),"",INT((A440-Configurações!$B$5)/7)+1)</f>
        <v/>
      </c>
      <c r="C440" s="15" t="n"/>
      <c r="D440" s="15" t="n"/>
      <c r="E440" s="15" t="n"/>
      <c r="F440" s="15" t="n"/>
      <c r="G440" s="14">
        <f>IF(F440="","",VALUE(LEFT(F440,1)))</f>
        <v/>
      </c>
      <c r="H440" s="15" t="n"/>
      <c r="I440" s="15" t="n"/>
      <c r="J440" s="15" t="n"/>
      <c r="K440" s="13" t="n"/>
    </row>
    <row r="441">
      <c r="A441" s="13" t="n"/>
      <c r="B441" s="14">
        <f>IF(OR(A441="",Configurações!$B$5=""),"",INT((A441-Configurações!$B$5)/7)+1)</f>
        <v/>
      </c>
      <c r="C441" s="15" t="n"/>
      <c r="D441" s="15" t="n"/>
      <c r="E441" s="15" t="n"/>
      <c r="F441" s="15" t="n"/>
      <c r="G441" s="14">
        <f>IF(F441="","",VALUE(LEFT(F441,1)))</f>
        <v/>
      </c>
      <c r="H441" s="15" t="n"/>
      <c r="I441" s="15" t="n"/>
      <c r="J441" s="15" t="n"/>
      <c r="K441" s="13" t="n"/>
    </row>
    <row r="442">
      <c r="A442" s="13" t="n"/>
      <c r="B442" s="14">
        <f>IF(OR(A442="",Configurações!$B$5=""),"",INT((A442-Configurações!$B$5)/7)+1)</f>
        <v/>
      </c>
      <c r="C442" s="15" t="n"/>
      <c r="D442" s="15" t="n"/>
      <c r="E442" s="15" t="n"/>
      <c r="F442" s="15" t="n"/>
      <c r="G442" s="14">
        <f>IF(F442="","",VALUE(LEFT(F442,1)))</f>
        <v/>
      </c>
      <c r="H442" s="15" t="n"/>
      <c r="I442" s="15" t="n"/>
      <c r="J442" s="15" t="n"/>
      <c r="K442" s="13" t="n"/>
    </row>
    <row r="443">
      <c r="A443" s="13" t="n"/>
      <c r="B443" s="14">
        <f>IF(OR(A443="",Configurações!$B$5=""),"",INT((A443-Configurações!$B$5)/7)+1)</f>
        <v/>
      </c>
      <c r="C443" s="15" t="n"/>
      <c r="D443" s="15" t="n"/>
      <c r="E443" s="15" t="n"/>
      <c r="F443" s="15" t="n"/>
      <c r="G443" s="14">
        <f>IF(F443="","",VALUE(LEFT(F443,1)))</f>
        <v/>
      </c>
      <c r="H443" s="15" t="n"/>
      <c r="I443" s="15" t="n"/>
      <c r="J443" s="15" t="n"/>
      <c r="K443" s="13" t="n"/>
    </row>
    <row r="444">
      <c r="A444" s="13" t="n"/>
      <c r="B444" s="14">
        <f>IF(OR(A444="",Configurações!$B$5=""),"",INT((A444-Configurações!$B$5)/7)+1)</f>
        <v/>
      </c>
      <c r="C444" s="15" t="n"/>
      <c r="D444" s="15" t="n"/>
      <c r="E444" s="15" t="n"/>
      <c r="F444" s="15" t="n"/>
      <c r="G444" s="14">
        <f>IF(F444="","",VALUE(LEFT(F444,1)))</f>
        <v/>
      </c>
      <c r="H444" s="15" t="n"/>
      <c r="I444" s="15" t="n"/>
      <c r="J444" s="15" t="n"/>
      <c r="K444" s="13" t="n"/>
    </row>
    <row r="445">
      <c r="A445" s="13" t="n"/>
      <c r="B445" s="14">
        <f>IF(OR(A445="",Configurações!$B$5=""),"",INT((A445-Configurações!$B$5)/7)+1)</f>
        <v/>
      </c>
      <c r="C445" s="15" t="n"/>
      <c r="D445" s="15" t="n"/>
      <c r="E445" s="15" t="n"/>
      <c r="F445" s="15" t="n"/>
      <c r="G445" s="14">
        <f>IF(F445="","",VALUE(LEFT(F445,1)))</f>
        <v/>
      </c>
      <c r="H445" s="15" t="n"/>
      <c r="I445" s="15" t="n"/>
      <c r="J445" s="15" t="n"/>
      <c r="K445" s="13" t="n"/>
    </row>
    <row r="446">
      <c r="A446" s="13" t="n"/>
      <c r="B446" s="14">
        <f>IF(OR(A446="",Configurações!$B$5=""),"",INT((A446-Configurações!$B$5)/7)+1)</f>
        <v/>
      </c>
      <c r="C446" s="15" t="n"/>
      <c r="D446" s="15" t="n"/>
      <c r="E446" s="15" t="n"/>
      <c r="F446" s="15" t="n"/>
      <c r="G446" s="14">
        <f>IF(F446="","",VALUE(LEFT(F446,1)))</f>
        <v/>
      </c>
      <c r="H446" s="15" t="n"/>
      <c r="I446" s="15" t="n"/>
      <c r="J446" s="15" t="n"/>
      <c r="K446" s="13" t="n"/>
    </row>
    <row r="447">
      <c r="A447" s="13" t="n"/>
      <c r="B447" s="14">
        <f>IF(OR(A447="",Configurações!$B$5=""),"",INT((A447-Configurações!$B$5)/7)+1)</f>
        <v/>
      </c>
      <c r="C447" s="15" t="n"/>
      <c r="D447" s="15" t="n"/>
      <c r="E447" s="15" t="n"/>
      <c r="F447" s="15" t="n"/>
      <c r="G447" s="14">
        <f>IF(F447="","",VALUE(LEFT(F447,1)))</f>
        <v/>
      </c>
      <c r="H447" s="15" t="n"/>
      <c r="I447" s="15" t="n"/>
      <c r="J447" s="15" t="n"/>
      <c r="K447" s="13" t="n"/>
    </row>
    <row r="448">
      <c r="A448" s="13" t="n"/>
      <c r="B448" s="14">
        <f>IF(OR(A448="",Configurações!$B$5=""),"",INT((A448-Configurações!$B$5)/7)+1)</f>
        <v/>
      </c>
      <c r="C448" s="15" t="n"/>
      <c r="D448" s="15" t="n"/>
      <c r="E448" s="15" t="n"/>
      <c r="F448" s="15" t="n"/>
      <c r="G448" s="14">
        <f>IF(F448="","",VALUE(LEFT(F448,1)))</f>
        <v/>
      </c>
      <c r="H448" s="15" t="n"/>
      <c r="I448" s="15" t="n"/>
      <c r="J448" s="15" t="n"/>
      <c r="K448" s="13" t="n"/>
    </row>
    <row r="449">
      <c r="A449" s="13" t="n"/>
      <c r="B449" s="14">
        <f>IF(OR(A449="",Configurações!$B$5=""),"",INT((A449-Configurações!$B$5)/7)+1)</f>
        <v/>
      </c>
      <c r="C449" s="15" t="n"/>
      <c r="D449" s="15" t="n"/>
      <c r="E449" s="15" t="n"/>
      <c r="F449" s="15" t="n"/>
      <c r="G449" s="14">
        <f>IF(F449="","",VALUE(LEFT(F449,1)))</f>
        <v/>
      </c>
      <c r="H449" s="15" t="n"/>
      <c r="I449" s="15" t="n"/>
      <c r="J449" s="15" t="n"/>
      <c r="K449" s="13" t="n"/>
    </row>
    <row r="450">
      <c r="A450" s="13" t="n"/>
      <c r="B450" s="14">
        <f>IF(OR(A450="",Configurações!$B$5=""),"",INT((A450-Configurações!$B$5)/7)+1)</f>
        <v/>
      </c>
      <c r="C450" s="15" t="n"/>
      <c r="D450" s="15" t="n"/>
      <c r="E450" s="15" t="n"/>
      <c r="F450" s="15" t="n"/>
      <c r="G450" s="14">
        <f>IF(F450="","",VALUE(LEFT(F450,1)))</f>
        <v/>
      </c>
      <c r="H450" s="15" t="n"/>
      <c r="I450" s="15" t="n"/>
      <c r="J450" s="15" t="n"/>
      <c r="K450" s="13" t="n"/>
    </row>
    <row r="451">
      <c r="A451" s="13" t="n"/>
      <c r="B451" s="14">
        <f>IF(OR(A451="",Configurações!$B$5=""),"",INT((A451-Configurações!$B$5)/7)+1)</f>
        <v/>
      </c>
      <c r="C451" s="15" t="n"/>
      <c r="D451" s="15" t="n"/>
      <c r="E451" s="15" t="n"/>
      <c r="F451" s="15" t="n"/>
      <c r="G451" s="14">
        <f>IF(F451="","",VALUE(LEFT(F451,1)))</f>
        <v/>
      </c>
      <c r="H451" s="15" t="n"/>
      <c r="I451" s="15" t="n"/>
      <c r="J451" s="15" t="n"/>
      <c r="K451" s="13" t="n"/>
    </row>
    <row r="452">
      <c r="A452" s="13" t="n"/>
      <c r="B452" s="14">
        <f>IF(OR(A452="",Configurações!$B$5=""),"",INT((A452-Configurações!$B$5)/7)+1)</f>
        <v/>
      </c>
      <c r="C452" s="15" t="n"/>
      <c r="D452" s="15" t="n"/>
      <c r="E452" s="15" t="n"/>
      <c r="F452" s="15" t="n"/>
      <c r="G452" s="14">
        <f>IF(F452="","",VALUE(LEFT(F452,1)))</f>
        <v/>
      </c>
      <c r="H452" s="15" t="n"/>
      <c r="I452" s="15" t="n"/>
      <c r="J452" s="15" t="n"/>
      <c r="K452" s="13" t="n"/>
    </row>
    <row r="453">
      <c r="A453" s="13" t="n"/>
      <c r="B453" s="14">
        <f>IF(OR(A453="",Configurações!$B$5=""),"",INT((A453-Configurações!$B$5)/7)+1)</f>
        <v/>
      </c>
      <c r="C453" s="15" t="n"/>
      <c r="D453" s="15" t="n"/>
      <c r="E453" s="15" t="n"/>
      <c r="F453" s="15" t="n"/>
      <c r="G453" s="14">
        <f>IF(F453="","",VALUE(LEFT(F453,1)))</f>
        <v/>
      </c>
      <c r="H453" s="15" t="n"/>
      <c r="I453" s="15" t="n"/>
      <c r="J453" s="15" t="n"/>
      <c r="K453" s="13" t="n"/>
    </row>
    <row r="454">
      <c r="A454" s="13" t="n"/>
      <c r="B454" s="14">
        <f>IF(OR(A454="",Configurações!$B$5=""),"",INT((A454-Configurações!$B$5)/7)+1)</f>
        <v/>
      </c>
      <c r="C454" s="15" t="n"/>
      <c r="D454" s="15" t="n"/>
      <c r="E454" s="15" t="n"/>
      <c r="F454" s="15" t="n"/>
      <c r="G454" s="14">
        <f>IF(F454="","",VALUE(LEFT(F454,1)))</f>
        <v/>
      </c>
      <c r="H454" s="15" t="n"/>
      <c r="I454" s="15" t="n"/>
      <c r="J454" s="15" t="n"/>
      <c r="K454" s="13" t="n"/>
    </row>
    <row r="455">
      <c r="A455" s="13" t="n"/>
      <c r="B455" s="14">
        <f>IF(OR(A455="",Configurações!$B$5=""),"",INT((A455-Configurações!$B$5)/7)+1)</f>
        <v/>
      </c>
      <c r="C455" s="15" t="n"/>
      <c r="D455" s="15" t="n"/>
      <c r="E455" s="15" t="n"/>
      <c r="F455" s="15" t="n"/>
      <c r="G455" s="14">
        <f>IF(F455="","",VALUE(LEFT(F455,1)))</f>
        <v/>
      </c>
      <c r="H455" s="15" t="n"/>
      <c r="I455" s="15" t="n"/>
      <c r="J455" s="15" t="n"/>
      <c r="K455" s="13" t="n"/>
    </row>
    <row r="456">
      <c r="A456" s="13" t="n"/>
      <c r="B456" s="14">
        <f>IF(OR(A456="",Configurações!$B$5=""),"",INT((A456-Configurações!$B$5)/7)+1)</f>
        <v/>
      </c>
      <c r="C456" s="15" t="n"/>
      <c r="D456" s="15" t="n"/>
      <c r="E456" s="15" t="n"/>
      <c r="F456" s="15" t="n"/>
      <c r="G456" s="14">
        <f>IF(F456="","",VALUE(LEFT(F456,1)))</f>
        <v/>
      </c>
      <c r="H456" s="15" t="n"/>
      <c r="I456" s="15" t="n"/>
      <c r="J456" s="15" t="n"/>
      <c r="K456" s="13" t="n"/>
    </row>
    <row r="457">
      <c r="A457" s="13" t="n"/>
      <c r="B457" s="14">
        <f>IF(OR(A457="",Configurações!$B$5=""),"",INT((A457-Configurações!$B$5)/7)+1)</f>
        <v/>
      </c>
      <c r="C457" s="15" t="n"/>
      <c r="D457" s="15" t="n"/>
      <c r="E457" s="15" t="n"/>
      <c r="F457" s="15" t="n"/>
      <c r="G457" s="14">
        <f>IF(F457="","",VALUE(LEFT(F457,1)))</f>
        <v/>
      </c>
      <c r="H457" s="15" t="n"/>
      <c r="I457" s="15" t="n"/>
      <c r="J457" s="15" t="n"/>
      <c r="K457" s="13" t="n"/>
    </row>
    <row r="458">
      <c r="A458" s="13" t="n"/>
      <c r="B458" s="14">
        <f>IF(OR(A458="",Configurações!$B$5=""),"",INT((A458-Configurações!$B$5)/7)+1)</f>
        <v/>
      </c>
      <c r="C458" s="15" t="n"/>
      <c r="D458" s="15" t="n"/>
      <c r="E458" s="15" t="n"/>
      <c r="F458" s="15" t="n"/>
      <c r="G458" s="14">
        <f>IF(F458="","",VALUE(LEFT(F458,1)))</f>
        <v/>
      </c>
      <c r="H458" s="15" t="n"/>
      <c r="I458" s="15" t="n"/>
      <c r="J458" s="15" t="n"/>
      <c r="K458" s="13" t="n"/>
    </row>
    <row r="459">
      <c r="A459" s="13" t="n"/>
      <c r="B459" s="14">
        <f>IF(OR(A459="",Configurações!$B$5=""),"",INT((A459-Configurações!$B$5)/7)+1)</f>
        <v/>
      </c>
      <c r="C459" s="15" t="n"/>
      <c r="D459" s="15" t="n"/>
      <c r="E459" s="15" t="n"/>
      <c r="F459" s="15" t="n"/>
      <c r="G459" s="14">
        <f>IF(F459="","",VALUE(LEFT(F459,1)))</f>
        <v/>
      </c>
      <c r="H459" s="15" t="n"/>
      <c r="I459" s="15" t="n"/>
      <c r="J459" s="15" t="n"/>
      <c r="K459" s="13" t="n"/>
    </row>
    <row r="460">
      <c r="A460" s="13" t="n"/>
      <c r="B460" s="14">
        <f>IF(OR(A460="",Configurações!$B$5=""),"",INT((A460-Configurações!$B$5)/7)+1)</f>
        <v/>
      </c>
      <c r="C460" s="15" t="n"/>
      <c r="D460" s="15" t="n"/>
      <c r="E460" s="15" t="n"/>
      <c r="F460" s="15" t="n"/>
      <c r="G460" s="14">
        <f>IF(F460="","",VALUE(LEFT(F460,1)))</f>
        <v/>
      </c>
      <c r="H460" s="15" t="n"/>
      <c r="I460" s="15" t="n"/>
      <c r="J460" s="15" t="n"/>
      <c r="K460" s="13" t="n"/>
    </row>
    <row r="461">
      <c r="A461" s="13" t="n"/>
      <c r="B461" s="14">
        <f>IF(OR(A461="",Configurações!$B$5=""),"",INT((A461-Configurações!$B$5)/7)+1)</f>
        <v/>
      </c>
      <c r="C461" s="15" t="n"/>
      <c r="D461" s="15" t="n"/>
      <c r="E461" s="15" t="n"/>
      <c r="F461" s="15" t="n"/>
      <c r="G461" s="14">
        <f>IF(F461="","",VALUE(LEFT(F461,1)))</f>
        <v/>
      </c>
      <c r="H461" s="15" t="n"/>
      <c r="I461" s="15" t="n"/>
      <c r="J461" s="15" t="n"/>
      <c r="K461" s="13" t="n"/>
    </row>
    <row r="462">
      <c r="A462" s="13" t="n"/>
      <c r="B462" s="14">
        <f>IF(OR(A462="",Configurações!$B$5=""),"",INT((A462-Configurações!$B$5)/7)+1)</f>
        <v/>
      </c>
      <c r="C462" s="15" t="n"/>
      <c r="D462" s="15" t="n"/>
      <c r="E462" s="15" t="n"/>
      <c r="F462" s="15" t="n"/>
      <c r="G462" s="14">
        <f>IF(F462="","",VALUE(LEFT(F462,1)))</f>
        <v/>
      </c>
      <c r="H462" s="15" t="n"/>
      <c r="I462" s="15" t="n"/>
      <c r="J462" s="15" t="n"/>
      <c r="K462" s="13" t="n"/>
    </row>
    <row r="463">
      <c r="A463" s="13" t="n"/>
      <c r="B463" s="14">
        <f>IF(OR(A463="",Configurações!$B$5=""),"",INT((A463-Configurações!$B$5)/7)+1)</f>
        <v/>
      </c>
      <c r="C463" s="15" t="n"/>
      <c r="D463" s="15" t="n"/>
      <c r="E463" s="15" t="n"/>
      <c r="F463" s="15" t="n"/>
      <c r="G463" s="14">
        <f>IF(F463="","",VALUE(LEFT(F463,1)))</f>
        <v/>
      </c>
      <c r="H463" s="15" t="n"/>
      <c r="I463" s="15" t="n"/>
      <c r="J463" s="15" t="n"/>
      <c r="K463" s="13" t="n"/>
    </row>
    <row r="464">
      <c r="A464" s="13" t="n"/>
      <c r="B464" s="14">
        <f>IF(OR(A464="",Configurações!$B$5=""),"",INT((A464-Configurações!$B$5)/7)+1)</f>
        <v/>
      </c>
      <c r="C464" s="15" t="n"/>
      <c r="D464" s="15" t="n"/>
      <c r="E464" s="15" t="n"/>
      <c r="F464" s="15" t="n"/>
      <c r="G464" s="14">
        <f>IF(F464="","",VALUE(LEFT(F464,1)))</f>
        <v/>
      </c>
      <c r="H464" s="15" t="n"/>
      <c r="I464" s="15" t="n"/>
      <c r="J464" s="15" t="n"/>
      <c r="K464" s="13" t="n"/>
    </row>
    <row r="465">
      <c r="A465" s="13" t="n"/>
      <c r="B465" s="14">
        <f>IF(OR(A465="",Configurações!$B$5=""),"",INT((A465-Configurações!$B$5)/7)+1)</f>
        <v/>
      </c>
      <c r="C465" s="15" t="n"/>
      <c r="D465" s="15" t="n"/>
      <c r="E465" s="15" t="n"/>
      <c r="F465" s="15" t="n"/>
      <c r="G465" s="14">
        <f>IF(F465="","",VALUE(LEFT(F465,1)))</f>
        <v/>
      </c>
      <c r="H465" s="15" t="n"/>
      <c r="I465" s="15" t="n"/>
      <c r="J465" s="15" t="n"/>
      <c r="K465" s="13" t="n"/>
    </row>
    <row r="466">
      <c r="A466" s="13" t="n"/>
      <c r="B466" s="14">
        <f>IF(OR(A466="",Configurações!$B$5=""),"",INT((A466-Configurações!$B$5)/7)+1)</f>
        <v/>
      </c>
      <c r="C466" s="15" t="n"/>
      <c r="D466" s="15" t="n"/>
      <c r="E466" s="15" t="n"/>
      <c r="F466" s="15" t="n"/>
      <c r="G466" s="14">
        <f>IF(F466="","",VALUE(LEFT(F466,1)))</f>
        <v/>
      </c>
      <c r="H466" s="15" t="n"/>
      <c r="I466" s="15" t="n"/>
      <c r="J466" s="15" t="n"/>
      <c r="K466" s="13" t="n"/>
    </row>
    <row r="467">
      <c r="A467" s="13" t="n"/>
      <c r="B467" s="14">
        <f>IF(OR(A467="",Configurações!$B$5=""),"",INT((A467-Configurações!$B$5)/7)+1)</f>
        <v/>
      </c>
      <c r="C467" s="15" t="n"/>
      <c r="D467" s="15" t="n"/>
      <c r="E467" s="15" t="n"/>
      <c r="F467" s="15" t="n"/>
      <c r="G467" s="14">
        <f>IF(F467="","",VALUE(LEFT(F467,1)))</f>
        <v/>
      </c>
      <c r="H467" s="15" t="n"/>
      <c r="I467" s="15" t="n"/>
      <c r="J467" s="15" t="n"/>
      <c r="K467" s="13" t="n"/>
    </row>
    <row r="468">
      <c r="A468" s="13" t="n"/>
      <c r="B468" s="14">
        <f>IF(OR(A468="",Configurações!$B$5=""),"",INT((A468-Configurações!$B$5)/7)+1)</f>
        <v/>
      </c>
      <c r="C468" s="15" t="n"/>
      <c r="D468" s="15" t="n"/>
      <c r="E468" s="15" t="n"/>
      <c r="F468" s="15" t="n"/>
      <c r="G468" s="14">
        <f>IF(F468="","",VALUE(LEFT(F468,1)))</f>
        <v/>
      </c>
      <c r="H468" s="15" t="n"/>
      <c r="I468" s="15" t="n"/>
      <c r="J468" s="15" t="n"/>
      <c r="K468" s="13" t="n"/>
    </row>
    <row r="469">
      <c r="A469" s="13" t="n"/>
      <c r="B469" s="14">
        <f>IF(OR(A469="",Configurações!$B$5=""),"",INT((A469-Configurações!$B$5)/7)+1)</f>
        <v/>
      </c>
      <c r="C469" s="15" t="n"/>
      <c r="D469" s="15" t="n"/>
      <c r="E469" s="15" t="n"/>
      <c r="F469" s="15" t="n"/>
      <c r="G469" s="14">
        <f>IF(F469="","",VALUE(LEFT(F469,1)))</f>
        <v/>
      </c>
      <c r="H469" s="15" t="n"/>
      <c r="I469" s="15" t="n"/>
      <c r="J469" s="15" t="n"/>
      <c r="K469" s="13" t="n"/>
    </row>
    <row r="470">
      <c r="A470" s="13" t="n"/>
      <c r="B470" s="14">
        <f>IF(OR(A470="",Configurações!$B$5=""),"",INT((A470-Configurações!$B$5)/7)+1)</f>
        <v/>
      </c>
      <c r="C470" s="15" t="n"/>
      <c r="D470" s="15" t="n"/>
      <c r="E470" s="15" t="n"/>
      <c r="F470" s="15" t="n"/>
      <c r="G470" s="14">
        <f>IF(F470="","",VALUE(LEFT(F470,1)))</f>
        <v/>
      </c>
      <c r="H470" s="15" t="n"/>
      <c r="I470" s="15" t="n"/>
      <c r="J470" s="15" t="n"/>
      <c r="K470" s="13" t="n"/>
    </row>
    <row r="471">
      <c r="A471" s="13" t="n"/>
      <c r="B471" s="14">
        <f>IF(OR(A471="",Configurações!$B$5=""),"",INT((A471-Configurações!$B$5)/7)+1)</f>
        <v/>
      </c>
      <c r="C471" s="15" t="n"/>
      <c r="D471" s="15" t="n"/>
      <c r="E471" s="15" t="n"/>
      <c r="F471" s="15" t="n"/>
      <c r="G471" s="14">
        <f>IF(F471="","",VALUE(LEFT(F471,1)))</f>
        <v/>
      </c>
      <c r="H471" s="15" t="n"/>
      <c r="I471" s="15" t="n"/>
      <c r="J471" s="15" t="n"/>
      <c r="K471" s="13" t="n"/>
    </row>
    <row r="472">
      <c r="A472" s="13" t="n"/>
      <c r="B472" s="14">
        <f>IF(OR(A472="",Configurações!$B$5=""),"",INT((A472-Configurações!$B$5)/7)+1)</f>
        <v/>
      </c>
      <c r="C472" s="15" t="n"/>
      <c r="D472" s="15" t="n"/>
      <c r="E472" s="15" t="n"/>
      <c r="F472" s="15" t="n"/>
      <c r="G472" s="14">
        <f>IF(F472="","",VALUE(LEFT(F472,1)))</f>
        <v/>
      </c>
      <c r="H472" s="15" t="n"/>
      <c r="I472" s="15" t="n"/>
      <c r="J472" s="15" t="n"/>
      <c r="K472" s="13" t="n"/>
    </row>
    <row r="473">
      <c r="A473" s="13" t="n"/>
      <c r="B473" s="14">
        <f>IF(OR(A473="",Configurações!$B$5=""),"",INT((A473-Configurações!$B$5)/7)+1)</f>
        <v/>
      </c>
      <c r="C473" s="15" t="n"/>
      <c r="D473" s="15" t="n"/>
      <c r="E473" s="15" t="n"/>
      <c r="F473" s="15" t="n"/>
      <c r="G473" s="14">
        <f>IF(F473="","",VALUE(LEFT(F473,1)))</f>
        <v/>
      </c>
      <c r="H473" s="15" t="n"/>
      <c r="I473" s="15" t="n"/>
      <c r="J473" s="15" t="n"/>
      <c r="K473" s="13" t="n"/>
    </row>
    <row r="474">
      <c r="A474" s="13" t="n"/>
      <c r="B474" s="14">
        <f>IF(OR(A474="",Configurações!$B$5=""),"",INT((A474-Configurações!$B$5)/7)+1)</f>
        <v/>
      </c>
      <c r="C474" s="15" t="n"/>
      <c r="D474" s="15" t="n"/>
      <c r="E474" s="15" t="n"/>
      <c r="F474" s="15" t="n"/>
      <c r="G474" s="14">
        <f>IF(F474="","",VALUE(LEFT(F474,1)))</f>
        <v/>
      </c>
      <c r="H474" s="15" t="n"/>
      <c r="I474" s="15" t="n"/>
      <c r="J474" s="15" t="n"/>
      <c r="K474" s="13" t="n"/>
    </row>
    <row r="475">
      <c r="A475" s="13" t="n"/>
      <c r="B475" s="14">
        <f>IF(OR(A475="",Configurações!$B$5=""),"",INT((A475-Configurações!$B$5)/7)+1)</f>
        <v/>
      </c>
      <c r="C475" s="15" t="n"/>
      <c r="D475" s="15" t="n"/>
      <c r="E475" s="15" t="n"/>
      <c r="F475" s="15" t="n"/>
      <c r="G475" s="14">
        <f>IF(F475="","",VALUE(LEFT(F475,1)))</f>
        <v/>
      </c>
      <c r="H475" s="15" t="n"/>
      <c r="I475" s="15" t="n"/>
      <c r="J475" s="15" t="n"/>
      <c r="K475" s="13" t="n"/>
    </row>
    <row r="476">
      <c r="A476" s="13" t="n"/>
      <c r="B476" s="14">
        <f>IF(OR(A476="",Configurações!$B$5=""),"",INT((A476-Configurações!$B$5)/7)+1)</f>
        <v/>
      </c>
      <c r="C476" s="15" t="n"/>
      <c r="D476" s="15" t="n"/>
      <c r="E476" s="15" t="n"/>
      <c r="F476" s="15" t="n"/>
      <c r="G476" s="14">
        <f>IF(F476="","",VALUE(LEFT(F476,1)))</f>
        <v/>
      </c>
      <c r="H476" s="15" t="n"/>
      <c r="I476" s="15" t="n"/>
      <c r="J476" s="15" t="n"/>
      <c r="K476" s="13" t="n"/>
    </row>
    <row r="477">
      <c r="A477" s="13" t="n"/>
      <c r="B477" s="14">
        <f>IF(OR(A477="",Configurações!$B$5=""),"",INT((A477-Configurações!$B$5)/7)+1)</f>
        <v/>
      </c>
      <c r="C477" s="15" t="n"/>
      <c r="D477" s="15" t="n"/>
      <c r="E477" s="15" t="n"/>
      <c r="F477" s="15" t="n"/>
      <c r="G477" s="14">
        <f>IF(F477="","",VALUE(LEFT(F477,1)))</f>
        <v/>
      </c>
      <c r="H477" s="15" t="n"/>
      <c r="I477" s="15" t="n"/>
      <c r="J477" s="15" t="n"/>
      <c r="K477" s="13" t="n"/>
    </row>
    <row r="478">
      <c r="A478" s="13" t="n"/>
      <c r="B478" s="14">
        <f>IF(OR(A478="",Configurações!$B$5=""),"",INT((A478-Configurações!$B$5)/7)+1)</f>
        <v/>
      </c>
      <c r="C478" s="15" t="n"/>
      <c r="D478" s="15" t="n"/>
      <c r="E478" s="15" t="n"/>
      <c r="F478" s="15" t="n"/>
      <c r="G478" s="14">
        <f>IF(F478="","",VALUE(LEFT(F478,1)))</f>
        <v/>
      </c>
      <c r="H478" s="15" t="n"/>
      <c r="I478" s="15" t="n"/>
      <c r="J478" s="15" t="n"/>
      <c r="K478" s="13" t="n"/>
    </row>
    <row r="479">
      <c r="A479" s="13" t="n"/>
      <c r="B479" s="14">
        <f>IF(OR(A479="",Configurações!$B$5=""),"",INT((A479-Configurações!$B$5)/7)+1)</f>
        <v/>
      </c>
      <c r="C479" s="15" t="n"/>
      <c r="D479" s="15" t="n"/>
      <c r="E479" s="15" t="n"/>
      <c r="F479" s="15" t="n"/>
      <c r="G479" s="14">
        <f>IF(F479="","",VALUE(LEFT(F479,1)))</f>
        <v/>
      </c>
      <c r="H479" s="15" t="n"/>
      <c r="I479" s="15" t="n"/>
      <c r="J479" s="15" t="n"/>
      <c r="K479" s="13" t="n"/>
    </row>
    <row r="480">
      <c r="A480" s="13" t="n"/>
      <c r="B480" s="14">
        <f>IF(OR(A480="",Configurações!$B$5=""),"",INT((A480-Configurações!$B$5)/7)+1)</f>
        <v/>
      </c>
      <c r="C480" s="15" t="n"/>
      <c r="D480" s="15" t="n"/>
      <c r="E480" s="15" t="n"/>
      <c r="F480" s="15" t="n"/>
      <c r="G480" s="14">
        <f>IF(F480="","",VALUE(LEFT(F480,1)))</f>
        <v/>
      </c>
      <c r="H480" s="15" t="n"/>
      <c r="I480" s="15" t="n"/>
      <c r="J480" s="15" t="n"/>
      <c r="K480" s="13" t="n"/>
    </row>
    <row r="481">
      <c r="A481" s="13" t="n"/>
      <c r="B481" s="14">
        <f>IF(OR(A481="",Configurações!$B$5=""),"",INT((A481-Configurações!$B$5)/7)+1)</f>
        <v/>
      </c>
      <c r="C481" s="15" t="n"/>
      <c r="D481" s="15" t="n"/>
      <c r="E481" s="15" t="n"/>
      <c r="F481" s="15" t="n"/>
      <c r="G481" s="14">
        <f>IF(F481="","",VALUE(LEFT(F481,1)))</f>
        <v/>
      </c>
      <c r="H481" s="15" t="n"/>
      <c r="I481" s="15" t="n"/>
      <c r="J481" s="15" t="n"/>
      <c r="K481" s="13" t="n"/>
    </row>
    <row r="482">
      <c r="A482" s="13" t="n"/>
      <c r="B482" s="14">
        <f>IF(OR(A482="",Configurações!$B$5=""),"",INT((A482-Configurações!$B$5)/7)+1)</f>
        <v/>
      </c>
      <c r="C482" s="15" t="n"/>
      <c r="D482" s="15" t="n"/>
      <c r="E482" s="15" t="n"/>
      <c r="F482" s="15" t="n"/>
      <c r="G482" s="14">
        <f>IF(F482="","",VALUE(LEFT(F482,1)))</f>
        <v/>
      </c>
      <c r="H482" s="15" t="n"/>
      <c r="I482" s="15" t="n"/>
      <c r="J482" s="15" t="n"/>
      <c r="K482" s="13" t="n"/>
    </row>
    <row r="483">
      <c r="A483" s="13" t="n"/>
      <c r="B483" s="14">
        <f>IF(OR(A483="",Configurações!$B$5=""),"",INT((A483-Configurações!$B$5)/7)+1)</f>
        <v/>
      </c>
      <c r="C483" s="15" t="n"/>
      <c r="D483" s="15" t="n"/>
      <c r="E483" s="15" t="n"/>
      <c r="F483" s="15" t="n"/>
      <c r="G483" s="14">
        <f>IF(F483="","",VALUE(LEFT(F483,1)))</f>
        <v/>
      </c>
      <c r="H483" s="15" t="n"/>
      <c r="I483" s="15" t="n"/>
      <c r="J483" s="15" t="n"/>
      <c r="K483" s="13" t="n"/>
    </row>
    <row r="484">
      <c r="A484" s="13" t="n"/>
      <c r="B484" s="14">
        <f>IF(OR(A484="",Configurações!$B$5=""),"",INT((A484-Configurações!$B$5)/7)+1)</f>
        <v/>
      </c>
      <c r="C484" s="15" t="n"/>
      <c r="D484" s="15" t="n"/>
      <c r="E484" s="15" t="n"/>
      <c r="F484" s="15" t="n"/>
      <c r="G484" s="14">
        <f>IF(F484="","",VALUE(LEFT(F484,1)))</f>
        <v/>
      </c>
      <c r="H484" s="15" t="n"/>
      <c r="I484" s="15" t="n"/>
      <c r="J484" s="15" t="n"/>
      <c r="K484" s="13" t="n"/>
    </row>
    <row r="485">
      <c r="A485" s="13" t="n"/>
      <c r="B485" s="14">
        <f>IF(OR(A485="",Configurações!$B$5=""),"",INT((A485-Configurações!$B$5)/7)+1)</f>
        <v/>
      </c>
      <c r="C485" s="15" t="n"/>
      <c r="D485" s="15" t="n"/>
      <c r="E485" s="15" t="n"/>
      <c r="F485" s="15" t="n"/>
      <c r="G485" s="14">
        <f>IF(F485="","",VALUE(LEFT(F485,1)))</f>
        <v/>
      </c>
      <c r="H485" s="15" t="n"/>
      <c r="I485" s="15" t="n"/>
      <c r="J485" s="15" t="n"/>
      <c r="K485" s="13" t="n"/>
    </row>
    <row r="486">
      <c r="A486" s="13" t="n"/>
      <c r="B486" s="14">
        <f>IF(OR(A486="",Configurações!$B$5=""),"",INT((A486-Configurações!$B$5)/7)+1)</f>
        <v/>
      </c>
      <c r="C486" s="15" t="n"/>
      <c r="D486" s="15" t="n"/>
      <c r="E486" s="15" t="n"/>
      <c r="F486" s="15" t="n"/>
      <c r="G486" s="14">
        <f>IF(F486="","",VALUE(LEFT(F486,1)))</f>
        <v/>
      </c>
      <c r="H486" s="15" t="n"/>
      <c r="I486" s="15" t="n"/>
      <c r="J486" s="15" t="n"/>
      <c r="K486" s="13" t="n"/>
    </row>
    <row r="487">
      <c r="A487" s="13" t="n"/>
      <c r="B487" s="14">
        <f>IF(OR(A487="",Configurações!$B$5=""),"",INT((A487-Configurações!$B$5)/7)+1)</f>
        <v/>
      </c>
      <c r="C487" s="15" t="n"/>
      <c r="D487" s="15" t="n"/>
      <c r="E487" s="15" t="n"/>
      <c r="F487" s="15" t="n"/>
      <c r="G487" s="14">
        <f>IF(F487="","",VALUE(LEFT(F487,1)))</f>
        <v/>
      </c>
      <c r="H487" s="15" t="n"/>
      <c r="I487" s="15" t="n"/>
      <c r="J487" s="15" t="n"/>
      <c r="K487" s="13" t="n"/>
    </row>
    <row r="488">
      <c r="A488" s="13" t="n"/>
      <c r="B488" s="14">
        <f>IF(OR(A488="",Configurações!$B$5=""),"",INT((A488-Configurações!$B$5)/7)+1)</f>
        <v/>
      </c>
      <c r="C488" s="15" t="n"/>
      <c r="D488" s="15" t="n"/>
      <c r="E488" s="15" t="n"/>
      <c r="F488" s="15" t="n"/>
      <c r="G488" s="14">
        <f>IF(F488="","",VALUE(LEFT(F488,1)))</f>
        <v/>
      </c>
      <c r="H488" s="15" t="n"/>
      <c r="I488" s="15" t="n"/>
      <c r="J488" s="15" t="n"/>
      <c r="K488" s="13" t="n"/>
    </row>
    <row r="489">
      <c r="A489" s="13" t="n"/>
      <c r="B489" s="14">
        <f>IF(OR(A489="",Configurações!$B$5=""),"",INT((A489-Configurações!$B$5)/7)+1)</f>
        <v/>
      </c>
      <c r="C489" s="15" t="n"/>
      <c r="D489" s="15" t="n"/>
      <c r="E489" s="15" t="n"/>
      <c r="F489" s="15" t="n"/>
      <c r="G489" s="14">
        <f>IF(F489="","",VALUE(LEFT(F489,1)))</f>
        <v/>
      </c>
      <c r="H489" s="15" t="n"/>
      <c r="I489" s="15" t="n"/>
      <c r="J489" s="15" t="n"/>
      <c r="K489" s="13" t="n"/>
    </row>
    <row r="490">
      <c r="A490" s="13" t="n"/>
      <c r="B490" s="14">
        <f>IF(OR(A490="",Configurações!$B$5=""),"",INT((A490-Configurações!$B$5)/7)+1)</f>
        <v/>
      </c>
      <c r="C490" s="15" t="n"/>
      <c r="D490" s="15" t="n"/>
      <c r="E490" s="15" t="n"/>
      <c r="F490" s="15" t="n"/>
      <c r="G490" s="14">
        <f>IF(F490="","",VALUE(LEFT(F490,1)))</f>
        <v/>
      </c>
      <c r="H490" s="15" t="n"/>
      <c r="I490" s="15" t="n"/>
      <c r="J490" s="15" t="n"/>
      <c r="K490" s="13" t="n"/>
    </row>
    <row r="491">
      <c r="A491" s="13" t="n"/>
      <c r="B491" s="14">
        <f>IF(OR(A491="",Configurações!$B$5=""),"",INT((A491-Configurações!$B$5)/7)+1)</f>
        <v/>
      </c>
      <c r="C491" s="15" t="n"/>
      <c r="D491" s="15" t="n"/>
      <c r="E491" s="15" t="n"/>
      <c r="F491" s="15" t="n"/>
      <c r="G491" s="14">
        <f>IF(F491="","",VALUE(LEFT(F491,1)))</f>
        <v/>
      </c>
      <c r="H491" s="15" t="n"/>
      <c r="I491" s="15" t="n"/>
      <c r="J491" s="15" t="n"/>
      <c r="K491" s="13" t="n"/>
    </row>
    <row r="492">
      <c r="A492" s="13" t="n"/>
      <c r="B492" s="14">
        <f>IF(OR(A492="",Configurações!$B$5=""),"",INT((A492-Configurações!$B$5)/7)+1)</f>
        <v/>
      </c>
      <c r="C492" s="15" t="n"/>
      <c r="D492" s="15" t="n"/>
      <c r="E492" s="15" t="n"/>
      <c r="F492" s="15" t="n"/>
      <c r="G492" s="14">
        <f>IF(F492="","",VALUE(LEFT(F492,1)))</f>
        <v/>
      </c>
      <c r="H492" s="15" t="n"/>
      <c r="I492" s="15" t="n"/>
      <c r="J492" s="15" t="n"/>
      <c r="K492" s="13" t="n"/>
    </row>
    <row r="493">
      <c r="A493" s="13" t="n"/>
      <c r="B493" s="14">
        <f>IF(OR(A493="",Configurações!$B$5=""),"",INT((A493-Configurações!$B$5)/7)+1)</f>
        <v/>
      </c>
      <c r="C493" s="15" t="n"/>
      <c r="D493" s="15" t="n"/>
      <c r="E493" s="15" t="n"/>
      <c r="F493" s="15" t="n"/>
      <c r="G493" s="14">
        <f>IF(F493="","",VALUE(LEFT(F493,1)))</f>
        <v/>
      </c>
      <c r="H493" s="15" t="n"/>
      <c r="I493" s="15" t="n"/>
      <c r="J493" s="15" t="n"/>
      <c r="K493" s="13" t="n"/>
    </row>
    <row r="494">
      <c r="A494" s="13" t="n"/>
      <c r="B494" s="14">
        <f>IF(OR(A494="",Configurações!$B$5=""),"",INT((A494-Configurações!$B$5)/7)+1)</f>
        <v/>
      </c>
      <c r="C494" s="15" t="n"/>
      <c r="D494" s="15" t="n"/>
      <c r="E494" s="15" t="n"/>
      <c r="F494" s="15" t="n"/>
      <c r="G494" s="14">
        <f>IF(F494="","",VALUE(LEFT(F494,1)))</f>
        <v/>
      </c>
      <c r="H494" s="15" t="n"/>
      <c r="I494" s="15" t="n"/>
      <c r="J494" s="15" t="n"/>
      <c r="K494" s="13" t="n"/>
    </row>
    <row r="495">
      <c r="A495" s="13" t="n"/>
      <c r="B495" s="14">
        <f>IF(OR(A495="",Configurações!$B$5=""),"",INT((A495-Configurações!$B$5)/7)+1)</f>
        <v/>
      </c>
      <c r="C495" s="15" t="n"/>
      <c r="D495" s="15" t="n"/>
      <c r="E495" s="15" t="n"/>
      <c r="F495" s="15" t="n"/>
      <c r="G495" s="14">
        <f>IF(F495="","",VALUE(LEFT(F495,1)))</f>
        <v/>
      </c>
      <c r="H495" s="15" t="n"/>
      <c r="I495" s="15" t="n"/>
      <c r="J495" s="15" t="n"/>
      <c r="K495" s="13" t="n"/>
    </row>
    <row r="496">
      <c r="A496" s="13" t="n"/>
      <c r="B496" s="14">
        <f>IF(OR(A496="",Configurações!$B$5=""),"",INT((A496-Configurações!$B$5)/7)+1)</f>
        <v/>
      </c>
      <c r="C496" s="15" t="n"/>
      <c r="D496" s="15" t="n"/>
      <c r="E496" s="15" t="n"/>
      <c r="F496" s="15" t="n"/>
      <c r="G496" s="14">
        <f>IF(F496="","",VALUE(LEFT(F496,1)))</f>
        <v/>
      </c>
      <c r="H496" s="15" t="n"/>
      <c r="I496" s="15" t="n"/>
      <c r="J496" s="15" t="n"/>
      <c r="K496" s="13" t="n"/>
    </row>
    <row r="497">
      <c r="A497" s="13" t="n"/>
      <c r="B497" s="14">
        <f>IF(OR(A497="",Configurações!$B$5=""),"",INT((A497-Configurações!$B$5)/7)+1)</f>
        <v/>
      </c>
      <c r="C497" s="15" t="n"/>
      <c r="D497" s="15" t="n"/>
      <c r="E497" s="15" t="n"/>
      <c r="F497" s="15" t="n"/>
      <c r="G497" s="14">
        <f>IF(F497="","",VALUE(LEFT(F497,1)))</f>
        <v/>
      </c>
      <c r="H497" s="15" t="n"/>
      <c r="I497" s="15" t="n"/>
      <c r="J497" s="15" t="n"/>
      <c r="K497" s="13" t="n"/>
    </row>
    <row r="498">
      <c r="A498" s="13" t="n"/>
      <c r="B498" s="14">
        <f>IF(OR(A498="",Configurações!$B$5=""),"",INT((A498-Configurações!$B$5)/7)+1)</f>
        <v/>
      </c>
      <c r="C498" s="15" t="n"/>
      <c r="D498" s="15" t="n"/>
      <c r="E498" s="15" t="n"/>
      <c r="F498" s="15" t="n"/>
      <c r="G498" s="14">
        <f>IF(F498="","",VALUE(LEFT(F498,1)))</f>
        <v/>
      </c>
      <c r="H498" s="15" t="n"/>
      <c r="I498" s="15" t="n"/>
      <c r="J498" s="15" t="n"/>
      <c r="K498" s="13" t="n"/>
    </row>
    <row r="499">
      <c r="A499" s="13" t="n"/>
      <c r="B499" s="14">
        <f>IF(OR(A499="",Configurações!$B$5=""),"",INT((A499-Configurações!$B$5)/7)+1)</f>
        <v/>
      </c>
      <c r="C499" s="15" t="n"/>
      <c r="D499" s="15" t="n"/>
      <c r="E499" s="15" t="n"/>
      <c r="F499" s="15" t="n"/>
      <c r="G499" s="14">
        <f>IF(F499="","",VALUE(LEFT(F499,1)))</f>
        <v/>
      </c>
      <c r="H499" s="15" t="n"/>
      <c r="I499" s="15" t="n"/>
      <c r="J499" s="15" t="n"/>
      <c r="K499" s="13" t="n"/>
    </row>
    <row r="500">
      <c r="A500" s="13" t="n"/>
      <c r="B500" s="14">
        <f>IF(OR(A500="",Configurações!$B$5=""),"",INT((A500-Configurações!$B$5)/7)+1)</f>
        <v/>
      </c>
      <c r="C500" s="15" t="n"/>
      <c r="D500" s="15" t="n"/>
      <c r="E500" s="15" t="n"/>
      <c r="F500" s="15" t="n"/>
      <c r="G500" s="14">
        <f>IF(F500="","",VALUE(LEFT(F500,1)))</f>
        <v/>
      </c>
      <c r="H500" s="15" t="n"/>
      <c r="I500" s="15" t="n"/>
      <c r="J500" s="15" t="n"/>
      <c r="K500" s="13" t="n"/>
    </row>
    <row r="501">
      <c r="A501" s="13" t="n"/>
      <c r="B501" s="14">
        <f>IF(OR(A501="",Configurações!$B$5=""),"",INT((A501-Configurações!$B$5)/7)+1)</f>
        <v/>
      </c>
      <c r="C501" s="15" t="n"/>
      <c r="D501" s="15" t="n"/>
      <c r="E501" s="15" t="n"/>
      <c r="F501" s="15" t="n"/>
      <c r="G501" s="14">
        <f>IF(F501="","",VALUE(LEFT(F501,1)))</f>
        <v/>
      </c>
      <c r="H501" s="15" t="n"/>
      <c r="I501" s="15" t="n"/>
      <c r="J501" s="15" t="n"/>
      <c r="K501" s="13" t="n"/>
    </row>
    <row r="502">
      <c r="A502" s="13" t="n"/>
      <c r="B502" s="14">
        <f>IF(OR(A502="",Configurações!$B$5=""),"",INT((A502-Configurações!$B$5)/7)+1)</f>
        <v/>
      </c>
      <c r="C502" s="15" t="n"/>
      <c r="D502" s="15" t="n"/>
      <c r="E502" s="15" t="n"/>
      <c r="F502" s="15" t="n"/>
      <c r="G502" s="14">
        <f>IF(F502="","",VALUE(LEFT(F502,1)))</f>
        <v/>
      </c>
      <c r="H502" s="15" t="n"/>
      <c r="I502" s="15" t="n"/>
      <c r="J502" s="15" t="n"/>
      <c r="K502" s="13" t="n"/>
    </row>
    <row r="503">
      <c r="A503" s="13" t="n"/>
      <c r="B503" s="14">
        <f>IF(OR(A503="",Configurações!$B$5=""),"",INT((A503-Configurações!$B$5)/7)+1)</f>
        <v/>
      </c>
      <c r="C503" s="15" t="n"/>
      <c r="D503" s="15" t="n"/>
      <c r="E503" s="15" t="n"/>
      <c r="F503" s="15" t="n"/>
      <c r="G503" s="14">
        <f>IF(F503="","",VALUE(LEFT(F503,1)))</f>
        <v/>
      </c>
      <c r="H503" s="15" t="n"/>
      <c r="I503" s="15" t="n"/>
      <c r="J503" s="15" t="n"/>
      <c r="K503" s="13" t="n"/>
    </row>
    <row r="504">
      <c r="A504" s="13" t="n"/>
      <c r="B504" s="14">
        <f>IF(OR(A504="",Configurações!$B$5=""),"",INT((A504-Configurações!$B$5)/7)+1)</f>
        <v/>
      </c>
      <c r="C504" s="15" t="n"/>
      <c r="D504" s="15" t="n"/>
      <c r="E504" s="15" t="n"/>
      <c r="F504" s="15" t="n"/>
      <c r="G504" s="14">
        <f>IF(F504="","",VALUE(LEFT(F504,1)))</f>
        <v/>
      </c>
      <c r="H504" s="15" t="n"/>
      <c r="I504" s="15" t="n"/>
      <c r="J504" s="15" t="n"/>
      <c r="K504" s="13" t="n"/>
    </row>
  </sheetData>
  <mergeCells count="1">
    <mergeCell ref="A2:K2"/>
  </mergeCells>
  <conditionalFormatting sqref="A5:K504">
    <cfRule type="expression" priority="1" dxfId="0">
      <formula>AND($K5&lt;&gt;"",$K5&lt;=TODAY(),$H5&lt;&gt;"Sim",$G5&lt;5)</formula>
    </cfRule>
  </conditionalFormatting>
  <dataValidations count="4">
    <dataValidation sqref="D5:D504" showDropDown="0" showInputMessage="0" showErrorMessage="0" allowBlank="1" type="list">
      <formula1>"Rede próxima,Indicação,Comunidade,Contato direto,TikTok,Instagram,WhatsApp,Outro"</formula1>
    </dataValidation>
    <dataValidation sqref="F5:F504" showDropDown="0" showInputMessage="0" showErrorMessage="0" allowBlank="1" type="list">
      <formula1>"1 Contatado,2 Respondeu,3 Conversa,4 Proposta,5 Venda"</formula1>
    </dataValidation>
    <dataValidation sqref="H5:H504" showDropDown="0" showInputMessage="0" showErrorMessage="0" allowBlank="1" type="list">
      <formula1>"Sim,Não"</formula1>
    </dataValidation>
    <dataValidation sqref="I5:I504" showDropDown="0" showInputMessage="0" showErrorMessage="0" allowBlank="1" type="list">
      <formula1>"Sem resposta,Sem interesse,Preço,Timing,Comprou de outro,Não era o público,Outro"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6" customWidth="1" min="4" max="4"/>
    <col width="24" customWidth="1" min="5" max="5"/>
    <col width="12" customWidth="1" min="6" max="6"/>
    <col width="13" customWidth="1" min="7" max="7"/>
    <col width="11" customWidth="1" min="8" max="8"/>
    <col width="11" customWidth="1" min="9" max="9"/>
    <col width="12" customWidth="1" min="10" max="10"/>
    <col width="12" customWidth="1" min="11" max="11"/>
    <col width="3" customWidth="1" min="12" max="12"/>
    <col width="12" customWidth="1" min="13" max="13"/>
    <col width="9" customWidth="1" min="14" max="14"/>
    <col width="26" customWidth="1" min="15" max="15"/>
    <col width="18" customWidth="1" min="16" max="16"/>
    <col width="12" customWidth="1" min="17" max="17"/>
  </cols>
  <sheetData>
    <row r="1">
      <c r="A1" s="1" t="inlineStr">
        <is>
          <t>Vendas e custos</t>
        </is>
      </c>
    </row>
    <row r="2">
      <c r="A2" s="4" t="inlineStr">
        <is>
          <t>Lance cada venda à esquerda e cada gasto à direita. As taxas são calculadas com o que está em Configurações.</t>
        </is>
      </c>
    </row>
    <row r="4" ht="30" customHeight="1">
      <c r="A4" s="5" t="inlineStr">
        <is>
          <t>Data</t>
        </is>
      </c>
      <c r="B4" s="5" t="inlineStr">
        <is>
          <t>Semana</t>
        </is>
      </c>
      <c r="C4" s="5" t="inlineStr">
        <is>
          <t>Cliente</t>
        </is>
      </c>
      <c r="D4" s="5" t="inlineStr">
        <is>
          <t>Canal</t>
        </is>
      </c>
      <c r="E4" s="5" t="inlineStr">
        <is>
          <t>O que vendeu</t>
        </is>
      </c>
      <c r="F4" s="5" t="inlineStr">
        <is>
          <t>Valor (R$)</t>
        </is>
      </c>
      <c r="G4" s="5" t="inlineStr">
        <is>
          <t>Custo direto (R$)</t>
        </is>
      </c>
      <c r="H4" s="5" t="inlineStr">
        <is>
          <t>Taxas (R$)</t>
        </is>
      </c>
      <c r="I4" s="5" t="inlineStr">
        <is>
          <t>Imposto (R$)</t>
        </is>
      </c>
      <c r="J4" s="5" t="inlineStr">
        <is>
          <t>Reembolsado?</t>
        </is>
      </c>
      <c r="K4" s="5" t="inlineStr">
        <is>
          <t>Sobra (R$)</t>
        </is>
      </c>
      <c r="L4" s="16" t="inlineStr"/>
      <c r="M4" s="17" t="inlineStr">
        <is>
          <t>Data</t>
        </is>
      </c>
      <c r="N4" s="17" t="inlineStr">
        <is>
          <t>Semana</t>
        </is>
      </c>
      <c r="O4" s="18" t="inlineStr">
        <is>
          <t>Gasto</t>
        </is>
      </c>
      <c r="P4" s="18" t="inlineStr">
        <is>
          <t>Categoria</t>
        </is>
      </c>
      <c r="Q4" s="18" t="inlineStr">
        <is>
          <t>Valor (R$)</t>
        </is>
      </c>
    </row>
    <row r="5">
      <c r="A5" s="13" t="n"/>
      <c r="B5" s="14">
        <f>IF(OR(A5="",Configurações!$B$5=""),"",INT((A5-Configurações!$B$5)/7)+1)</f>
        <v/>
      </c>
      <c r="C5" s="15" t="n"/>
      <c r="D5" s="15" t="n"/>
      <c r="E5" s="15" t="n"/>
      <c r="F5" s="19" t="n"/>
      <c r="G5" s="19" t="n"/>
      <c r="H5" s="20">
        <f>IF(F5="","",F5*Configurações!$B$6+Configurações!$B$7)</f>
        <v/>
      </c>
      <c r="I5" s="20">
        <f>IF(F5="","",F5*Configurações!$B$8)</f>
        <v/>
      </c>
      <c r="J5" s="15" t="n"/>
      <c r="K5" s="20">
        <f>IF(F5="","",IF(J5="Sim",-H5-G5,F5-G5-H5-I5))</f>
        <v/>
      </c>
      <c r="M5" s="21" t="n"/>
      <c r="N5" s="22">
        <f>IF(OR(M5="",Configurações!$B$5=""),"",INT((M5-Configurações!$B$5)/7)+1)</f>
        <v/>
      </c>
      <c r="O5" s="23" t="n"/>
      <c r="P5" s="23" t="n"/>
      <c r="Q5" s="24" t="n"/>
    </row>
    <row r="6">
      <c r="A6" s="13" t="n"/>
      <c r="B6" s="14">
        <f>IF(OR(A6="",Configurações!$B$5=""),"",INT((A6-Configurações!$B$5)/7)+1)</f>
        <v/>
      </c>
      <c r="C6" s="15" t="n"/>
      <c r="D6" s="15" t="n"/>
      <c r="E6" s="15" t="n"/>
      <c r="F6" s="19" t="n"/>
      <c r="G6" s="19" t="n"/>
      <c r="H6" s="20">
        <f>IF(F6="","",F6*Configurações!$B$6+Configurações!$B$7)</f>
        <v/>
      </c>
      <c r="I6" s="20">
        <f>IF(F6="","",F6*Configurações!$B$8)</f>
        <v/>
      </c>
      <c r="J6" s="15" t="n"/>
      <c r="K6" s="20">
        <f>IF(F6="","",IF(J6="Sim",-H6-G6,F6-G6-H6-I6))</f>
        <v/>
      </c>
      <c r="M6" s="21" t="n"/>
      <c r="N6" s="22">
        <f>IF(OR(M6="",Configurações!$B$5=""),"",INT((M6-Configurações!$B$5)/7)+1)</f>
        <v/>
      </c>
      <c r="O6" s="23" t="n"/>
      <c r="P6" s="23" t="n"/>
      <c r="Q6" s="24" t="n"/>
    </row>
    <row r="7">
      <c r="A7" s="13" t="n"/>
      <c r="B7" s="14">
        <f>IF(OR(A7="",Configurações!$B$5=""),"",INT((A7-Configurações!$B$5)/7)+1)</f>
        <v/>
      </c>
      <c r="C7" s="15" t="n"/>
      <c r="D7" s="15" t="n"/>
      <c r="E7" s="15" t="n"/>
      <c r="F7" s="19" t="n"/>
      <c r="G7" s="19" t="n"/>
      <c r="H7" s="20">
        <f>IF(F7="","",F7*Configurações!$B$6+Configurações!$B$7)</f>
        <v/>
      </c>
      <c r="I7" s="20">
        <f>IF(F7="","",F7*Configurações!$B$8)</f>
        <v/>
      </c>
      <c r="J7" s="15" t="n"/>
      <c r="K7" s="20">
        <f>IF(F7="","",IF(J7="Sim",-H7-G7,F7-G7-H7-I7))</f>
        <v/>
      </c>
      <c r="M7" s="21" t="n"/>
      <c r="N7" s="22">
        <f>IF(OR(M7="",Configurações!$B$5=""),"",INT((M7-Configurações!$B$5)/7)+1)</f>
        <v/>
      </c>
      <c r="O7" s="23" t="n"/>
      <c r="P7" s="23" t="n"/>
      <c r="Q7" s="24" t="n"/>
    </row>
    <row r="8">
      <c r="A8" s="13" t="n"/>
      <c r="B8" s="14">
        <f>IF(OR(A8="",Configurações!$B$5=""),"",INT((A8-Configurações!$B$5)/7)+1)</f>
        <v/>
      </c>
      <c r="C8" s="15" t="n"/>
      <c r="D8" s="15" t="n"/>
      <c r="E8" s="15" t="n"/>
      <c r="F8" s="19" t="n"/>
      <c r="G8" s="19" t="n"/>
      <c r="H8" s="20">
        <f>IF(F8="","",F8*Configurações!$B$6+Configurações!$B$7)</f>
        <v/>
      </c>
      <c r="I8" s="20">
        <f>IF(F8="","",F8*Configurações!$B$8)</f>
        <v/>
      </c>
      <c r="J8" s="15" t="n"/>
      <c r="K8" s="20">
        <f>IF(F8="","",IF(J8="Sim",-H8-G8,F8-G8-H8-I8))</f>
        <v/>
      </c>
      <c r="M8" s="21" t="n"/>
      <c r="N8" s="22">
        <f>IF(OR(M8="",Configurações!$B$5=""),"",INT((M8-Configurações!$B$5)/7)+1)</f>
        <v/>
      </c>
      <c r="O8" s="23" t="n"/>
      <c r="P8" s="23" t="n"/>
      <c r="Q8" s="24" t="n"/>
    </row>
    <row r="9">
      <c r="A9" s="13" t="n"/>
      <c r="B9" s="14">
        <f>IF(OR(A9="",Configurações!$B$5=""),"",INT((A9-Configurações!$B$5)/7)+1)</f>
        <v/>
      </c>
      <c r="C9" s="15" t="n"/>
      <c r="D9" s="15" t="n"/>
      <c r="E9" s="15" t="n"/>
      <c r="F9" s="19" t="n"/>
      <c r="G9" s="19" t="n"/>
      <c r="H9" s="20">
        <f>IF(F9="","",F9*Configurações!$B$6+Configurações!$B$7)</f>
        <v/>
      </c>
      <c r="I9" s="20">
        <f>IF(F9="","",F9*Configurações!$B$8)</f>
        <v/>
      </c>
      <c r="J9" s="15" t="n"/>
      <c r="K9" s="20">
        <f>IF(F9="","",IF(J9="Sim",-H9-G9,F9-G9-H9-I9))</f>
        <v/>
      </c>
      <c r="M9" s="21" t="n"/>
      <c r="N9" s="22">
        <f>IF(OR(M9="",Configurações!$B$5=""),"",INT((M9-Configurações!$B$5)/7)+1)</f>
        <v/>
      </c>
      <c r="O9" s="23" t="n"/>
      <c r="P9" s="23" t="n"/>
      <c r="Q9" s="24" t="n"/>
    </row>
    <row r="10">
      <c r="A10" s="13" t="n"/>
      <c r="B10" s="14">
        <f>IF(OR(A10="",Configurações!$B$5=""),"",INT((A10-Configurações!$B$5)/7)+1)</f>
        <v/>
      </c>
      <c r="C10" s="15" t="n"/>
      <c r="D10" s="15" t="n"/>
      <c r="E10" s="15" t="n"/>
      <c r="F10" s="19" t="n"/>
      <c r="G10" s="19" t="n"/>
      <c r="H10" s="20">
        <f>IF(F10="","",F10*Configurações!$B$6+Configurações!$B$7)</f>
        <v/>
      </c>
      <c r="I10" s="20">
        <f>IF(F10="","",F10*Configurações!$B$8)</f>
        <v/>
      </c>
      <c r="J10" s="15" t="n"/>
      <c r="K10" s="20">
        <f>IF(F10="","",IF(J10="Sim",-H10-G10,F10-G10-H10-I10))</f>
        <v/>
      </c>
      <c r="M10" s="21" t="n"/>
      <c r="N10" s="22">
        <f>IF(OR(M10="",Configurações!$B$5=""),"",INT((M10-Configurações!$B$5)/7)+1)</f>
        <v/>
      </c>
      <c r="O10" s="23" t="n"/>
      <c r="P10" s="23" t="n"/>
      <c r="Q10" s="24" t="n"/>
    </row>
    <row r="11">
      <c r="A11" s="13" t="n"/>
      <c r="B11" s="14">
        <f>IF(OR(A11="",Configurações!$B$5=""),"",INT((A11-Configurações!$B$5)/7)+1)</f>
        <v/>
      </c>
      <c r="C11" s="15" t="n"/>
      <c r="D11" s="15" t="n"/>
      <c r="E11" s="15" t="n"/>
      <c r="F11" s="19" t="n"/>
      <c r="G11" s="19" t="n"/>
      <c r="H11" s="20">
        <f>IF(F11="","",F11*Configurações!$B$6+Configurações!$B$7)</f>
        <v/>
      </c>
      <c r="I11" s="20">
        <f>IF(F11="","",F11*Configurações!$B$8)</f>
        <v/>
      </c>
      <c r="J11" s="15" t="n"/>
      <c r="K11" s="20">
        <f>IF(F11="","",IF(J11="Sim",-H11-G11,F11-G11-H11-I11))</f>
        <v/>
      </c>
      <c r="M11" s="21" t="n"/>
      <c r="N11" s="22">
        <f>IF(OR(M11="",Configurações!$B$5=""),"",INT((M11-Configurações!$B$5)/7)+1)</f>
        <v/>
      </c>
      <c r="O11" s="23" t="n"/>
      <c r="P11" s="23" t="n"/>
      <c r="Q11" s="24" t="n"/>
    </row>
    <row r="12">
      <c r="A12" s="13" t="n"/>
      <c r="B12" s="14">
        <f>IF(OR(A12="",Configurações!$B$5=""),"",INT((A12-Configurações!$B$5)/7)+1)</f>
        <v/>
      </c>
      <c r="C12" s="15" t="n"/>
      <c r="D12" s="15" t="n"/>
      <c r="E12" s="15" t="n"/>
      <c r="F12" s="19" t="n"/>
      <c r="G12" s="19" t="n"/>
      <c r="H12" s="20">
        <f>IF(F12="","",F12*Configurações!$B$6+Configurações!$B$7)</f>
        <v/>
      </c>
      <c r="I12" s="20">
        <f>IF(F12="","",F12*Configurações!$B$8)</f>
        <v/>
      </c>
      <c r="J12" s="15" t="n"/>
      <c r="K12" s="20">
        <f>IF(F12="","",IF(J12="Sim",-H12-G12,F12-G12-H12-I12))</f>
        <v/>
      </c>
      <c r="M12" s="21" t="n"/>
      <c r="N12" s="22">
        <f>IF(OR(M12="",Configurações!$B$5=""),"",INT((M12-Configurações!$B$5)/7)+1)</f>
        <v/>
      </c>
      <c r="O12" s="23" t="n"/>
      <c r="P12" s="23" t="n"/>
      <c r="Q12" s="24" t="n"/>
    </row>
    <row r="13">
      <c r="A13" s="13" t="n"/>
      <c r="B13" s="14">
        <f>IF(OR(A13="",Configurações!$B$5=""),"",INT((A13-Configurações!$B$5)/7)+1)</f>
        <v/>
      </c>
      <c r="C13" s="15" t="n"/>
      <c r="D13" s="15" t="n"/>
      <c r="E13" s="15" t="n"/>
      <c r="F13" s="19" t="n"/>
      <c r="G13" s="19" t="n"/>
      <c r="H13" s="20">
        <f>IF(F13="","",F13*Configurações!$B$6+Configurações!$B$7)</f>
        <v/>
      </c>
      <c r="I13" s="20">
        <f>IF(F13="","",F13*Configurações!$B$8)</f>
        <v/>
      </c>
      <c r="J13" s="15" t="n"/>
      <c r="K13" s="20">
        <f>IF(F13="","",IF(J13="Sim",-H13-G13,F13-G13-H13-I13))</f>
        <v/>
      </c>
      <c r="M13" s="21" t="n"/>
      <c r="N13" s="22">
        <f>IF(OR(M13="",Configurações!$B$5=""),"",INT((M13-Configurações!$B$5)/7)+1)</f>
        <v/>
      </c>
      <c r="O13" s="23" t="n"/>
      <c r="P13" s="23" t="n"/>
      <c r="Q13" s="24" t="n"/>
    </row>
    <row r="14">
      <c r="A14" s="13" t="n"/>
      <c r="B14" s="14">
        <f>IF(OR(A14="",Configurações!$B$5=""),"",INT((A14-Configurações!$B$5)/7)+1)</f>
        <v/>
      </c>
      <c r="C14" s="15" t="n"/>
      <c r="D14" s="15" t="n"/>
      <c r="E14" s="15" t="n"/>
      <c r="F14" s="19" t="n"/>
      <c r="G14" s="19" t="n"/>
      <c r="H14" s="20">
        <f>IF(F14="","",F14*Configurações!$B$6+Configurações!$B$7)</f>
        <v/>
      </c>
      <c r="I14" s="20">
        <f>IF(F14="","",F14*Configurações!$B$8)</f>
        <v/>
      </c>
      <c r="J14" s="15" t="n"/>
      <c r="K14" s="20">
        <f>IF(F14="","",IF(J14="Sim",-H14-G14,F14-G14-H14-I14))</f>
        <v/>
      </c>
      <c r="M14" s="21" t="n"/>
      <c r="N14" s="22">
        <f>IF(OR(M14="",Configurações!$B$5=""),"",INT((M14-Configurações!$B$5)/7)+1)</f>
        <v/>
      </c>
      <c r="O14" s="23" t="n"/>
      <c r="P14" s="23" t="n"/>
      <c r="Q14" s="24" t="n"/>
    </row>
    <row r="15">
      <c r="A15" s="13" t="n"/>
      <c r="B15" s="14">
        <f>IF(OR(A15="",Configurações!$B$5=""),"",INT((A15-Configurações!$B$5)/7)+1)</f>
        <v/>
      </c>
      <c r="C15" s="15" t="n"/>
      <c r="D15" s="15" t="n"/>
      <c r="E15" s="15" t="n"/>
      <c r="F15" s="19" t="n"/>
      <c r="G15" s="19" t="n"/>
      <c r="H15" s="20">
        <f>IF(F15="","",F15*Configurações!$B$6+Configurações!$B$7)</f>
        <v/>
      </c>
      <c r="I15" s="20">
        <f>IF(F15="","",F15*Configurações!$B$8)</f>
        <v/>
      </c>
      <c r="J15" s="15" t="n"/>
      <c r="K15" s="20">
        <f>IF(F15="","",IF(J15="Sim",-H15-G15,F15-G15-H15-I15))</f>
        <v/>
      </c>
      <c r="M15" s="21" t="n"/>
      <c r="N15" s="22">
        <f>IF(OR(M15="",Configurações!$B$5=""),"",INT((M15-Configurações!$B$5)/7)+1)</f>
        <v/>
      </c>
      <c r="O15" s="23" t="n"/>
      <c r="P15" s="23" t="n"/>
      <c r="Q15" s="24" t="n"/>
    </row>
    <row r="16">
      <c r="A16" s="13" t="n"/>
      <c r="B16" s="14">
        <f>IF(OR(A16="",Configurações!$B$5=""),"",INT((A16-Configurações!$B$5)/7)+1)</f>
        <v/>
      </c>
      <c r="C16" s="15" t="n"/>
      <c r="D16" s="15" t="n"/>
      <c r="E16" s="15" t="n"/>
      <c r="F16" s="19" t="n"/>
      <c r="G16" s="19" t="n"/>
      <c r="H16" s="20">
        <f>IF(F16="","",F16*Configurações!$B$6+Configurações!$B$7)</f>
        <v/>
      </c>
      <c r="I16" s="20">
        <f>IF(F16="","",F16*Configurações!$B$8)</f>
        <v/>
      </c>
      <c r="J16" s="15" t="n"/>
      <c r="K16" s="20">
        <f>IF(F16="","",IF(J16="Sim",-H16-G16,F16-G16-H16-I16))</f>
        <v/>
      </c>
      <c r="M16" s="21" t="n"/>
      <c r="N16" s="22">
        <f>IF(OR(M16="",Configurações!$B$5=""),"",INT((M16-Configurações!$B$5)/7)+1)</f>
        <v/>
      </c>
      <c r="O16" s="23" t="n"/>
      <c r="P16" s="23" t="n"/>
      <c r="Q16" s="24" t="n"/>
    </row>
    <row r="17">
      <c r="A17" s="13" t="n"/>
      <c r="B17" s="14">
        <f>IF(OR(A17="",Configurações!$B$5=""),"",INT((A17-Configurações!$B$5)/7)+1)</f>
        <v/>
      </c>
      <c r="C17" s="15" t="n"/>
      <c r="D17" s="15" t="n"/>
      <c r="E17" s="15" t="n"/>
      <c r="F17" s="19" t="n"/>
      <c r="G17" s="19" t="n"/>
      <c r="H17" s="20">
        <f>IF(F17="","",F17*Configurações!$B$6+Configurações!$B$7)</f>
        <v/>
      </c>
      <c r="I17" s="20">
        <f>IF(F17="","",F17*Configurações!$B$8)</f>
        <v/>
      </c>
      <c r="J17" s="15" t="n"/>
      <c r="K17" s="20">
        <f>IF(F17="","",IF(J17="Sim",-H17-G17,F17-G17-H17-I17))</f>
        <v/>
      </c>
      <c r="M17" s="21" t="n"/>
      <c r="N17" s="22">
        <f>IF(OR(M17="",Configurações!$B$5=""),"",INT((M17-Configurações!$B$5)/7)+1)</f>
        <v/>
      </c>
      <c r="O17" s="23" t="n"/>
      <c r="P17" s="23" t="n"/>
      <c r="Q17" s="24" t="n"/>
    </row>
    <row r="18">
      <c r="A18" s="13" t="n"/>
      <c r="B18" s="14">
        <f>IF(OR(A18="",Configurações!$B$5=""),"",INT((A18-Configurações!$B$5)/7)+1)</f>
        <v/>
      </c>
      <c r="C18" s="15" t="n"/>
      <c r="D18" s="15" t="n"/>
      <c r="E18" s="15" t="n"/>
      <c r="F18" s="19" t="n"/>
      <c r="G18" s="19" t="n"/>
      <c r="H18" s="20">
        <f>IF(F18="","",F18*Configurações!$B$6+Configurações!$B$7)</f>
        <v/>
      </c>
      <c r="I18" s="20">
        <f>IF(F18="","",F18*Configurações!$B$8)</f>
        <v/>
      </c>
      <c r="J18" s="15" t="n"/>
      <c r="K18" s="20">
        <f>IF(F18="","",IF(J18="Sim",-H18-G18,F18-G18-H18-I18))</f>
        <v/>
      </c>
      <c r="M18" s="21" t="n"/>
      <c r="N18" s="22">
        <f>IF(OR(M18="",Configurações!$B$5=""),"",INT((M18-Configurações!$B$5)/7)+1)</f>
        <v/>
      </c>
      <c r="O18" s="23" t="n"/>
      <c r="P18" s="23" t="n"/>
      <c r="Q18" s="24" t="n"/>
    </row>
    <row r="19">
      <c r="A19" s="13" t="n"/>
      <c r="B19" s="14">
        <f>IF(OR(A19="",Configurações!$B$5=""),"",INT((A19-Configurações!$B$5)/7)+1)</f>
        <v/>
      </c>
      <c r="C19" s="15" t="n"/>
      <c r="D19" s="15" t="n"/>
      <c r="E19" s="15" t="n"/>
      <c r="F19" s="19" t="n"/>
      <c r="G19" s="19" t="n"/>
      <c r="H19" s="20">
        <f>IF(F19="","",F19*Configurações!$B$6+Configurações!$B$7)</f>
        <v/>
      </c>
      <c r="I19" s="20">
        <f>IF(F19="","",F19*Configurações!$B$8)</f>
        <v/>
      </c>
      <c r="J19" s="15" t="n"/>
      <c r="K19" s="20">
        <f>IF(F19="","",IF(J19="Sim",-H19-G19,F19-G19-H19-I19))</f>
        <v/>
      </c>
      <c r="M19" s="21" t="n"/>
      <c r="N19" s="22">
        <f>IF(OR(M19="",Configurações!$B$5=""),"",INT((M19-Configurações!$B$5)/7)+1)</f>
        <v/>
      </c>
      <c r="O19" s="23" t="n"/>
      <c r="P19" s="23" t="n"/>
      <c r="Q19" s="24" t="n"/>
    </row>
    <row r="20">
      <c r="A20" s="13" t="n"/>
      <c r="B20" s="14">
        <f>IF(OR(A20="",Configurações!$B$5=""),"",INT((A20-Configurações!$B$5)/7)+1)</f>
        <v/>
      </c>
      <c r="C20" s="15" t="n"/>
      <c r="D20" s="15" t="n"/>
      <c r="E20" s="15" t="n"/>
      <c r="F20" s="19" t="n"/>
      <c r="G20" s="19" t="n"/>
      <c r="H20" s="20">
        <f>IF(F20="","",F20*Configurações!$B$6+Configurações!$B$7)</f>
        <v/>
      </c>
      <c r="I20" s="20">
        <f>IF(F20="","",F20*Configurações!$B$8)</f>
        <v/>
      </c>
      <c r="J20" s="15" t="n"/>
      <c r="K20" s="20">
        <f>IF(F20="","",IF(J20="Sim",-H20-G20,F20-G20-H20-I20))</f>
        <v/>
      </c>
      <c r="M20" s="21" t="n"/>
      <c r="N20" s="22">
        <f>IF(OR(M20="",Configurações!$B$5=""),"",INT((M20-Configurações!$B$5)/7)+1)</f>
        <v/>
      </c>
      <c r="O20" s="23" t="n"/>
      <c r="P20" s="23" t="n"/>
      <c r="Q20" s="24" t="n"/>
    </row>
    <row r="21">
      <c r="A21" s="13" t="n"/>
      <c r="B21" s="14">
        <f>IF(OR(A21="",Configurações!$B$5=""),"",INT((A21-Configurações!$B$5)/7)+1)</f>
        <v/>
      </c>
      <c r="C21" s="15" t="n"/>
      <c r="D21" s="15" t="n"/>
      <c r="E21" s="15" t="n"/>
      <c r="F21" s="19" t="n"/>
      <c r="G21" s="19" t="n"/>
      <c r="H21" s="20">
        <f>IF(F21="","",F21*Configurações!$B$6+Configurações!$B$7)</f>
        <v/>
      </c>
      <c r="I21" s="20">
        <f>IF(F21="","",F21*Configurações!$B$8)</f>
        <v/>
      </c>
      <c r="J21" s="15" t="n"/>
      <c r="K21" s="20">
        <f>IF(F21="","",IF(J21="Sim",-H21-G21,F21-G21-H21-I21))</f>
        <v/>
      </c>
      <c r="M21" s="21" t="n"/>
      <c r="N21" s="22">
        <f>IF(OR(M21="",Configurações!$B$5=""),"",INT((M21-Configurações!$B$5)/7)+1)</f>
        <v/>
      </c>
      <c r="O21" s="23" t="n"/>
      <c r="P21" s="23" t="n"/>
      <c r="Q21" s="24" t="n"/>
    </row>
    <row r="22">
      <c r="A22" s="13" t="n"/>
      <c r="B22" s="14">
        <f>IF(OR(A22="",Configurações!$B$5=""),"",INT((A22-Configurações!$B$5)/7)+1)</f>
        <v/>
      </c>
      <c r="C22" s="15" t="n"/>
      <c r="D22" s="15" t="n"/>
      <c r="E22" s="15" t="n"/>
      <c r="F22" s="19" t="n"/>
      <c r="G22" s="19" t="n"/>
      <c r="H22" s="20">
        <f>IF(F22="","",F22*Configurações!$B$6+Configurações!$B$7)</f>
        <v/>
      </c>
      <c r="I22" s="20">
        <f>IF(F22="","",F22*Configurações!$B$8)</f>
        <v/>
      </c>
      <c r="J22" s="15" t="n"/>
      <c r="K22" s="20">
        <f>IF(F22="","",IF(J22="Sim",-H22-G22,F22-G22-H22-I22))</f>
        <v/>
      </c>
      <c r="M22" s="21" t="n"/>
      <c r="N22" s="22">
        <f>IF(OR(M22="",Configurações!$B$5=""),"",INT((M22-Configurações!$B$5)/7)+1)</f>
        <v/>
      </c>
      <c r="O22" s="23" t="n"/>
      <c r="P22" s="23" t="n"/>
      <c r="Q22" s="24" t="n"/>
    </row>
    <row r="23">
      <c r="A23" s="13" t="n"/>
      <c r="B23" s="14">
        <f>IF(OR(A23="",Configurações!$B$5=""),"",INT((A23-Configurações!$B$5)/7)+1)</f>
        <v/>
      </c>
      <c r="C23" s="15" t="n"/>
      <c r="D23" s="15" t="n"/>
      <c r="E23" s="15" t="n"/>
      <c r="F23" s="19" t="n"/>
      <c r="G23" s="19" t="n"/>
      <c r="H23" s="20">
        <f>IF(F23="","",F23*Configurações!$B$6+Configurações!$B$7)</f>
        <v/>
      </c>
      <c r="I23" s="20">
        <f>IF(F23="","",F23*Configurações!$B$8)</f>
        <v/>
      </c>
      <c r="J23" s="15" t="n"/>
      <c r="K23" s="20">
        <f>IF(F23="","",IF(J23="Sim",-H23-G23,F23-G23-H23-I23))</f>
        <v/>
      </c>
      <c r="M23" s="21" t="n"/>
      <c r="N23" s="22">
        <f>IF(OR(M23="",Configurações!$B$5=""),"",INT((M23-Configurações!$B$5)/7)+1)</f>
        <v/>
      </c>
      <c r="O23" s="23" t="n"/>
      <c r="P23" s="23" t="n"/>
      <c r="Q23" s="24" t="n"/>
    </row>
    <row r="24">
      <c r="A24" s="13" t="n"/>
      <c r="B24" s="14">
        <f>IF(OR(A24="",Configurações!$B$5=""),"",INT((A24-Configurações!$B$5)/7)+1)</f>
        <v/>
      </c>
      <c r="C24" s="15" t="n"/>
      <c r="D24" s="15" t="n"/>
      <c r="E24" s="15" t="n"/>
      <c r="F24" s="19" t="n"/>
      <c r="G24" s="19" t="n"/>
      <c r="H24" s="20">
        <f>IF(F24="","",F24*Configurações!$B$6+Configurações!$B$7)</f>
        <v/>
      </c>
      <c r="I24" s="20">
        <f>IF(F24="","",F24*Configurações!$B$8)</f>
        <v/>
      </c>
      <c r="J24" s="15" t="n"/>
      <c r="K24" s="20">
        <f>IF(F24="","",IF(J24="Sim",-H24-G24,F24-G24-H24-I24))</f>
        <v/>
      </c>
      <c r="M24" s="21" t="n"/>
      <c r="N24" s="22">
        <f>IF(OR(M24="",Configurações!$B$5=""),"",INT((M24-Configurações!$B$5)/7)+1)</f>
        <v/>
      </c>
      <c r="O24" s="23" t="n"/>
      <c r="P24" s="23" t="n"/>
      <c r="Q24" s="24" t="n"/>
    </row>
    <row r="25">
      <c r="A25" s="13" t="n"/>
      <c r="B25" s="14">
        <f>IF(OR(A25="",Configurações!$B$5=""),"",INT((A25-Configurações!$B$5)/7)+1)</f>
        <v/>
      </c>
      <c r="C25" s="15" t="n"/>
      <c r="D25" s="15" t="n"/>
      <c r="E25" s="15" t="n"/>
      <c r="F25" s="19" t="n"/>
      <c r="G25" s="19" t="n"/>
      <c r="H25" s="20">
        <f>IF(F25="","",F25*Configurações!$B$6+Configurações!$B$7)</f>
        <v/>
      </c>
      <c r="I25" s="20">
        <f>IF(F25="","",F25*Configurações!$B$8)</f>
        <v/>
      </c>
      <c r="J25" s="15" t="n"/>
      <c r="K25" s="20">
        <f>IF(F25="","",IF(J25="Sim",-H25-G25,F25-G25-H25-I25))</f>
        <v/>
      </c>
      <c r="M25" s="21" t="n"/>
      <c r="N25" s="22">
        <f>IF(OR(M25="",Configurações!$B$5=""),"",INT((M25-Configurações!$B$5)/7)+1)</f>
        <v/>
      </c>
      <c r="O25" s="23" t="n"/>
      <c r="P25" s="23" t="n"/>
      <c r="Q25" s="24" t="n"/>
    </row>
    <row r="26">
      <c r="A26" s="13" t="n"/>
      <c r="B26" s="14">
        <f>IF(OR(A26="",Configurações!$B$5=""),"",INT((A26-Configurações!$B$5)/7)+1)</f>
        <v/>
      </c>
      <c r="C26" s="15" t="n"/>
      <c r="D26" s="15" t="n"/>
      <c r="E26" s="15" t="n"/>
      <c r="F26" s="19" t="n"/>
      <c r="G26" s="19" t="n"/>
      <c r="H26" s="20">
        <f>IF(F26="","",F26*Configurações!$B$6+Configurações!$B$7)</f>
        <v/>
      </c>
      <c r="I26" s="20">
        <f>IF(F26="","",F26*Configurações!$B$8)</f>
        <v/>
      </c>
      <c r="J26" s="15" t="n"/>
      <c r="K26" s="20">
        <f>IF(F26="","",IF(J26="Sim",-H26-G26,F26-G26-H26-I26))</f>
        <v/>
      </c>
      <c r="M26" s="21" t="n"/>
      <c r="N26" s="22">
        <f>IF(OR(M26="",Configurações!$B$5=""),"",INT((M26-Configurações!$B$5)/7)+1)</f>
        <v/>
      </c>
      <c r="O26" s="23" t="n"/>
      <c r="P26" s="23" t="n"/>
      <c r="Q26" s="24" t="n"/>
    </row>
    <row r="27">
      <c r="A27" s="13" t="n"/>
      <c r="B27" s="14">
        <f>IF(OR(A27="",Configurações!$B$5=""),"",INT((A27-Configurações!$B$5)/7)+1)</f>
        <v/>
      </c>
      <c r="C27" s="15" t="n"/>
      <c r="D27" s="15" t="n"/>
      <c r="E27" s="15" t="n"/>
      <c r="F27" s="19" t="n"/>
      <c r="G27" s="19" t="n"/>
      <c r="H27" s="20">
        <f>IF(F27="","",F27*Configurações!$B$6+Configurações!$B$7)</f>
        <v/>
      </c>
      <c r="I27" s="20">
        <f>IF(F27="","",F27*Configurações!$B$8)</f>
        <v/>
      </c>
      <c r="J27" s="15" t="n"/>
      <c r="K27" s="20">
        <f>IF(F27="","",IF(J27="Sim",-H27-G27,F27-G27-H27-I27))</f>
        <v/>
      </c>
      <c r="M27" s="21" t="n"/>
      <c r="N27" s="22">
        <f>IF(OR(M27="",Configurações!$B$5=""),"",INT((M27-Configurações!$B$5)/7)+1)</f>
        <v/>
      </c>
      <c r="O27" s="23" t="n"/>
      <c r="P27" s="23" t="n"/>
      <c r="Q27" s="24" t="n"/>
    </row>
    <row r="28">
      <c r="A28" s="13" t="n"/>
      <c r="B28" s="14">
        <f>IF(OR(A28="",Configurações!$B$5=""),"",INT((A28-Configurações!$B$5)/7)+1)</f>
        <v/>
      </c>
      <c r="C28" s="15" t="n"/>
      <c r="D28" s="15" t="n"/>
      <c r="E28" s="15" t="n"/>
      <c r="F28" s="19" t="n"/>
      <c r="G28" s="19" t="n"/>
      <c r="H28" s="20">
        <f>IF(F28="","",F28*Configurações!$B$6+Configurações!$B$7)</f>
        <v/>
      </c>
      <c r="I28" s="20">
        <f>IF(F28="","",F28*Configurações!$B$8)</f>
        <v/>
      </c>
      <c r="J28" s="15" t="n"/>
      <c r="K28" s="20">
        <f>IF(F28="","",IF(J28="Sim",-H28-G28,F28-G28-H28-I28))</f>
        <v/>
      </c>
      <c r="M28" s="21" t="n"/>
      <c r="N28" s="22">
        <f>IF(OR(M28="",Configurações!$B$5=""),"",INT((M28-Configurações!$B$5)/7)+1)</f>
        <v/>
      </c>
      <c r="O28" s="23" t="n"/>
      <c r="P28" s="23" t="n"/>
      <c r="Q28" s="24" t="n"/>
    </row>
    <row r="29">
      <c r="A29" s="13" t="n"/>
      <c r="B29" s="14">
        <f>IF(OR(A29="",Configurações!$B$5=""),"",INT((A29-Configurações!$B$5)/7)+1)</f>
        <v/>
      </c>
      <c r="C29" s="15" t="n"/>
      <c r="D29" s="15" t="n"/>
      <c r="E29" s="15" t="n"/>
      <c r="F29" s="19" t="n"/>
      <c r="G29" s="19" t="n"/>
      <c r="H29" s="20">
        <f>IF(F29="","",F29*Configurações!$B$6+Configurações!$B$7)</f>
        <v/>
      </c>
      <c r="I29" s="20">
        <f>IF(F29="","",F29*Configurações!$B$8)</f>
        <v/>
      </c>
      <c r="J29" s="15" t="n"/>
      <c r="K29" s="20">
        <f>IF(F29="","",IF(J29="Sim",-H29-G29,F29-G29-H29-I29))</f>
        <v/>
      </c>
      <c r="M29" s="21" t="n"/>
      <c r="N29" s="22">
        <f>IF(OR(M29="",Configurações!$B$5=""),"",INT((M29-Configurações!$B$5)/7)+1)</f>
        <v/>
      </c>
      <c r="O29" s="23" t="n"/>
      <c r="P29" s="23" t="n"/>
      <c r="Q29" s="24" t="n"/>
    </row>
    <row r="30">
      <c r="A30" s="13" t="n"/>
      <c r="B30" s="14">
        <f>IF(OR(A30="",Configurações!$B$5=""),"",INT((A30-Configurações!$B$5)/7)+1)</f>
        <v/>
      </c>
      <c r="C30" s="15" t="n"/>
      <c r="D30" s="15" t="n"/>
      <c r="E30" s="15" t="n"/>
      <c r="F30" s="19" t="n"/>
      <c r="G30" s="19" t="n"/>
      <c r="H30" s="20">
        <f>IF(F30="","",F30*Configurações!$B$6+Configurações!$B$7)</f>
        <v/>
      </c>
      <c r="I30" s="20">
        <f>IF(F30="","",F30*Configurações!$B$8)</f>
        <v/>
      </c>
      <c r="J30" s="15" t="n"/>
      <c r="K30" s="20">
        <f>IF(F30="","",IF(J30="Sim",-H30-G30,F30-G30-H30-I30))</f>
        <v/>
      </c>
      <c r="M30" s="21" t="n"/>
      <c r="N30" s="22">
        <f>IF(OR(M30="",Configurações!$B$5=""),"",INT((M30-Configurações!$B$5)/7)+1)</f>
        <v/>
      </c>
      <c r="O30" s="23" t="n"/>
      <c r="P30" s="23" t="n"/>
      <c r="Q30" s="24" t="n"/>
    </row>
    <row r="31">
      <c r="A31" s="13" t="n"/>
      <c r="B31" s="14">
        <f>IF(OR(A31="",Configurações!$B$5=""),"",INT((A31-Configurações!$B$5)/7)+1)</f>
        <v/>
      </c>
      <c r="C31" s="15" t="n"/>
      <c r="D31" s="15" t="n"/>
      <c r="E31" s="15" t="n"/>
      <c r="F31" s="19" t="n"/>
      <c r="G31" s="19" t="n"/>
      <c r="H31" s="20">
        <f>IF(F31="","",F31*Configurações!$B$6+Configurações!$B$7)</f>
        <v/>
      </c>
      <c r="I31" s="20">
        <f>IF(F31="","",F31*Configurações!$B$8)</f>
        <v/>
      </c>
      <c r="J31" s="15" t="n"/>
      <c r="K31" s="20">
        <f>IF(F31="","",IF(J31="Sim",-H31-G31,F31-G31-H31-I31))</f>
        <v/>
      </c>
      <c r="M31" s="21" t="n"/>
      <c r="N31" s="22">
        <f>IF(OR(M31="",Configurações!$B$5=""),"",INT((M31-Configurações!$B$5)/7)+1)</f>
        <v/>
      </c>
      <c r="O31" s="23" t="n"/>
      <c r="P31" s="23" t="n"/>
      <c r="Q31" s="24" t="n"/>
    </row>
    <row r="32">
      <c r="A32" s="13" t="n"/>
      <c r="B32" s="14">
        <f>IF(OR(A32="",Configurações!$B$5=""),"",INT((A32-Configurações!$B$5)/7)+1)</f>
        <v/>
      </c>
      <c r="C32" s="15" t="n"/>
      <c r="D32" s="15" t="n"/>
      <c r="E32" s="15" t="n"/>
      <c r="F32" s="19" t="n"/>
      <c r="G32" s="19" t="n"/>
      <c r="H32" s="20">
        <f>IF(F32="","",F32*Configurações!$B$6+Configurações!$B$7)</f>
        <v/>
      </c>
      <c r="I32" s="20">
        <f>IF(F32="","",F32*Configurações!$B$8)</f>
        <v/>
      </c>
      <c r="J32" s="15" t="n"/>
      <c r="K32" s="20">
        <f>IF(F32="","",IF(J32="Sim",-H32-G32,F32-G32-H32-I32))</f>
        <v/>
      </c>
      <c r="M32" s="21" t="n"/>
      <c r="N32" s="22">
        <f>IF(OR(M32="",Configurações!$B$5=""),"",INT((M32-Configurações!$B$5)/7)+1)</f>
        <v/>
      </c>
      <c r="O32" s="23" t="n"/>
      <c r="P32" s="23" t="n"/>
      <c r="Q32" s="24" t="n"/>
    </row>
    <row r="33">
      <c r="A33" s="13" t="n"/>
      <c r="B33" s="14">
        <f>IF(OR(A33="",Configurações!$B$5=""),"",INT((A33-Configurações!$B$5)/7)+1)</f>
        <v/>
      </c>
      <c r="C33" s="15" t="n"/>
      <c r="D33" s="15" t="n"/>
      <c r="E33" s="15" t="n"/>
      <c r="F33" s="19" t="n"/>
      <c r="G33" s="19" t="n"/>
      <c r="H33" s="20">
        <f>IF(F33="","",F33*Configurações!$B$6+Configurações!$B$7)</f>
        <v/>
      </c>
      <c r="I33" s="20">
        <f>IF(F33="","",F33*Configurações!$B$8)</f>
        <v/>
      </c>
      <c r="J33" s="15" t="n"/>
      <c r="K33" s="20">
        <f>IF(F33="","",IF(J33="Sim",-H33-G33,F33-G33-H33-I33))</f>
        <v/>
      </c>
      <c r="M33" s="21" t="n"/>
      <c r="N33" s="22">
        <f>IF(OR(M33="",Configurações!$B$5=""),"",INT((M33-Configurações!$B$5)/7)+1)</f>
        <v/>
      </c>
      <c r="O33" s="23" t="n"/>
      <c r="P33" s="23" t="n"/>
      <c r="Q33" s="24" t="n"/>
    </row>
    <row r="34">
      <c r="A34" s="13" t="n"/>
      <c r="B34" s="14">
        <f>IF(OR(A34="",Configurações!$B$5=""),"",INT((A34-Configurações!$B$5)/7)+1)</f>
        <v/>
      </c>
      <c r="C34" s="15" t="n"/>
      <c r="D34" s="15" t="n"/>
      <c r="E34" s="15" t="n"/>
      <c r="F34" s="19" t="n"/>
      <c r="G34" s="19" t="n"/>
      <c r="H34" s="20">
        <f>IF(F34="","",F34*Configurações!$B$6+Configurações!$B$7)</f>
        <v/>
      </c>
      <c r="I34" s="20">
        <f>IF(F34="","",F34*Configurações!$B$8)</f>
        <v/>
      </c>
      <c r="J34" s="15" t="n"/>
      <c r="K34" s="20">
        <f>IF(F34="","",IF(J34="Sim",-H34-G34,F34-G34-H34-I34))</f>
        <v/>
      </c>
      <c r="M34" s="21" t="n"/>
      <c r="N34" s="22">
        <f>IF(OR(M34="",Configurações!$B$5=""),"",INT((M34-Configurações!$B$5)/7)+1)</f>
        <v/>
      </c>
      <c r="O34" s="23" t="n"/>
      <c r="P34" s="23" t="n"/>
      <c r="Q34" s="24" t="n"/>
    </row>
    <row r="35">
      <c r="A35" s="13" t="n"/>
      <c r="B35" s="14">
        <f>IF(OR(A35="",Configurações!$B$5=""),"",INT((A35-Configurações!$B$5)/7)+1)</f>
        <v/>
      </c>
      <c r="C35" s="15" t="n"/>
      <c r="D35" s="15" t="n"/>
      <c r="E35" s="15" t="n"/>
      <c r="F35" s="19" t="n"/>
      <c r="G35" s="19" t="n"/>
      <c r="H35" s="20">
        <f>IF(F35="","",F35*Configurações!$B$6+Configurações!$B$7)</f>
        <v/>
      </c>
      <c r="I35" s="20">
        <f>IF(F35="","",F35*Configurações!$B$8)</f>
        <v/>
      </c>
      <c r="J35" s="15" t="n"/>
      <c r="K35" s="20">
        <f>IF(F35="","",IF(J35="Sim",-H35-G35,F35-G35-H35-I35))</f>
        <v/>
      </c>
      <c r="M35" s="21" t="n"/>
      <c r="N35" s="22">
        <f>IF(OR(M35="",Configurações!$B$5=""),"",INT((M35-Configurações!$B$5)/7)+1)</f>
        <v/>
      </c>
      <c r="O35" s="23" t="n"/>
      <c r="P35" s="23" t="n"/>
      <c r="Q35" s="24" t="n"/>
    </row>
    <row r="36">
      <c r="A36" s="13" t="n"/>
      <c r="B36" s="14">
        <f>IF(OR(A36="",Configurações!$B$5=""),"",INT((A36-Configurações!$B$5)/7)+1)</f>
        <v/>
      </c>
      <c r="C36" s="15" t="n"/>
      <c r="D36" s="15" t="n"/>
      <c r="E36" s="15" t="n"/>
      <c r="F36" s="19" t="n"/>
      <c r="G36" s="19" t="n"/>
      <c r="H36" s="20">
        <f>IF(F36="","",F36*Configurações!$B$6+Configurações!$B$7)</f>
        <v/>
      </c>
      <c r="I36" s="20">
        <f>IF(F36="","",F36*Configurações!$B$8)</f>
        <v/>
      </c>
      <c r="J36" s="15" t="n"/>
      <c r="K36" s="20">
        <f>IF(F36="","",IF(J36="Sim",-H36-G36,F36-G36-H36-I36))</f>
        <v/>
      </c>
      <c r="M36" s="21" t="n"/>
      <c r="N36" s="22">
        <f>IF(OR(M36="",Configurações!$B$5=""),"",INT((M36-Configurações!$B$5)/7)+1)</f>
        <v/>
      </c>
      <c r="O36" s="23" t="n"/>
      <c r="P36" s="23" t="n"/>
      <c r="Q36" s="24" t="n"/>
    </row>
    <row r="37">
      <c r="A37" s="13" t="n"/>
      <c r="B37" s="14">
        <f>IF(OR(A37="",Configurações!$B$5=""),"",INT((A37-Configurações!$B$5)/7)+1)</f>
        <v/>
      </c>
      <c r="C37" s="15" t="n"/>
      <c r="D37" s="15" t="n"/>
      <c r="E37" s="15" t="n"/>
      <c r="F37" s="19" t="n"/>
      <c r="G37" s="19" t="n"/>
      <c r="H37" s="20">
        <f>IF(F37="","",F37*Configurações!$B$6+Configurações!$B$7)</f>
        <v/>
      </c>
      <c r="I37" s="20">
        <f>IF(F37="","",F37*Configurações!$B$8)</f>
        <v/>
      </c>
      <c r="J37" s="15" t="n"/>
      <c r="K37" s="20">
        <f>IF(F37="","",IF(J37="Sim",-H37-G37,F37-G37-H37-I37))</f>
        <v/>
      </c>
      <c r="M37" s="21" t="n"/>
      <c r="N37" s="22">
        <f>IF(OR(M37="",Configurações!$B$5=""),"",INT((M37-Configurações!$B$5)/7)+1)</f>
        <v/>
      </c>
      <c r="O37" s="23" t="n"/>
      <c r="P37" s="23" t="n"/>
      <c r="Q37" s="24" t="n"/>
    </row>
    <row r="38">
      <c r="A38" s="13" t="n"/>
      <c r="B38" s="14">
        <f>IF(OR(A38="",Configurações!$B$5=""),"",INT((A38-Configurações!$B$5)/7)+1)</f>
        <v/>
      </c>
      <c r="C38" s="15" t="n"/>
      <c r="D38" s="15" t="n"/>
      <c r="E38" s="15" t="n"/>
      <c r="F38" s="19" t="n"/>
      <c r="G38" s="19" t="n"/>
      <c r="H38" s="20">
        <f>IF(F38="","",F38*Configurações!$B$6+Configurações!$B$7)</f>
        <v/>
      </c>
      <c r="I38" s="20">
        <f>IF(F38="","",F38*Configurações!$B$8)</f>
        <v/>
      </c>
      <c r="J38" s="15" t="n"/>
      <c r="K38" s="20">
        <f>IF(F38="","",IF(J38="Sim",-H38-G38,F38-G38-H38-I38))</f>
        <v/>
      </c>
      <c r="M38" s="21" t="n"/>
      <c r="N38" s="22">
        <f>IF(OR(M38="",Configurações!$B$5=""),"",INT((M38-Configurações!$B$5)/7)+1)</f>
        <v/>
      </c>
      <c r="O38" s="23" t="n"/>
      <c r="P38" s="23" t="n"/>
      <c r="Q38" s="24" t="n"/>
    </row>
    <row r="39">
      <c r="A39" s="13" t="n"/>
      <c r="B39" s="14">
        <f>IF(OR(A39="",Configurações!$B$5=""),"",INT((A39-Configurações!$B$5)/7)+1)</f>
        <v/>
      </c>
      <c r="C39" s="15" t="n"/>
      <c r="D39" s="15" t="n"/>
      <c r="E39" s="15" t="n"/>
      <c r="F39" s="19" t="n"/>
      <c r="G39" s="19" t="n"/>
      <c r="H39" s="20">
        <f>IF(F39="","",F39*Configurações!$B$6+Configurações!$B$7)</f>
        <v/>
      </c>
      <c r="I39" s="20">
        <f>IF(F39="","",F39*Configurações!$B$8)</f>
        <v/>
      </c>
      <c r="J39" s="15" t="n"/>
      <c r="K39" s="20">
        <f>IF(F39="","",IF(J39="Sim",-H39-G39,F39-G39-H39-I39))</f>
        <v/>
      </c>
      <c r="M39" s="21" t="n"/>
      <c r="N39" s="22">
        <f>IF(OR(M39="",Configurações!$B$5=""),"",INT((M39-Configurações!$B$5)/7)+1)</f>
        <v/>
      </c>
      <c r="O39" s="23" t="n"/>
      <c r="P39" s="23" t="n"/>
      <c r="Q39" s="24" t="n"/>
    </row>
    <row r="40">
      <c r="A40" s="13" t="n"/>
      <c r="B40" s="14">
        <f>IF(OR(A40="",Configurações!$B$5=""),"",INT((A40-Configurações!$B$5)/7)+1)</f>
        <v/>
      </c>
      <c r="C40" s="15" t="n"/>
      <c r="D40" s="15" t="n"/>
      <c r="E40" s="15" t="n"/>
      <c r="F40" s="19" t="n"/>
      <c r="G40" s="19" t="n"/>
      <c r="H40" s="20">
        <f>IF(F40="","",F40*Configurações!$B$6+Configurações!$B$7)</f>
        <v/>
      </c>
      <c r="I40" s="20">
        <f>IF(F40="","",F40*Configurações!$B$8)</f>
        <v/>
      </c>
      <c r="J40" s="15" t="n"/>
      <c r="K40" s="20">
        <f>IF(F40="","",IF(J40="Sim",-H40-G40,F40-G40-H40-I40))</f>
        <v/>
      </c>
      <c r="M40" s="21" t="n"/>
      <c r="N40" s="22">
        <f>IF(OR(M40="",Configurações!$B$5=""),"",INT((M40-Configurações!$B$5)/7)+1)</f>
        <v/>
      </c>
      <c r="O40" s="23" t="n"/>
      <c r="P40" s="23" t="n"/>
      <c r="Q40" s="24" t="n"/>
    </row>
    <row r="41">
      <c r="A41" s="13" t="n"/>
      <c r="B41" s="14">
        <f>IF(OR(A41="",Configurações!$B$5=""),"",INT((A41-Configurações!$B$5)/7)+1)</f>
        <v/>
      </c>
      <c r="C41" s="15" t="n"/>
      <c r="D41" s="15" t="n"/>
      <c r="E41" s="15" t="n"/>
      <c r="F41" s="19" t="n"/>
      <c r="G41" s="19" t="n"/>
      <c r="H41" s="20">
        <f>IF(F41="","",F41*Configurações!$B$6+Configurações!$B$7)</f>
        <v/>
      </c>
      <c r="I41" s="20">
        <f>IF(F41="","",F41*Configurações!$B$8)</f>
        <v/>
      </c>
      <c r="J41" s="15" t="n"/>
      <c r="K41" s="20">
        <f>IF(F41="","",IF(J41="Sim",-H41-G41,F41-G41-H41-I41))</f>
        <v/>
      </c>
      <c r="M41" s="21" t="n"/>
      <c r="N41" s="22">
        <f>IF(OR(M41="",Configurações!$B$5=""),"",INT((M41-Configurações!$B$5)/7)+1)</f>
        <v/>
      </c>
      <c r="O41" s="23" t="n"/>
      <c r="P41" s="23" t="n"/>
      <c r="Q41" s="24" t="n"/>
    </row>
    <row r="42">
      <c r="A42" s="13" t="n"/>
      <c r="B42" s="14">
        <f>IF(OR(A42="",Configurações!$B$5=""),"",INT((A42-Configurações!$B$5)/7)+1)</f>
        <v/>
      </c>
      <c r="C42" s="15" t="n"/>
      <c r="D42" s="15" t="n"/>
      <c r="E42" s="15" t="n"/>
      <c r="F42" s="19" t="n"/>
      <c r="G42" s="19" t="n"/>
      <c r="H42" s="20">
        <f>IF(F42="","",F42*Configurações!$B$6+Configurações!$B$7)</f>
        <v/>
      </c>
      <c r="I42" s="20">
        <f>IF(F42="","",F42*Configurações!$B$8)</f>
        <v/>
      </c>
      <c r="J42" s="15" t="n"/>
      <c r="K42" s="20">
        <f>IF(F42="","",IF(J42="Sim",-H42-G42,F42-G42-H42-I42))</f>
        <v/>
      </c>
      <c r="M42" s="21" t="n"/>
      <c r="N42" s="22">
        <f>IF(OR(M42="",Configurações!$B$5=""),"",INT((M42-Configurações!$B$5)/7)+1)</f>
        <v/>
      </c>
      <c r="O42" s="23" t="n"/>
      <c r="P42" s="23" t="n"/>
      <c r="Q42" s="24" t="n"/>
    </row>
    <row r="43">
      <c r="A43" s="13" t="n"/>
      <c r="B43" s="14">
        <f>IF(OR(A43="",Configurações!$B$5=""),"",INT((A43-Configurações!$B$5)/7)+1)</f>
        <v/>
      </c>
      <c r="C43" s="15" t="n"/>
      <c r="D43" s="15" t="n"/>
      <c r="E43" s="15" t="n"/>
      <c r="F43" s="19" t="n"/>
      <c r="G43" s="19" t="n"/>
      <c r="H43" s="20">
        <f>IF(F43="","",F43*Configurações!$B$6+Configurações!$B$7)</f>
        <v/>
      </c>
      <c r="I43" s="20">
        <f>IF(F43="","",F43*Configurações!$B$8)</f>
        <v/>
      </c>
      <c r="J43" s="15" t="n"/>
      <c r="K43" s="20">
        <f>IF(F43="","",IF(J43="Sim",-H43-G43,F43-G43-H43-I43))</f>
        <v/>
      </c>
      <c r="M43" s="21" t="n"/>
      <c r="N43" s="22">
        <f>IF(OR(M43="",Configurações!$B$5=""),"",INT((M43-Configurações!$B$5)/7)+1)</f>
        <v/>
      </c>
      <c r="O43" s="23" t="n"/>
      <c r="P43" s="23" t="n"/>
      <c r="Q43" s="24" t="n"/>
    </row>
    <row r="44">
      <c r="A44" s="13" t="n"/>
      <c r="B44" s="14">
        <f>IF(OR(A44="",Configurações!$B$5=""),"",INT((A44-Configurações!$B$5)/7)+1)</f>
        <v/>
      </c>
      <c r="C44" s="15" t="n"/>
      <c r="D44" s="15" t="n"/>
      <c r="E44" s="15" t="n"/>
      <c r="F44" s="19" t="n"/>
      <c r="G44" s="19" t="n"/>
      <c r="H44" s="20">
        <f>IF(F44="","",F44*Configurações!$B$6+Configurações!$B$7)</f>
        <v/>
      </c>
      <c r="I44" s="20">
        <f>IF(F44="","",F44*Configurações!$B$8)</f>
        <v/>
      </c>
      <c r="J44" s="15" t="n"/>
      <c r="K44" s="20">
        <f>IF(F44="","",IF(J44="Sim",-H44-G44,F44-G44-H44-I44))</f>
        <v/>
      </c>
      <c r="M44" s="21" t="n"/>
      <c r="N44" s="22">
        <f>IF(OR(M44="",Configurações!$B$5=""),"",INT((M44-Configurações!$B$5)/7)+1)</f>
        <v/>
      </c>
      <c r="O44" s="23" t="n"/>
      <c r="P44" s="23" t="n"/>
      <c r="Q44" s="24" t="n"/>
    </row>
    <row r="45">
      <c r="A45" s="13" t="n"/>
      <c r="B45" s="14">
        <f>IF(OR(A45="",Configurações!$B$5=""),"",INT((A45-Configurações!$B$5)/7)+1)</f>
        <v/>
      </c>
      <c r="C45" s="15" t="n"/>
      <c r="D45" s="15" t="n"/>
      <c r="E45" s="15" t="n"/>
      <c r="F45" s="19" t="n"/>
      <c r="G45" s="19" t="n"/>
      <c r="H45" s="20">
        <f>IF(F45="","",F45*Configurações!$B$6+Configurações!$B$7)</f>
        <v/>
      </c>
      <c r="I45" s="20">
        <f>IF(F45="","",F45*Configurações!$B$8)</f>
        <v/>
      </c>
      <c r="J45" s="15" t="n"/>
      <c r="K45" s="20">
        <f>IF(F45="","",IF(J45="Sim",-H45-G45,F45-G45-H45-I45))</f>
        <v/>
      </c>
      <c r="M45" s="21" t="n"/>
      <c r="N45" s="22">
        <f>IF(OR(M45="",Configurações!$B$5=""),"",INT((M45-Configurações!$B$5)/7)+1)</f>
        <v/>
      </c>
      <c r="O45" s="23" t="n"/>
      <c r="P45" s="23" t="n"/>
      <c r="Q45" s="24" t="n"/>
    </row>
    <row r="46">
      <c r="A46" s="13" t="n"/>
      <c r="B46" s="14">
        <f>IF(OR(A46="",Configurações!$B$5=""),"",INT((A46-Configurações!$B$5)/7)+1)</f>
        <v/>
      </c>
      <c r="C46" s="15" t="n"/>
      <c r="D46" s="15" t="n"/>
      <c r="E46" s="15" t="n"/>
      <c r="F46" s="19" t="n"/>
      <c r="G46" s="19" t="n"/>
      <c r="H46" s="20">
        <f>IF(F46="","",F46*Configurações!$B$6+Configurações!$B$7)</f>
        <v/>
      </c>
      <c r="I46" s="20">
        <f>IF(F46="","",F46*Configurações!$B$8)</f>
        <v/>
      </c>
      <c r="J46" s="15" t="n"/>
      <c r="K46" s="20">
        <f>IF(F46="","",IF(J46="Sim",-H46-G46,F46-G46-H46-I46))</f>
        <v/>
      </c>
      <c r="M46" s="21" t="n"/>
      <c r="N46" s="22">
        <f>IF(OR(M46="",Configurações!$B$5=""),"",INT((M46-Configurações!$B$5)/7)+1)</f>
        <v/>
      </c>
      <c r="O46" s="23" t="n"/>
      <c r="P46" s="23" t="n"/>
      <c r="Q46" s="24" t="n"/>
    </row>
    <row r="47">
      <c r="A47" s="13" t="n"/>
      <c r="B47" s="14">
        <f>IF(OR(A47="",Configurações!$B$5=""),"",INT((A47-Configurações!$B$5)/7)+1)</f>
        <v/>
      </c>
      <c r="C47" s="15" t="n"/>
      <c r="D47" s="15" t="n"/>
      <c r="E47" s="15" t="n"/>
      <c r="F47" s="19" t="n"/>
      <c r="G47" s="19" t="n"/>
      <c r="H47" s="20">
        <f>IF(F47="","",F47*Configurações!$B$6+Configurações!$B$7)</f>
        <v/>
      </c>
      <c r="I47" s="20">
        <f>IF(F47="","",F47*Configurações!$B$8)</f>
        <v/>
      </c>
      <c r="J47" s="15" t="n"/>
      <c r="K47" s="20">
        <f>IF(F47="","",IF(J47="Sim",-H47-G47,F47-G47-H47-I47))</f>
        <v/>
      </c>
      <c r="M47" s="21" t="n"/>
      <c r="N47" s="22">
        <f>IF(OR(M47="",Configurações!$B$5=""),"",INT((M47-Configurações!$B$5)/7)+1)</f>
        <v/>
      </c>
      <c r="O47" s="23" t="n"/>
      <c r="P47" s="23" t="n"/>
      <c r="Q47" s="24" t="n"/>
    </row>
    <row r="48">
      <c r="A48" s="13" t="n"/>
      <c r="B48" s="14">
        <f>IF(OR(A48="",Configurações!$B$5=""),"",INT((A48-Configurações!$B$5)/7)+1)</f>
        <v/>
      </c>
      <c r="C48" s="15" t="n"/>
      <c r="D48" s="15" t="n"/>
      <c r="E48" s="15" t="n"/>
      <c r="F48" s="19" t="n"/>
      <c r="G48" s="19" t="n"/>
      <c r="H48" s="20">
        <f>IF(F48="","",F48*Configurações!$B$6+Configurações!$B$7)</f>
        <v/>
      </c>
      <c r="I48" s="20">
        <f>IF(F48="","",F48*Configurações!$B$8)</f>
        <v/>
      </c>
      <c r="J48" s="15" t="n"/>
      <c r="K48" s="20">
        <f>IF(F48="","",IF(J48="Sim",-H48-G48,F48-G48-H48-I48))</f>
        <v/>
      </c>
      <c r="M48" s="21" t="n"/>
      <c r="N48" s="22">
        <f>IF(OR(M48="",Configurações!$B$5=""),"",INT((M48-Configurações!$B$5)/7)+1)</f>
        <v/>
      </c>
      <c r="O48" s="23" t="n"/>
      <c r="P48" s="23" t="n"/>
      <c r="Q48" s="24" t="n"/>
    </row>
    <row r="49">
      <c r="A49" s="13" t="n"/>
      <c r="B49" s="14">
        <f>IF(OR(A49="",Configurações!$B$5=""),"",INT((A49-Configurações!$B$5)/7)+1)</f>
        <v/>
      </c>
      <c r="C49" s="15" t="n"/>
      <c r="D49" s="15" t="n"/>
      <c r="E49" s="15" t="n"/>
      <c r="F49" s="19" t="n"/>
      <c r="G49" s="19" t="n"/>
      <c r="H49" s="20">
        <f>IF(F49="","",F49*Configurações!$B$6+Configurações!$B$7)</f>
        <v/>
      </c>
      <c r="I49" s="20">
        <f>IF(F49="","",F49*Configurações!$B$8)</f>
        <v/>
      </c>
      <c r="J49" s="15" t="n"/>
      <c r="K49" s="20">
        <f>IF(F49="","",IF(J49="Sim",-H49-G49,F49-G49-H49-I49))</f>
        <v/>
      </c>
      <c r="M49" s="21" t="n"/>
      <c r="N49" s="22">
        <f>IF(OR(M49="",Configurações!$B$5=""),"",INT((M49-Configurações!$B$5)/7)+1)</f>
        <v/>
      </c>
      <c r="O49" s="23" t="n"/>
      <c r="P49" s="23" t="n"/>
      <c r="Q49" s="24" t="n"/>
    </row>
    <row r="50">
      <c r="A50" s="13" t="n"/>
      <c r="B50" s="14">
        <f>IF(OR(A50="",Configurações!$B$5=""),"",INT((A50-Configurações!$B$5)/7)+1)</f>
        <v/>
      </c>
      <c r="C50" s="15" t="n"/>
      <c r="D50" s="15" t="n"/>
      <c r="E50" s="15" t="n"/>
      <c r="F50" s="19" t="n"/>
      <c r="G50" s="19" t="n"/>
      <c r="H50" s="20">
        <f>IF(F50="","",F50*Configurações!$B$6+Configurações!$B$7)</f>
        <v/>
      </c>
      <c r="I50" s="20">
        <f>IF(F50="","",F50*Configurações!$B$8)</f>
        <v/>
      </c>
      <c r="J50" s="15" t="n"/>
      <c r="K50" s="20">
        <f>IF(F50="","",IF(J50="Sim",-H50-G50,F50-G50-H50-I50))</f>
        <v/>
      </c>
      <c r="M50" s="21" t="n"/>
      <c r="N50" s="22">
        <f>IF(OR(M50="",Configurações!$B$5=""),"",INT((M50-Configurações!$B$5)/7)+1)</f>
        <v/>
      </c>
      <c r="O50" s="23" t="n"/>
      <c r="P50" s="23" t="n"/>
      <c r="Q50" s="24" t="n"/>
    </row>
    <row r="51">
      <c r="A51" s="13" t="n"/>
      <c r="B51" s="14">
        <f>IF(OR(A51="",Configurações!$B$5=""),"",INT((A51-Configurações!$B$5)/7)+1)</f>
        <v/>
      </c>
      <c r="C51" s="15" t="n"/>
      <c r="D51" s="15" t="n"/>
      <c r="E51" s="15" t="n"/>
      <c r="F51" s="19" t="n"/>
      <c r="G51" s="19" t="n"/>
      <c r="H51" s="20">
        <f>IF(F51="","",F51*Configurações!$B$6+Configurações!$B$7)</f>
        <v/>
      </c>
      <c r="I51" s="20">
        <f>IF(F51="","",F51*Configurações!$B$8)</f>
        <v/>
      </c>
      <c r="J51" s="15" t="n"/>
      <c r="K51" s="20">
        <f>IF(F51="","",IF(J51="Sim",-H51-G51,F51-G51-H51-I51))</f>
        <v/>
      </c>
      <c r="M51" s="21" t="n"/>
      <c r="N51" s="22">
        <f>IF(OR(M51="",Configurações!$B$5=""),"",INT((M51-Configurações!$B$5)/7)+1)</f>
        <v/>
      </c>
      <c r="O51" s="23" t="n"/>
      <c r="P51" s="23" t="n"/>
      <c r="Q51" s="24" t="n"/>
    </row>
    <row r="52">
      <c r="A52" s="13" t="n"/>
      <c r="B52" s="14">
        <f>IF(OR(A52="",Configurações!$B$5=""),"",INT((A52-Configurações!$B$5)/7)+1)</f>
        <v/>
      </c>
      <c r="C52" s="15" t="n"/>
      <c r="D52" s="15" t="n"/>
      <c r="E52" s="15" t="n"/>
      <c r="F52" s="19" t="n"/>
      <c r="G52" s="19" t="n"/>
      <c r="H52" s="20">
        <f>IF(F52="","",F52*Configurações!$B$6+Configurações!$B$7)</f>
        <v/>
      </c>
      <c r="I52" s="20">
        <f>IF(F52="","",F52*Configurações!$B$8)</f>
        <v/>
      </c>
      <c r="J52" s="15" t="n"/>
      <c r="K52" s="20">
        <f>IF(F52="","",IF(J52="Sim",-H52-G52,F52-G52-H52-I52))</f>
        <v/>
      </c>
      <c r="M52" s="21" t="n"/>
      <c r="N52" s="22">
        <f>IF(OR(M52="",Configurações!$B$5=""),"",INT((M52-Configurações!$B$5)/7)+1)</f>
        <v/>
      </c>
      <c r="O52" s="23" t="n"/>
      <c r="P52" s="23" t="n"/>
      <c r="Q52" s="24" t="n"/>
    </row>
    <row r="53">
      <c r="A53" s="13" t="n"/>
      <c r="B53" s="14">
        <f>IF(OR(A53="",Configurações!$B$5=""),"",INT((A53-Configurações!$B$5)/7)+1)</f>
        <v/>
      </c>
      <c r="C53" s="15" t="n"/>
      <c r="D53" s="15" t="n"/>
      <c r="E53" s="15" t="n"/>
      <c r="F53" s="19" t="n"/>
      <c r="G53" s="19" t="n"/>
      <c r="H53" s="20">
        <f>IF(F53="","",F53*Configurações!$B$6+Configurações!$B$7)</f>
        <v/>
      </c>
      <c r="I53" s="20">
        <f>IF(F53="","",F53*Configurações!$B$8)</f>
        <v/>
      </c>
      <c r="J53" s="15" t="n"/>
      <c r="K53" s="20">
        <f>IF(F53="","",IF(J53="Sim",-H53-G53,F53-G53-H53-I53))</f>
        <v/>
      </c>
      <c r="M53" s="21" t="n"/>
      <c r="N53" s="22">
        <f>IF(OR(M53="",Configurações!$B$5=""),"",INT((M53-Configurações!$B$5)/7)+1)</f>
        <v/>
      </c>
      <c r="O53" s="23" t="n"/>
      <c r="P53" s="23" t="n"/>
      <c r="Q53" s="24" t="n"/>
    </row>
    <row r="54">
      <c r="A54" s="13" t="n"/>
      <c r="B54" s="14">
        <f>IF(OR(A54="",Configurações!$B$5=""),"",INT((A54-Configurações!$B$5)/7)+1)</f>
        <v/>
      </c>
      <c r="C54" s="15" t="n"/>
      <c r="D54" s="15" t="n"/>
      <c r="E54" s="15" t="n"/>
      <c r="F54" s="19" t="n"/>
      <c r="G54" s="19" t="n"/>
      <c r="H54" s="20">
        <f>IF(F54="","",F54*Configurações!$B$6+Configurações!$B$7)</f>
        <v/>
      </c>
      <c r="I54" s="20">
        <f>IF(F54="","",F54*Configurações!$B$8)</f>
        <v/>
      </c>
      <c r="J54" s="15" t="n"/>
      <c r="K54" s="20">
        <f>IF(F54="","",IF(J54="Sim",-H54-G54,F54-G54-H54-I54))</f>
        <v/>
      </c>
      <c r="M54" s="21" t="n"/>
      <c r="N54" s="22">
        <f>IF(OR(M54="",Configurações!$B$5=""),"",INT((M54-Configurações!$B$5)/7)+1)</f>
        <v/>
      </c>
      <c r="O54" s="23" t="n"/>
      <c r="P54" s="23" t="n"/>
      <c r="Q54" s="24" t="n"/>
    </row>
    <row r="55">
      <c r="A55" s="13" t="n"/>
      <c r="B55" s="14">
        <f>IF(OR(A55="",Configurações!$B$5=""),"",INT((A55-Configurações!$B$5)/7)+1)</f>
        <v/>
      </c>
      <c r="C55" s="15" t="n"/>
      <c r="D55" s="15" t="n"/>
      <c r="E55" s="15" t="n"/>
      <c r="F55" s="19" t="n"/>
      <c r="G55" s="19" t="n"/>
      <c r="H55" s="20">
        <f>IF(F55="","",F55*Configurações!$B$6+Configurações!$B$7)</f>
        <v/>
      </c>
      <c r="I55" s="20">
        <f>IF(F55="","",F55*Configurações!$B$8)</f>
        <v/>
      </c>
      <c r="J55" s="15" t="n"/>
      <c r="K55" s="20">
        <f>IF(F55="","",IF(J55="Sim",-H55-G55,F55-G55-H55-I55))</f>
        <v/>
      </c>
      <c r="M55" s="21" t="n"/>
      <c r="N55" s="22">
        <f>IF(OR(M55="",Configurações!$B$5=""),"",INT((M55-Configurações!$B$5)/7)+1)</f>
        <v/>
      </c>
      <c r="O55" s="23" t="n"/>
      <c r="P55" s="23" t="n"/>
      <c r="Q55" s="24" t="n"/>
    </row>
    <row r="56">
      <c r="A56" s="13" t="n"/>
      <c r="B56" s="14">
        <f>IF(OR(A56="",Configurações!$B$5=""),"",INT((A56-Configurações!$B$5)/7)+1)</f>
        <v/>
      </c>
      <c r="C56" s="15" t="n"/>
      <c r="D56" s="15" t="n"/>
      <c r="E56" s="15" t="n"/>
      <c r="F56" s="19" t="n"/>
      <c r="G56" s="19" t="n"/>
      <c r="H56" s="20">
        <f>IF(F56="","",F56*Configurações!$B$6+Configurações!$B$7)</f>
        <v/>
      </c>
      <c r="I56" s="20">
        <f>IF(F56="","",F56*Configurações!$B$8)</f>
        <v/>
      </c>
      <c r="J56" s="15" t="n"/>
      <c r="K56" s="20">
        <f>IF(F56="","",IF(J56="Sim",-H56-G56,F56-G56-H56-I56))</f>
        <v/>
      </c>
      <c r="M56" s="21" t="n"/>
      <c r="N56" s="22">
        <f>IF(OR(M56="",Configurações!$B$5=""),"",INT((M56-Configurações!$B$5)/7)+1)</f>
        <v/>
      </c>
      <c r="O56" s="23" t="n"/>
      <c r="P56" s="23" t="n"/>
      <c r="Q56" s="24" t="n"/>
    </row>
    <row r="57">
      <c r="A57" s="13" t="n"/>
      <c r="B57" s="14">
        <f>IF(OR(A57="",Configurações!$B$5=""),"",INT((A57-Configurações!$B$5)/7)+1)</f>
        <v/>
      </c>
      <c r="C57" s="15" t="n"/>
      <c r="D57" s="15" t="n"/>
      <c r="E57" s="15" t="n"/>
      <c r="F57" s="19" t="n"/>
      <c r="G57" s="19" t="n"/>
      <c r="H57" s="20">
        <f>IF(F57="","",F57*Configurações!$B$6+Configurações!$B$7)</f>
        <v/>
      </c>
      <c r="I57" s="20">
        <f>IF(F57="","",F57*Configurações!$B$8)</f>
        <v/>
      </c>
      <c r="J57" s="15" t="n"/>
      <c r="K57" s="20">
        <f>IF(F57="","",IF(J57="Sim",-H57-G57,F57-G57-H57-I57))</f>
        <v/>
      </c>
      <c r="M57" s="21" t="n"/>
      <c r="N57" s="22">
        <f>IF(OR(M57="",Configurações!$B$5=""),"",INT((M57-Configurações!$B$5)/7)+1)</f>
        <v/>
      </c>
      <c r="O57" s="23" t="n"/>
      <c r="P57" s="23" t="n"/>
      <c r="Q57" s="24" t="n"/>
    </row>
    <row r="58">
      <c r="A58" s="13" t="n"/>
      <c r="B58" s="14">
        <f>IF(OR(A58="",Configurações!$B$5=""),"",INT((A58-Configurações!$B$5)/7)+1)</f>
        <v/>
      </c>
      <c r="C58" s="15" t="n"/>
      <c r="D58" s="15" t="n"/>
      <c r="E58" s="15" t="n"/>
      <c r="F58" s="19" t="n"/>
      <c r="G58" s="19" t="n"/>
      <c r="H58" s="20">
        <f>IF(F58="","",F58*Configurações!$B$6+Configurações!$B$7)</f>
        <v/>
      </c>
      <c r="I58" s="20">
        <f>IF(F58="","",F58*Configurações!$B$8)</f>
        <v/>
      </c>
      <c r="J58" s="15" t="n"/>
      <c r="K58" s="20">
        <f>IF(F58="","",IF(J58="Sim",-H58-G58,F58-G58-H58-I58))</f>
        <v/>
      </c>
      <c r="M58" s="21" t="n"/>
      <c r="N58" s="22">
        <f>IF(OR(M58="",Configurações!$B$5=""),"",INT((M58-Configurações!$B$5)/7)+1)</f>
        <v/>
      </c>
      <c r="O58" s="23" t="n"/>
      <c r="P58" s="23" t="n"/>
      <c r="Q58" s="24" t="n"/>
    </row>
    <row r="59">
      <c r="A59" s="13" t="n"/>
      <c r="B59" s="14">
        <f>IF(OR(A59="",Configurações!$B$5=""),"",INT((A59-Configurações!$B$5)/7)+1)</f>
        <v/>
      </c>
      <c r="C59" s="15" t="n"/>
      <c r="D59" s="15" t="n"/>
      <c r="E59" s="15" t="n"/>
      <c r="F59" s="19" t="n"/>
      <c r="G59" s="19" t="n"/>
      <c r="H59" s="20">
        <f>IF(F59="","",F59*Configurações!$B$6+Configurações!$B$7)</f>
        <v/>
      </c>
      <c r="I59" s="20">
        <f>IF(F59="","",F59*Configurações!$B$8)</f>
        <v/>
      </c>
      <c r="J59" s="15" t="n"/>
      <c r="K59" s="20">
        <f>IF(F59="","",IF(J59="Sim",-H59-G59,F59-G59-H59-I59))</f>
        <v/>
      </c>
      <c r="M59" s="21" t="n"/>
      <c r="N59" s="22">
        <f>IF(OR(M59="",Configurações!$B$5=""),"",INT((M59-Configurações!$B$5)/7)+1)</f>
        <v/>
      </c>
      <c r="O59" s="23" t="n"/>
      <c r="P59" s="23" t="n"/>
      <c r="Q59" s="24" t="n"/>
    </row>
    <row r="60">
      <c r="A60" s="13" t="n"/>
      <c r="B60" s="14">
        <f>IF(OR(A60="",Configurações!$B$5=""),"",INT((A60-Configurações!$B$5)/7)+1)</f>
        <v/>
      </c>
      <c r="C60" s="15" t="n"/>
      <c r="D60" s="15" t="n"/>
      <c r="E60" s="15" t="n"/>
      <c r="F60" s="19" t="n"/>
      <c r="G60" s="19" t="n"/>
      <c r="H60" s="20">
        <f>IF(F60="","",F60*Configurações!$B$6+Configurações!$B$7)</f>
        <v/>
      </c>
      <c r="I60" s="20">
        <f>IF(F60="","",F60*Configurações!$B$8)</f>
        <v/>
      </c>
      <c r="J60" s="15" t="n"/>
      <c r="K60" s="20">
        <f>IF(F60="","",IF(J60="Sim",-H60-G60,F60-G60-H60-I60))</f>
        <v/>
      </c>
      <c r="M60" s="21" t="n"/>
      <c r="N60" s="22">
        <f>IF(OR(M60="",Configurações!$B$5=""),"",INT((M60-Configurações!$B$5)/7)+1)</f>
        <v/>
      </c>
      <c r="O60" s="23" t="n"/>
      <c r="P60" s="23" t="n"/>
      <c r="Q60" s="24" t="n"/>
    </row>
    <row r="61">
      <c r="A61" s="13" t="n"/>
      <c r="B61" s="14">
        <f>IF(OR(A61="",Configurações!$B$5=""),"",INT((A61-Configurações!$B$5)/7)+1)</f>
        <v/>
      </c>
      <c r="C61" s="15" t="n"/>
      <c r="D61" s="15" t="n"/>
      <c r="E61" s="15" t="n"/>
      <c r="F61" s="19" t="n"/>
      <c r="G61" s="19" t="n"/>
      <c r="H61" s="20">
        <f>IF(F61="","",F61*Configurações!$B$6+Configurações!$B$7)</f>
        <v/>
      </c>
      <c r="I61" s="20">
        <f>IF(F61="","",F61*Configurações!$B$8)</f>
        <v/>
      </c>
      <c r="J61" s="15" t="n"/>
      <c r="K61" s="20">
        <f>IF(F61="","",IF(J61="Sim",-H61-G61,F61-G61-H61-I61))</f>
        <v/>
      </c>
      <c r="M61" s="21" t="n"/>
      <c r="N61" s="22">
        <f>IF(OR(M61="",Configurações!$B$5=""),"",INT((M61-Configurações!$B$5)/7)+1)</f>
        <v/>
      </c>
      <c r="O61" s="23" t="n"/>
      <c r="P61" s="23" t="n"/>
      <c r="Q61" s="24" t="n"/>
    </row>
    <row r="62">
      <c r="A62" s="13" t="n"/>
      <c r="B62" s="14">
        <f>IF(OR(A62="",Configurações!$B$5=""),"",INT((A62-Configurações!$B$5)/7)+1)</f>
        <v/>
      </c>
      <c r="C62" s="15" t="n"/>
      <c r="D62" s="15" t="n"/>
      <c r="E62" s="15" t="n"/>
      <c r="F62" s="19" t="n"/>
      <c r="G62" s="19" t="n"/>
      <c r="H62" s="20">
        <f>IF(F62="","",F62*Configurações!$B$6+Configurações!$B$7)</f>
        <v/>
      </c>
      <c r="I62" s="20">
        <f>IF(F62="","",F62*Configurações!$B$8)</f>
        <v/>
      </c>
      <c r="J62" s="15" t="n"/>
      <c r="K62" s="20">
        <f>IF(F62="","",IF(J62="Sim",-H62-G62,F62-G62-H62-I62))</f>
        <v/>
      </c>
      <c r="M62" s="21" t="n"/>
      <c r="N62" s="22">
        <f>IF(OR(M62="",Configurações!$B$5=""),"",INT((M62-Configurações!$B$5)/7)+1)</f>
        <v/>
      </c>
      <c r="O62" s="23" t="n"/>
      <c r="P62" s="23" t="n"/>
      <c r="Q62" s="24" t="n"/>
    </row>
    <row r="63">
      <c r="A63" s="13" t="n"/>
      <c r="B63" s="14">
        <f>IF(OR(A63="",Configurações!$B$5=""),"",INT((A63-Configurações!$B$5)/7)+1)</f>
        <v/>
      </c>
      <c r="C63" s="15" t="n"/>
      <c r="D63" s="15" t="n"/>
      <c r="E63" s="15" t="n"/>
      <c r="F63" s="19" t="n"/>
      <c r="G63" s="19" t="n"/>
      <c r="H63" s="20">
        <f>IF(F63="","",F63*Configurações!$B$6+Configurações!$B$7)</f>
        <v/>
      </c>
      <c r="I63" s="20">
        <f>IF(F63="","",F63*Configurações!$B$8)</f>
        <v/>
      </c>
      <c r="J63" s="15" t="n"/>
      <c r="K63" s="20">
        <f>IF(F63="","",IF(J63="Sim",-H63-G63,F63-G63-H63-I63))</f>
        <v/>
      </c>
      <c r="M63" s="21" t="n"/>
      <c r="N63" s="22">
        <f>IF(OR(M63="",Configurações!$B$5=""),"",INT((M63-Configurações!$B$5)/7)+1)</f>
        <v/>
      </c>
      <c r="O63" s="23" t="n"/>
      <c r="P63" s="23" t="n"/>
      <c r="Q63" s="24" t="n"/>
    </row>
    <row r="64">
      <c r="A64" s="13" t="n"/>
      <c r="B64" s="14">
        <f>IF(OR(A64="",Configurações!$B$5=""),"",INT((A64-Configurações!$B$5)/7)+1)</f>
        <v/>
      </c>
      <c r="C64" s="15" t="n"/>
      <c r="D64" s="15" t="n"/>
      <c r="E64" s="15" t="n"/>
      <c r="F64" s="19" t="n"/>
      <c r="G64" s="19" t="n"/>
      <c r="H64" s="20">
        <f>IF(F64="","",F64*Configurações!$B$6+Configurações!$B$7)</f>
        <v/>
      </c>
      <c r="I64" s="20">
        <f>IF(F64="","",F64*Configurações!$B$8)</f>
        <v/>
      </c>
      <c r="J64" s="15" t="n"/>
      <c r="K64" s="20">
        <f>IF(F64="","",IF(J64="Sim",-H64-G64,F64-G64-H64-I64))</f>
        <v/>
      </c>
      <c r="M64" s="21" t="n"/>
      <c r="N64" s="22">
        <f>IF(OR(M64="",Configurações!$B$5=""),"",INT((M64-Configurações!$B$5)/7)+1)</f>
        <v/>
      </c>
      <c r="O64" s="23" t="n"/>
      <c r="P64" s="23" t="n"/>
      <c r="Q64" s="24" t="n"/>
    </row>
    <row r="65">
      <c r="A65" s="13" t="n"/>
      <c r="B65" s="14">
        <f>IF(OR(A65="",Configurações!$B$5=""),"",INT((A65-Configurações!$B$5)/7)+1)</f>
        <v/>
      </c>
      <c r="C65" s="15" t="n"/>
      <c r="D65" s="15" t="n"/>
      <c r="E65" s="15" t="n"/>
      <c r="F65" s="19" t="n"/>
      <c r="G65" s="19" t="n"/>
      <c r="H65" s="20">
        <f>IF(F65="","",F65*Configurações!$B$6+Configurações!$B$7)</f>
        <v/>
      </c>
      <c r="I65" s="20">
        <f>IF(F65="","",F65*Configurações!$B$8)</f>
        <v/>
      </c>
      <c r="J65" s="15" t="n"/>
      <c r="K65" s="20">
        <f>IF(F65="","",IF(J65="Sim",-H65-G65,F65-G65-H65-I65))</f>
        <v/>
      </c>
      <c r="M65" s="21" t="n"/>
      <c r="N65" s="22">
        <f>IF(OR(M65="",Configurações!$B$5=""),"",INT((M65-Configurações!$B$5)/7)+1)</f>
        <v/>
      </c>
      <c r="O65" s="23" t="n"/>
      <c r="P65" s="23" t="n"/>
      <c r="Q65" s="24" t="n"/>
    </row>
    <row r="66">
      <c r="A66" s="13" t="n"/>
      <c r="B66" s="14">
        <f>IF(OR(A66="",Configurações!$B$5=""),"",INT((A66-Configurações!$B$5)/7)+1)</f>
        <v/>
      </c>
      <c r="C66" s="15" t="n"/>
      <c r="D66" s="15" t="n"/>
      <c r="E66" s="15" t="n"/>
      <c r="F66" s="19" t="n"/>
      <c r="G66" s="19" t="n"/>
      <c r="H66" s="20">
        <f>IF(F66="","",F66*Configurações!$B$6+Configurações!$B$7)</f>
        <v/>
      </c>
      <c r="I66" s="20">
        <f>IF(F66="","",F66*Configurações!$B$8)</f>
        <v/>
      </c>
      <c r="J66" s="15" t="n"/>
      <c r="K66" s="20">
        <f>IF(F66="","",IF(J66="Sim",-H66-G66,F66-G66-H66-I66))</f>
        <v/>
      </c>
      <c r="M66" s="21" t="n"/>
      <c r="N66" s="22">
        <f>IF(OR(M66="",Configurações!$B$5=""),"",INT((M66-Configurações!$B$5)/7)+1)</f>
        <v/>
      </c>
      <c r="O66" s="23" t="n"/>
      <c r="P66" s="23" t="n"/>
      <c r="Q66" s="24" t="n"/>
    </row>
    <row r="67">
      <c r="A67" s="13" t="n"/>
      <c r="B67" s="14">
        <f>IF(OR(A67="",Configurações!$B$5=""),"",INT((A67-Configurações!$B$5)/7)+1)</f>
        <v/>
      </c>
      <c r="C67" s="15" t="n"/>
      <c r="D67" s="15" t="n"/>
      <c r="E67" s="15" t="n"/>
      <c r="F67" s="19" t="n"/>
      <c r="G67" s="19" t="n"/>
      <c r="H67" s="20">
        <f>IF(F67="","",F67*Configurações!$B$6+Configurações!$B$7)</f>
        <v/>
      </c>
      <c r="I67" s="20">
        <f>IF(F67="","",F67*Configurações!$B$8)</f>
        <v/>
      </c>
      <c r="J67" s="15" t="n"/>
      <c r="K67" s="20">
        <f>IF(F67="","",IF(J67="Sim",-H67-G67,F67-G67-H67-I67))</f>
        <v/>
      </c>
      <c r="M67" s="21" t="n"/>
      <c r="N67" s="22">
        <f>IF(OR(M67="",Configurações!$B$5=""),"",INT((M67-Configurações!$B$5)/7)+1)</f>
        <v/>
      </c>
      <c r="O67" s="23" t="n"/>
      <c r="P67" s="23" t="n"/>
      <c r="Q67" s="24" t="n"/>
    </row>
    <row r="68">
      <c r="A68" s="13" t="n"/>
      <c r="B68" s="14">
        <f>IF(OR(A68="",Configurações!$B$5=""),"",INT((A68-Configurações!$B$5)/7)+1)</f>
        <v/>
      </c>
      <c r="C68" s="15" t="n"/>
      <c r="D68" s="15" t="n"/>
      <c r="E68" s="15" t="n"/>
      <c r="F68" s="19" t="n"/>
      <c r="G68" s="19" t="n"/>
      <c r="H68" s="20">
        <f>IF(F68="","",F68*Configurações!$B$6+Configurações!$B$7)</f>
        <v/>
      </c>
      <c r="I68" s="20">
        <f>IF(F68="","",F68*Configurações!$B$8)</f>
        <v/>
      </c>
      <c r="J68" s="15" t="n"/>
      <c r="K68" s="20">
        <f>IF(F68="","",IF(J68="Sim",-H68-G68,F68-G68-H68-I68))</f>
        <v/>
      </c>
      <c r="M68" s="21" t="n"/>
      <c r="N68" s="22">
        <f>IF(OR(M68="",Configurações!$B$5=""),"",INT((M68-Configurações!$B$5)/7)+1)</f>
        <v/>
      </c>
      <c r="O68" s="23" t="n"/>
      <c r="P68" s="23" t="n"/>
      <c r="Q68" s="24" t="n"/>
    </row>
    <row r="69">
      <c r="A69" s="13" t="n"/>
      <c r="B69" s="14">
        <f>IF(OR(A69="",Configurações!$B$5=""),"",INT((A69-Configurações!$B$5)/7)+1)</f>
        <v/>
      </c>
      <c r="C69" s="15" t="n"/>
      <c r="D69" s="15" t="n"/>
      <c r="E69" s="15" t="n"/>
      <c r="F69" s="19" t="n"/>
      <c r="G69" s="19" t="n"/>
      <c r="H69" s="20">
        <f>IF(F69="","",F69*Configurações!$B$6+Configurações!$B$7)</f>
        <v/>
      </c>
      <c r="I69" s="20">
        <f>IF(F69="","",F69*Configurações!$B$8)</f>
        <v/>
      </c>
      <c r="J69" s="15" t="n"/>
      <c r="K69" s="20">
        <f>IF(F69="","",IF(J69="Sim",-H69-G69,F69-G69-H69-I69))</f>
        <v/>
      </c>
      <c r="M69" s="21" t="n"/>
      <c r="N69" s="22">
        <f>IF(OR(M69="",Configurações!$B$5=""),"",INT((M69-Configurações!$B$5)/7)+1)</f>
        <v/>
      </c>
      <c r="O69" s="23" t="n"/>
      <c r="P69" s="23" t="n"/>
      <c r="Q69" s="24" t="n"/>
    </row>
    <row r="70">
      <c r="A70" s="13" t="n"/>
      <c r="B70" s="14">
        <f>IF(OR(A70="",Configurações!$B$5=""),"",INT((A70-Configurações!$B$5)/7)+1)</f>
        <v/>
      </c>
      <c r="C70" s="15" t="n"/>
      <c r="D70" s="15" t="n"/>
      <c r="E70" s="15" t="n"/>
      <c r="F70" s="19" t="n"/>
      <c r="G70" s="19" t="n"/>
      <c r="H70" s="20">
        <f>IF(F70="","",F70*Configurações!$B$6+Configurações!$B$7)</f>
        <v/>
      </c>
      <c r="I70" s="20">
        <f>IF(F70="","",F70*Configurações!$B$8)</f>
        <v/>
      </c>
      <c r="J70" s="15" t="n"/>
      <c r="K70" s="20">
        <f>IF(F70="","",IF(J70="Sim",-H70-G70,F70-G70-H70-I70))</f>
        <v/>
      </c>
      <c r="M70" s="21" t="n"/>
      <c r="N70" s="22">
        <f>IF(OR(M70="",Configurações!$B$5=""),"",INT((M70-Configurações!$B$5)/7)+1)</f>
        <v/>
      </c>
      <c r="O70" s="23" t="n"/>
      <c r="P70" s="23" t="n"/>
      <c r="Q70" s="24" t="n"/>
    </row>
    <row r="71">
      <c r="A71" s="13" t="n"/>
      <c r="B71" s="14">
        <f>IF(OR(A71="",Configurações!$B$5=""),"",INT((A71-Configurações!$B$5)/7)+1)</f>
        <v/>
      </c>
      <c r="C71" s="15" t="n"/>
      <c r="D71" s="15" t="n"/>
      <c r="E71" s="15" t="n"/>
      <c r="F71" s="19" t="n"/>
      <c r="G71" s="19" t="n"/>
      <c r="H71" s="20">
        <f>IF(F71="","",F71*Configurações!$B$6+Configurações!$B$7)</f>
        <v/>
      </c>
      <c r="I71" s="20">
        <f>IF(F71="","",F71*Configurações!$B$8)</f>
        <v/>
      </c>
      <c r="J71" s="15" t="n"/>
      <c r="K71" s="20">
        <f>IF(F71="","",IF(J71="Sim",-H71-G71,F71-G71-H71-I71))</f>
        <v/>
      </c>
      <c r="M71" s="21" t="n"/>
      <c r="N71" s="22">
        <f>IF(OR(M71="",Configurações!$B$5=""),"",INT((M71-Configurações!$B$5)/7)+1)</f>
        <v/>
      </c>
      <c r="O71" s="23" t="n"/>
      <c r="P71" s="23" t="n"/>
      <c r="Q71" s="24" t="n"/>
    </row>
    <row r="72">
      <c r="A72" s="13" t="n"/>
      <c r="B72" s="14">
        <f>IF(OR(A72="",Configurações!$B$5=""),"",INT((A72-Configurações!$B$5)/7)+1)</f>
        <v/>
      </c>
      <c r="C72" s="15" t="n"/>
      <c r="D72" s="15" t="n"/>
      <c r="E72" s="15" t="n"/>
      <c r="F72" s="19" t="n"/>
      <c r="G72" s="19" t="n"/>
      <c r="H72" s="20">
        <f>IF(F72="","",F72*Configurações!$B$6+Configurações!$B$7)</f>
        <v/>
      </c>
      <c r="I72" s="20">
        <f>IF(F72="","",F72*Configurações!$B$8)</f>
        <v/>
      </c>
      <c r="J72" s="15" t="n"/>
      <c r="K72" s="20">
        <f>IF(F72="","",IF(J72="Sim",-H72-G72,F72-G72-H72-I72))</f>
        <v/>
      </c>
      <c r="M72" s="21" t="n"/>
      <c r="N72" s="22">
        <f>IF(OR(M72="",Configurações!$B$5=""),"",INT((M72-Configurações!$B$5)/7)+1)</f>
        <v/>
      </c>
      <c r="O72" s="23" t="n"/>
      <c r="P72" s="23" t="n"/>
      <c r="Q72" s="24" t="n"/>
    </row>
    <row r="73">
      <c r="A73" s="13" t="n"/>
      <c r="B73" s="14">
        <f>IF(OR(A73="",Configurações!$B$5=""),"",INT((A73-Configurações!$B$5)/7)+1)</f>
        <v/>
      </c>
      <c r="C73" s="15" t="n"/>
      <c r="D73" s="15" t="n"/>
      <c r="E73" s="15" t="n"/>
      <c r="F73" s="19" t="n"/>
      <c r="G73" s="19" t="n"/>
      <c r="H73" s="20">
        <f>IF(F73="","",F73*Configurações!$B$6+Configurações!$B$7)</f>
        <v/>
      </c>
      <c r="I73" s="20">
        <f>IF(F73="","",F73*Configurações!$B$8)</f>
        <v/>
      </c>
      <c r="J73" s="15" t="n"/>
      <c r="K73" s="20">
        <f>IF(F73="","",IF(J73="Sim",-H73-G73,F73-G73-H73-I73))</f>
        <v/>
      </c>
      <c r="M73" s="21" t="n"/>
      <c r="N73" s="22">
        <f>IF(OR(M73="",Configurações!$B$5=""),"",INT((M73-Configurações!$B$5)/7)+1)</f>
        <v/>
      </c>
      <c r="O73" s="23" t="n"/>
      <c r="P73" s="23" t="n"/>
      <c r="Q73" s="24" t="n"/>
    </row>
    <row r="74">
      <c r="A74" s="13" t="n"/>
      <c r="B74" s="14">
        <f>IF(OR(A74="",Configurações!$B$5=""),"",INT((A74-Configurações!$B$5)/7)+1)</f>
        <v/>
      </c>
      <c r="C74" s="15" t="n"/>
      <c r="D74" s="15" t="n"/>
      <c r="E74" s="15" t="n"/>
      <c r="F74" s="19" t="n"/>
      <c r="G74" s="19" t="n"/>
      <c r="H74" s="20">
        <f>IF(F74="","",F74*Configurações!$B$6+Configurações!$B$7)</f>
        <v/>
      </c>
      <c r="I74" s="20">
        <f>IF(F74="","",F74*Configurações!$B$8)</f>
        <v/>
      </c>
      <c r="J74" s="15" t="n"/>
      <c r="K74" s="20">
        <f>IF(F74="","",IF(J74="Sim",-H74-G74,F74-G74-H74-I74))</f>
        <v/>
      </c>
      <c r="M74" s="21" t="n"/>
      <c r="N74" s="22">
        <f>IF(OR(M74="",Configurações!$B$5=""),"",INT((M74-Configurações!$B$5)/7)+1)</f>
        <v/>
      </c>
      <c r="O74" s="23" t="n"/>
      <c r="P74" s="23" t="n"/>
      <c r="Q74" s="24" t="n"/>
    </row>
    <row r="75">
      <c r="A75" s="13" t="n"/>
      <c r="B75" s="14">
        <f>IF(OR(A75="",Configurações!$B$5=""),"",INT((A75-Configurações!$B$5)/7)+1)</f>
        <v/>
      </c>
      <c r="C75" s="15" t="n"/>
      <c r="D75" s="15" t="n"/>
      <c r="E75" s="15" t="n"/>
      <c r="F75" s="19" t="n"/>
      <c r="G75" s="19" t="n"/>
      <c r="H75" s="20">
        <f>IF(F75="","",F75*Configurações!$B$6+Configurações!$B$7)</f>
        <v/>
      </c>
      <c r="I75" s="20">
        <f>IF(F75="","",F75*Configurações!$B$8)</f>
        <v/>
      </c>
      <c r="J75" s="15" t="n"/>
      <c r="K75" s="20">
        <f>IF(F75="","",IF(J75="Sim",-H75-G75,F75-G75-H75-I75))</f>
        <v/>
      </c>
      <c r="M75" s="21" t="n"/>
      <c r="N75" s="22">
        <f>IF(OR(M75="",Configurações!$B$5=""),"",INT((M75-Configurações!$B$5)/7)+1)</f>
        <v/>
      </c>
      <c r="O75" s="23" t="n"/>
      <c r="P75" s="23" t="n"/>
      <c r="Q75" s="24" t="n"/>
    </row>
    <row r="76">
      <c r="A76" s="13" t="n"/>
      <c r="B76" s="14">
        <f>IF(OR(A76="",Configurações!$B$5=""),"",INT((A76-Configurações!$B$5)/7)+1)</f>
        <v/>
      </c>
      <c r="C76" s="15" t="n"/>
      <c r="D76" s="15" t="n"/>
      <c r="E76" s="15" t="n"/>
      <c r="F76" s="19" t="n"/>
      <c r="G76" s="19" t="n"/>
      <c r="H76" s="20">
        <f>IF(F76="","",F76*Configurações!$B$6+Configurações!$B$7)</f>
        <v/>
      </c>
      <c r="I76" s="20">
        <f>IF(F76="","",F76*Configurações!$B$8)</f>
        <v/>
      </c>
      <c r="J76" s="15" t="n"/>
      <c r="K76" s="20">
        <f>IF(F76="","",IF(J76="Sim",-H76-G76,F76-G76-H76-I76))</f>
        <v/>
      </c>
      <c r="M76" s="21" t="n"/>
      <c r="N76" s="22">
        <f>IF(OR(M76="",Configurações!$B$5=""),"",INT((M76-Configurações!$B$5)/7)+1)</f>
        <v/>
      </c>
      <c r="O76" s="23" t="n"/>
      <c r="P76" s="23" t="n"/>
      <c r="Q76" s="24" t="n"/>
    </row>
    <row r="77">
      <c r="A77" s="13" t="n"/>
      <c r="B77" s="14">
        <f>IF(OR(A77="",Configurações!$B$5=""),"",INT((A77-Configurações!$B$5)/7)+1)</f>
        <v/>
      </c>
      <c r="C77" s="15" t="n"/>
      <c r="D77" s="15" t="n"/>
      <c r="E77" s="15" t="n"/>
      <c r="F77" s="19" t="n"/>
      <c r="G77" s="19" t="n"/>
      <c r="H77" s="20">
        <f>IF(F77="","",F77*Configurações!$B$6+Configurações!$B$7)</f>
        <v/>
      </c>
      <c r="I77" s="20">
        <f>IF(F77="","",F77*Configurações!$B$8)</f>
        <v/>
      </c>
      <c r="J77" s="15" t="n"/>
      <c r="K77" s="20">
        <f>IF(F77="","",IF(J77="Sim",-H77-G77,F77-G77-H77-I77))</f>
        <v/>
      </c>
      <c r="M77" s="21" t="n"/>
      <c r="N77" s="22">
        <f>IF(OR(M77="",Configurações!$B$5=""),"",INT((M77-Configurações!$B$5)/7)+1)</f>
        <v/>
      </c>
      <c r="O77" s="23" t="n"/>
      <c r="P77" s="23" t="n"/>
      <c r="Q77" s="24" t="n"/>
    </row>
    <row r="78">
      <c r="A78" s="13" t="n"/>
      <c r="B78" s="14">
        <f>IF(OR(A78="",Configurações!$B$5=""),"",INT((A78-Configurações!$B$5)/7)+1)</f>
        <v/>
      </c>
      <c r="C78" s="15" t="n"/>
      <c r="D78" s="15" t="n"/>
      <c r="E78" s="15" t="n"/>
      <c r="F78" s="19" t="n"/>
      <c r="G78" s="19" t="n"/>
      <c r="H78" s="20">
        <f>IF(F78="","",F78*Configurações!$B$6+Configurações!$B$7)</f>
        <v/>
      </c>
      <c r="I78" s="20">
        <f>IF(F78="","",F78*Configurações!$B$8)</f>
        <v/>
      </c>
      <c r="J78" s="15" t="n"/>
      <c r="K78" s="20">
        <f>IF(F78="","",IF(J78="Sim",-H78-G78,F78-G78-H78-I78))</f>
        <v/>
      </c>
      <c r="M78" s="21" t="n"/>
      <c r="N78" s="22">
        <f>IF(OR(M78="",Configurações!$B$5=""),"",INT((M78-Configurações!$B$5)/7)+1)</f>
        <v/>
      </c>
      <c r="O78" s="23" t="n"/>
      <c r="P78" s="23" t="n"/>
      <c r="Q78" s="24" t="n"/>
    </row>
    <row r="79">
      <c r="A79" s="13" t="n"/>
      <c r="B79" s="14">
        <f>IF(OR(A79="",Configurações!$B$5=""),"",INT((A79-Configurações!$B$5)/7)+1)</f>
        <v/>
      </c>
      <c r="C79" s="15" t="n"/>
      <c r="D79" s="15" t="n"/>
      <c r="E79" s="15" t="n"/>
      <c r="F79" s="19" t="n"/>
      <c r="G79" s="19" t="n"/>
      <c r="H79" s="20">
        <f>IF(F79="","",F79*Configurações!$B$6+Configurações!$B$7)</f>
        <v/>
      </c>
      <c r="I79" s="20">
        <f>IF(F79="","",F79*Configurações!$B$8)</f>
        <v/>
      </c>
      <c r="J79" s="15" t="n"/>
      <c r="K79" s="20">
        <f>IF(F79="","",IF(J79="Sim",-H79-G79,F79-G79-H79-I79))</f>
        <v/>
      </c>
      <c r="M79" s="21" t="n"/>
      <c r="N79" s="22">
        <f>IF(OR(M79="",Configurações!$B$5=""),"",INT((M79-Configurações!$B$5)/7)+1)</f>
        <v/>
      </c>
      <c r="O79" s="23" t="n"/>
      <c r="P79" s="23" t="n"/>
      <c r="Q79" s="24" t="n"/>
    </row>
    <row r="80">
      <c r="A80" s="13" t="n"/>
      <c r="B80" s="14">
        <f>IF(OR(A80="",Configurações!$B$5=""),"",INT((A80-Configurações!$B$5)/7)+1)</f>
        <v/>
      </c>
      <c r="C80" s="15" t="n"/>
      <c r="D80" s="15" t="n"/>
      <c r="E80" s="15" t="n"/>
      <c r="F80" s="19" t="n"/>
      <c r="G80" s="19" t="n"/>
      <c r="H80" s="20">
        <f>IF(F80="","",F80*Configurações!$B$6+Configurações!$B$7)</f>
        <v/>
      </c>
      <c r="I80" s="20">
        <f>IF(F80="","",F80*Configurações!$B$8)</f>
        <v/>
      </c>
      <c r="J80" s="15" t="n"/>
      <c r="K80" s="20">
        <f>IF(F80="","",IF(J80="Sim",-H80-G80,F80-G80-H80-I80))</f>
        <v/>
      </c>
      <c r="M80" s="21" t="n"/>
      <c r="N80" s="22">
        <f>IF(OR(M80="",Configurações!$B$5=""),"",INT((M80-Configurações!$B$5)/7)+1)</f>
        <v/>
      </c>
      <c r="O80" s="23" t="n"/>
      <c r="P80" s="23" t="n"/>
      <c r="Q80" s="24" t="n"/>
    </row>
    <row r="81">
      <c r="A81" s="13" t="n"/>
      <c r="B81" s="14">
        <f>IF(OR(A81="",Configurações!$B$5=""),"",INT((A81-Configurações!$B$5)/7)+1)</f>
        <v/>
      </c>
      <c r="C81" s="15" t="n"/>
      <c r="D81" s="15" t="n"/>
      <c r="E81" s="15" t="n"/>
      <c r="F81" s="19" t="n"/>
      <c r="G81" s="19" t="n"/>
      <c r="H81" s="20">
        <f>IF(F81="","",F81*Configurações!$B$6+Configurações!$B$7)</f>
        <v/>
      </c>
      <c r="I81" s="20">
        <f>IF(F81="","",F81*Configurações!$B$8)</f>
        <v/>
      </c>
      <c r="J81" s="15" t="n"/>
      <c r="K81" s="20">
        <f>IF(F81="","",IF(J81="Sim",-H81-G81,F81-G81-H81-I81))</f>
        <v/>
      </c>
      <c r="M81" s="21" t="n"/>
      <c r="N81" s="22">
        <f>IF(OR(M81="",Configurações!$B$5=""),"",INT((M81-Configurações!$B$5)/7)+1)</f>
        <v/>
      </c>
      <c r="O81" s="23" t="n"/>
      <c r="P81" s="23" t="n"/>
      <c r="Q81" s="24" t="n"/>
    </row>
    <row r="82">
      <c r="A82" s="13" t="n"/>
      <c r="B82" s="14">
        <f>IF(OR(A82="",Configurações!$B$5=""),"",INT((A82-Configurações!$B$5)/7)+1)</f>
        <v/>
      </c>
      <c r="C82" s="15" t="n"/>
      <c r="D82" s="15" t="n"/>
      <c r="E82" s="15" t="n"/>
      <c r="F82" s="19" t="n"/>
      <c r="G82" s="19" t="n"/>
      <c r="H82" s="20">
        <f>IF(F82="","",F82*Configurações!$B$6+Configurações!$B$7)</f>
        <v/>
      </c>
      <c r="I82" s="20">
        <f>IF(F82="","",F82*Configurações!$B$8)</f>
        <v/>
      </c>
      <c r="J82" s="15" t="n"/>
      <c r="K82" s="20">
        <f>IF(F82="","",IF(J82="Sim",-H82-G82,F82-G82-H82-I82))</f>
        <v/>
      </c>
      <c r="M82" s="21" t="n"/>
      <c r="N82" s="22">
        <f>IF(OR(M82="",Configurações!$B$5=""),"",INT((M82-Configurações!$B$5)/7)+1)</f>
        <v/>
      </c>
      <c r="O82" s="23" t="n"/>
      <c r="P82" s="23" t="n"/>
      <c r="Q82" s="24" t="n"/>
    </row>
    <row r="83">
      <c r="A83" s="13" t="n"/>
      <c r="B83" s="14">
        <f>IF(OR(A83="",Configurações!$B$5=""),"",INT((A83-Configurações!$B$5)/7)+1)</f>
        <v/>
      </c>
      <c r="C83" s="15" t="n"/>
      <c r="D83" s="15" t="n"/>
      <c r="E83" s="15" t="n"/>
      <c r="F83" s="19" t="n"/>
      <c r="G83" s="19" t="n"/>
      <c r="H83" s="20">
        <f>IF(F83="","",F83*Configurações!$B$6+Configurações!$B$7)</f>
        <v/>
      </c>
      <c r="I83" s="20">
        <f>IF(F83="","",F83*Configurações!$B$8)</f>
        <v/>
      </c>
      <c r="J83" s="15" t="n"/>
      <c r="K83" s="20">
        <f>IF(F83="","",IF(J83="Sim",-H83-G83,F83-G83-H83-I83))</f>
        <v/>
      </c>
      <c r="M83" s="21" t="n"/>
      <c r="N83" s="22">
        <f>IF(OR(M83="",Configurações!$B$5=""),"",INT((M83-Configurações!$B$5)/7)+1)</f>
        <v/>
      </c>
      <c r="O83" s="23" t="n"/>
      <c r="P83" s="23" t="n"/>
      <c r="Q83" s="24" t="n"/>
    </row>
    <row r="84">
      <c r="A84" s="13" t="n"/>
      <c r="B84" s="14">
        <f>IF(OR(A84="",Configurações!$B$5=""),"",INT((A84-Configurações!$B$5)/7)+1)</f>
        <v/>
      </c>
      <c r="C84" s="15" t="n"/>
      <c r="D84" s="15" t="n"/>
      <c r="E84" s="15" t="n"/>
      <c r="F84" s="19" t="n"/>
      <c r="G84" s="19" t="n"/>
      <c r="H84" s="20">
        <f>IF(F84="","",F84*Configurações!$B$6+Configurações!$B$7)</f>
        <v/>
      </c>
      <c r="I84" s="20">
        <f>IF(F84="","",F84*Configurações!$B$8)</f>
        <v/>
      </c>
      <c r="J84" s="15" t="n"/>
      <c r="K84" s="20">
        <f>IF(F84="","",IF(J84="Sim",-H84-G84,F84-G84-H84-I84))</f>
        <v/>
      </c>
      <c r="M84" s="21" t="n"/>
      <c r="N84" s="22">
        <f>IF(OR(M84="",Configurações!$B$5=""),"",INT((M84-Configurações!$B$5)/7)+1)</f>
        <v/>
      </c>
      <c r="O84" s="23" t="n"/>
      <c r="P84" s="23" t="n"/>
      <c r="Q84" s="24" t="n"/>
    </row>
    <row r="85">
      <c r="A85" s="13" t="n"/>
      <c r="B85" s="14">
        <f>IF(OR(A85="",Configurações!$B$5=""),"",INT((A85-Configurações!$B$5)/7)+1)</f>
        <v/>
      </c>
      <c r="C85" s="15" t="n"/>
      <c r="D85" s="15" t="n"/>
      <c r="E85" s="15" t="n"/>
      <c r="F85" s="19" t="n"/>
      <c r="G85" s="19" t="n"/>
      <c r="H85" s="20">
        <f>IF(F85="","",F85*Configurações!$B$6+Configurações!$B$7)</f>
        <v/>
      </c>
      <c r="I85" s="20">
        <f>IF(F85="","",F85*Configurações!$B$8)</f>
        <v/>
      </c>
      <c r="J85" s="15" t="n"/>
      <c r="K85" s="20">
        <f>IF(F85="","",IF(J85="Sim",-H85-G85,F85-G85-H85-I85))</f>
        <v/>
      </c>
      <c r="M85" s="21" t="n"/>
      <c r="N85" s="22">
        <f>IF(OR(M85="",Configurações!$B$5=""),"",INT((M85-Configurações!$B$5)/7)+1)</f>
        <v/>
      </c>
      <c r="O85" s="23" t="n"/>
      <c r="P85" s="23" t="n"/>
      <c r="Q85" s="24" t="n"/>
    </row>
    <row r="86">
      <c r="A86" s="13" t="n"/>
      <c r="B86" s="14">
        <f>IF(OR(A86="",Configurações!$B$5=""),"",INT((A86-Configurações!$B$5)/7)+1)</f>
        <v/>
      </c>
      <c r="C86" s="15" t="n"/>
      <c r="D86" s="15" t="n"/>
      <c r="E86" s="15" t="n"/>
      <c r="F86" s="19" t="n"/>
      <c r="G86" s="19" t="n"/>
      <c r="H86" s="20">
        <f>IF(F86="","",F86*Configurações!$B$6+Configurações!$B$7)</f>
        <v/>
      </c>
      <c r="I86" s="20">
        <f>IF(F86="","",F86*Configurações!$B$8)</f>
        <v/>
      </c>
      <c r="J86" s="15" t="n"/>
      <c r="K86" s="20">
        <f>IF(F86="","",IF(J86="Sim",-H86-G86,F86-G86-H86-I86))</f>
        <v/>
      </c>
      <c r="M86" s="21" t="n"/>
      <c r="N86" s="22">
        <f>IF(OR(M86="",Configurações!$B$5=""),"",INT((M86-Configurações!$B$5)/7)+1)</f>
        <v/>
      </c>
      <c r="O86" s="23" t="n"/>
      <c r="P86" s="23" t="n"/>
      <c r="Q86" s="24" t="n"/>
    </row>
    <row r="87">
      <c r="A87" s="13" t="n"/>
      <c r="B87" s="14">
        <f>IF(OR(A87="",Configurações!$B$5=""),"",INT((A87-Configurações!$B$5)/7)+1)</f>
        <v/>
      </c>
      <c r="C87" s="15" t="n"/>
      <c r="D87" s="15" t="n"/>
      <c r="E87" s="15" t="n"/>
      <c r="F87" s="19" t="n"/>
      <c r="G87" s="19" t="n"/>
      <c r="H87" s="20">
        <f>IF(F87="","",F87*Configurações!$B$6+Configurações!$B$7)</f>
        <v/>
      </c>
      <c r="I87" s="20">
        <f>IF(F87="","",F87*Configurações!$B$8)</f>
        <v/>
      </c>
      <c r="J87" s="15" t="n"/>
      <c r="K87" s="20">
        <f>IF(F87="","",IF(J87="Sim",-H87-G87,F87-G87-H87-I87))</f>
        <v/>
      </c>
      <c r="M87" s="21" t="n"/>
      <c r="N87" s="22">
        <f>IF(OR(M87="",Configurações!$B$5=""),"",INT((M87-Configurações!$B$5)/7)+1)</f>
        <v/>
      </c>
      <c r="O87" s="23" t="n"/>
      <c r="P87" s="23" t="n"/>
      <c r="Q87" s="24" t="n"/>
    </row>
    <row r="88">
      <c r="A88" s="13" t="n"/>
      <c r="B88" s="14">
        <f>IF(OR(A88="",Configurações!$B$5=""),"",INT((A88-Configurações!$B$5)/7)+1)</f>
        <v/>
      </c>
      <c r="C88" s="15" t="n"/>
      <c r="D88" s="15" t="n"/>
      <c r="E88" s="15" t="n"/>
      <c r="F88" s="19" t="n"/>
      <c r="G88" s="19" t="n"/>
      <c r="H88" s="20">
        <f>IF(F88="","",F88*Configurações!$B$6+Configurações!$B$7)</f>
        <v/>
      </c>
      <c r="I88" s="20">
        <f>IF(F88="","",F88*Configurações!$B$8)</f>
        <v/>
      </c>
      <c r="J88" s="15" t="n"/>
      <c r="K88" s="20">
        <f>IF(F88="","",IF(J88="Sim",-H88-G88,F88-G88-H88-I88))</f>
        <v/>
      </c>
      <c r="M88" s="21" t="n"/>
      <c r="N88" s="22">
        <f>IF(OR(M88="",Configurações!$B$5=""),"",INT((M88-Configurações!$B$5)/7)+1)</f>
        <v/>
      </c>
      <c r="O88" s="23" t="n"/>
      <c r="P88" s="23" t="n"/>
      <c r="Q88" s="24" t="n"/>
    </row>
    <row r="89">
      <c r="A89" s="13" t="n"/>
      <c r="B89" s="14">
        <f>IF(OR(A89="",Configurações!$B$5=""),"",INT((A89-Configurações!$B$5)/7)+1)</f>
        <v/>
      </c>
      <c r="C89" s="15" t="n"/>
      <c r="D89" s="15" t="n"/>
      <c r="E89" s="15" t="n"/>
      <c r="F89" s="19" t="n"/>
      <c r="G89" s="19" t="n"/>
      <c r="H89" s="20">
        <f>IF(F89="","",F89*Configurações!$B$6+Configurações!$B$7)</f>
        <v/>
      </c>
      <c r="I89" s="20">
        <f>IF(F89="","",F89*Configurações!$B$8)</f>
        <v/>
      </c>
      <c r="J89" s="15" t="n"/>
      <c r="K89" s="20">
        <f>IF(F89="","",IF(J89="Sim",-H89-G89,F89-G89-H89-I89))</f>
        <v/>
      </c>
      <c r="M89" s="21" t="n"/>
      <c r="N89" s="22">
        <f>IF(OR(M89="",Configurações!$B$5=""),"",INT((M89-Configurações!$B$5)/7)+1)</f>
        <v/>
      </c>
      <c r="O89" s="23" t="n"/>
      <c r="P89" s="23" t="n"/>
      <c r="Q89" s="24" t="n"/>
    </row>
    <row r="90">
      <c r="A90" s="13" t="n"/>
      <c r="B90" s="14">
        <f>IF(OR(A90="",Configurações!$B$5=""),"",INT((A90-Configurações!$B$5)/7)+1)</f>
        <v/>
      </c>
      <c r="C90" s="15" t="n"/>
      <c r="D90" s="15" t="n"/>
      <c r="E90" s="15" t="n"/>
      <c r="F90" s="19" t="n"/>
      <c r="G90" s="19" t="n"/>
      <c r="H90" s="20">
        <f>IF(F90="","",F90*Configurações!$B$6+Configurações!$B$7)</f>
        <v/>
      </c>
      <c r="I90" s="20">
        <f>IF(F90="","",F90*Configurações!$B$8)</f>
        <v/>
      </c>
      <c r="J90" s="15" t="n"/>
      <c r="K90" s="20">
        <f>IF(F90="","",IF(J90="Sim",-H90-G90,F90-G90-H90-I90))</f>
        <v/>
      </c>
      <c r="M90" s="21" t="n"/>
      <c r="N90" s="22">
        <f>IF(OR(M90="",Configurações!$B$5=""),"",INT((M90-Configurações!$B$5)/7)+1)</f>
        <v/>
      </c>
      <c r="O90" s="23" t="n"/>
      <c r="P90" s="23" t="n"/>
      <c r="Q90" s="24" t="n"/>
    </row>
    <row r="91">
      <c r="A91" s="13" t="n"/>
      <c r="B91" s="14">
        <f>IF(OR(A91="",Configurações!$B$5=""),"",INT((A91-Configurações!$B$5)/7)+1)</f>
        <v/>
      </c>
      <c r="C91" s="15" t="n"/>
      <c r="D91" s="15" t="n"/>
      <c r="E91" s="15" t="n"/>
      <c r="F91" s="19" t="n"/>
      <c r="G91" s="19" t="n"/>
      <c r="H91" s="20">
        <f>IF(F91="","",F91*Configurações!$B$6+Configurações!$B$7)</f>
        <v/>
      </c>
      <c r="I91" s="20">
        <f>IF(F91="","",F91*Configurações!$B$8)</f>
        <v/>
      </c>
      <c r="J91" s="15" t="n"/>
      <c r="K91" s="20">
        <f>IF(F91="","",IF(J91="Sim",-H91-G91,F91-G91-H91-I91))</f>
        <v/>
      </c>
      <c r="M91" s="21" t="n"/>
      <c r="N91" s="22">
        <f>IF(OR(M91="",Configurações!$B$5=""),"",INT((M91-Configurações!$B$5)/7)+1)</f>
        <v/>
      </c>
      <c r="O91" s="23" t="n"/>
      <c r="P91" s="23" t="n"/>
      <c r="Q91" s="24" t="n"/>
    </row>
    <row r="92">
      <c r="A92" s="13" t="n"/>
      <c r="B92" s="14">
        <f>IF(OR(A92="",Configurações!$B$5=""),"",INT((A92-Configurações!$B$5)/7)+1)</f>
        <v/>
      </c>
      <c r="C92" s="15" t="n"/>
      <c r="D92" s="15" t="n"/>
      <c r="E92" s="15" t="n"/>
      <c r="F92" s="19" t="n"/>
      <c r="G92" s="19" t="n"/>
      <c r="H92" s="20">
        <f>IF(F92="","",F92*Configurações!$B$6+Configurações!$B$7)</f>
        <v/>
      </c>
      <c r="I92" s="20">
        <f>IF(F92="","",F92*Configurações!$B$8)</f>
        <v/>
      </c>
      <c r="J92" s="15" t="n"/>
      <c r="K92" s="20">
        <f>IF(F92="","",IF(J92="Sim",-H92-G92,F92-G92-H92-I92))</f>
        <v/>
      </c>
      <c r="M92" s="21" t="n"/>
      <c r="N92" s="22">
        <f>IF(OR(M92="",Configurações!$B$5=""),"",INT((M92-Configurações!$B$5)/7)+1)</f>
        <v/>
      </c>
      <c r="O92" s="23" t="n"/>
      <c r="P92" s="23" t="n"/>
      <c r="Q92" s="24" t="n"/>
    </row>
    <row r="93">
      <c r="A93" s="13" t="n"/>
      <c r="B93" s="14">
        <f>IF(OR(A93="",Configurações!$B$5=""),"",INT((A93-Configurações!$B$5)/7)+1)</f>
        <v/>
      </c>
      <c r="C93" s="15" t="n"/>
      <c r="D93" s="15" t="n"/>
      <c r="E93" s="15" t="n"/>
      <c r="F93" s="19" t="n"/>
      <c r="G93" s="19" t="n"/>
      <c r="H93" s="20">
        <f>IF(F93="","",F93*Configurações!$B$6+Configurações!$B$7)</f>
        <v/>
      </c>
      <c r="I93" s="20">
        <f>IF(F93="","",F93*Configurações!$B$8)</f>
        <v/>
      </c>
      <c r="J93" s="15" t="n"/>
      <c r="K93" s="20">
        <f>IF(F93="","",IF(J93="Sim",-H93-G93,F93-G93-H93-I93))</f>
        <v/>
      </c>
      <c r="M93" s="21" t="n"/>
      <c r="N93" s="22">
        <f>IF(OR(M93="",Configurações!$B$5=""),"",INT((M93-Configurações!$B$5)/7)+1)</f>
        <v/>
      </c>
      <c r="O93" s="23" t="n"/>
      <c r="P93" s="23" t="n"/>
      <c r="Q93" s="24" t="n"/>
    </row>
    <row r="94">
      <c r="A94" s="13" t="n"/>
      <c r="B94" s="14">
        <f>IF(OR(A94="",Configurações!$B$5=""),"",INT((A94-Configurações!$B$5)/7)+1)</f>
        <v/>
      </c>
      <c r="C94" s="15" t="n"/>
      <c r="D94" s="15" t="n"/>
      <c r="E94" s="15" t="n"/>
      <c r="F94" s="19" t="n"/>
      <c r="G94" s="19" t="n"/>
      <c r="H94" s="20">
        <f>IF(F94="","",F94*Configurações!$B$6+Configurações!$B$7)</f>
        <v/>
      </c>
      <c r="I94" s="20">
        <f>IF(F94="","",F94*Configurações!$B$8)</f>
        <v/>
      </c>
      <c r="J94" s="15" t="n"/>
      <c r="K94" s="20">
        <f>IF(F94="","",IF(J94="Sim",-H94-G94,F94-G94-H94-I94))</f>
        <v/>
      </c>
      <c r="M94" s="21" t="n"/>
      <c r="N94" s="22">
        <f>IF(OR(M94="",Configurações!$B$5=""),"",INT((M94-Configurações!$B$5)/7)+1)</f>
        <v/>
      </c>
      <c r="O94" s="23" t="n"/>
      <c r="P94" s="23" t="n"/>
      <c r="Q94" s="24" t="n"/>
    </row>
    <row r="95">
      <c r="A95" s="13" t="n"/>
      <c r="B95" s="14">
        <f>IF(OR(A95="",Configurações!$B$5=""),"",INT((A95-Configurações!$B$5)/7)+1)</f>
        <v/>
      </c>
      <c r="C95" s="15" t="n"/>
      <c r="D95" s="15" t="n"/>
      <c r="E95" s="15" t="n"/>
      <c r="F95" s="19" t="n"/>
      <c r="G95" s="19" t="n"/>
      <c r="H95" s="20">
        <f>IF(F95="","",F95*Configurações!$B$6+Configurações!$B$7)</f>
        <v/>
      </c>
      <c r="I95" s="20">
        <f>IF(F95="","",F95*Configurações!$B$8)</f>
        <v/>
      </c>
      <c r="J95" s="15" t="n"/>
      <c r="K95" s="20">
        <f>IF(F95="","",IF(J95="Sim",-H95-G95,F95-G95-H95-I95))</f>
        <v/>
      </c>
      <c r="M95" s="21" t="n"/>
      <c r="N95" s="22">
        <f>IF(OR(M95="",Configurações!$B$5=""),"",INT((M95-Configurações!$B$5)/7)+1)</f>
        <v/>
      </c>
      <c r="O95" s="23" t="n"/>
      <c r="P95" s="23" t="n"/>
      <c r="Q95" s="24" t="n"/>
    </row>
    <row r="96">
      <c r="A96" s="13" t="n"/>
      <c r="B96" s="14">
        <f>IF(OR(A96="",Configurações!$B$5=""),"",INT((A96-Configurações!$B$5)/7)+1)</f>
        <v/>
      </c>
      <c r="C96" s="15" t="n"/>
      <c r="D96" s="15" t="n"/>
      <c r="E96" s="15" t="n"/>
      <c r="F96" s="19" t="n"/>
      <c r="G96" s="19" t="n"/>
      <c r="H96" s="20">
        <f>IF(F96="","",F96*Configurações!$B$6+Configurações!$B$7)</f>
        <v/>
      </c>
      <c r="I96" s="20">
        <f>IF(F96="","",F96*Configurações!$B$8)</f>
        <v/>
      </c>
      <c r="J96" s="15" t="n"/>
      <c r="K96" s="20">
        <f>IF(F96="","",IF(J96="Sim",-H96-G96,F96-G96-H96-I96))</f>
        <v/>
      </c>
      <c r="M96" s="21" t="n"/>
      <c r="N96" s="22">
        <f>IF(OR(M96="",Configurações!$B$5=""),"",INT((M96-Configurações!$B$5)/7)+1)</f>
        <v/>
      </c>
      <c r="O96" s="23" t="n"/>
      <c r="P96" s="23" t="n"/>
      <c r="Q96" s="24" t="n"/>
    </row>
    <row r="97">
      <c r="A97" s="13" t="n"/>
      <c r="B97" s="14">
        <f>IF(OR(A97="",Configurações!$B$5=""),"",INT((A97-Configurações!$B$5)/7)+1)</f>
        <v/>
      </c>
      <c r="C97" s="15" t="n"/>
      <c r="D97" s="15" t="n"/>
      <c r="E97" s="15" t="n"/>
      <c r="F97" s="19" t="n"/>
      <c r="G97" s="19" t="n"/>
      <c r="H97" s="20">
        <f>IF(F97="","",F97*Configurações!$B$6+Configurações!$B$7)</f>
        <v/>
      </c>
      <c r="I97" s="20">
        <f>IF(F97="","",F97*Configurações!$B$8)</f>
        <v/>
      </c>
      <c r="J97" s="15" t="n"/>
      <c r="K97" s="20">
        <f>IF(F97="","",IF(J97="Sim",-H97-G97,F97-G97-H97-I97))</f>
        <v/>
      </c>
      <c r="M97" s="21" t="n"/>
      <c r="N97" s="22">
        <f>IF(OR(M97="",Configurações!$B$5=""),"",INT((M97-Configurações!$B$5)/7)+1)</f>
        <v/>
      </c>
      <c r="O97" s="23" t="n"/>
      <c r="P97" s="23" t="n"/>
      <c r="Q97" s="24" t="n"/>
    </row>
    <row r="98">
      <c r="A98" s="13" t="n"/>
      <c r="B98" s="14">
        <f>IF(OR(A98="",Configurações!$B$5=""),"",INT((A98-Configurações!$B$5)/7)+1)</f>
        <v/>
      </c>
      <c r="C98" s="15" t="n"/>
      <c r="D98" s="15" t="n"/>
      <c r="E98" s="15" t="n"/>
      <c r="F98" s="19" t="n"/>
      <c r="G98" s="19" t="n"/>
      <c r="H98" s="20">
        <f>IF(F98="","",F98*Configurações!$B$6+Configurações!$B$7)</f>
        <v/>
      </c>
      <c r="I98" s="20">
        <f>IF(F98="","",F98*Configurações!$B$8)</f>
        <v/>
      </c>
      <c r="J98" s="15" t="n"/>
      <c r="K98" s="20">
        <f>IF(F98="","",IF(J98="Sim",-H98-G98,F98-G98-H98-I98))</f>
        <v/>
      </c>
      <c r="M98" s="21" t="n"/>
      <c r="N98" s="22">
        <f>IF(OR(M98="",Configurações!$B$5=""),"",INT((M98-Configurações!$B$5)/7)+1)</f>
        <v/>
      </c>
      <c r="O98" s="23" t="n"/>
      <c r="P98" s="23" t="n"/>
      <c r="Q98" s="24" t="n"/>
    </row>
    <row r="99">
      <c r="A99" s="13" t="n"/>
      <c r="B99" s="14">
        <f>IF(OR(A99="",Configurações!$B$5=""),"",INT((A99-Configurações!$B$5)/7)+1)</f>
        <v/>
      </c>
      <c r="C99" s="15" t="n"/>
      <c r="D99" s="15" t="n"/>
      <c r="E99" s="15" t="n"/>
      <c r="F99" s="19" t="n"/>
      <c r="G99" s="19" t="n"/>
      <c r="H99" s="20">
        <f>IF(F99="","",F99*Configurações!$B$6+Configurações!$B$7)</f>
        <v/>
      </c>
      <c r="I99" s="20">
        <f>IF(F99="","",F99*Configurações!$B$8)</f>
        <v/>
      </c>
      <c r="J99" s="15" t="n"/>
      <c r="K99" s="20">
        <f>IF(F99="","",IF(J99="Sim",-H99-G99,F99-G99-H99-I99))</f>
        <v/>
      </c>
      <c r="M99" s="21" t="n"/>
      <c r="N99" s="22">
        <f>IF(OR(M99="",Configurações!$B$5=""),"",INT((M99-Configurações!$B$5)/7)+1)</f>
        <v/>
      </c>
      <c r="O99" s="23" t="n"/>
      <c r="P99" s="23" t="n"/>
      <c r="Q99" s="24" t="n"/>
    </row>
    <row r="100">
      <c r="A100" s="13" t="n"/>
      <c r="B100" s="14">
        <f>IF(OR(A100="",Configurações!$B$5=""),"",INT((A100-Configurações!$B$5)/7)+1)</f>
        <v/>
      </c>
      <c r="C100" s="15" t="n"/>
      <c r="D100" s="15" t="n"/>
      <c r="E100" s="15" t="n"/>
      <c r="F100" s="19" t="n"/>
      <c r="G100" s="19" t="n"/>
      <c r="H100" s="20">
        <f>IF(F100="","",F100*Configurações!$B$6+Configurações!$B$7)</f>
        <v/>
      </c>
      <c r="I100" s="20">
        <f>IF(F100="","",F100*Configurações!$B$8)</f>
        <v/>
      </c>
      <c r="J100" s="15" t="n"/>
      <c r="K100" s="20">
        <f>IF(F100="","",IF(J100="Sim",-H100-G100,F100-G100-H100-I100))</f>
        <v/>
      </c>
      <c r="M100" s="21" t="n"/>
      <c r="N100" s="22">
        <f>IF(OR(M100="",Configurações!$B$5=""),"",INT((M100-Configurações!$B$5)/7)+1)</f>
        <v/>
      </c>
      <c r="O100" s="23" t="n"/>
      <c r="P100" s="23" t="n"/>
      <c r="Q100" s="24" t="n"/>
    </row>
    <row r="101">
      <c r="A101" s="13" t="n"/>
      <c r="B101" s="14">
        <f>IF(OR(A101="",Configurações!$B$5=""),"",INT((A101-Configurações!$B$5)/7)+1)</f>
        <v/>
      </c>
      <c r="C101" s="15" t="n"/>
      <c r="D101" s="15" t="n"/>
      <c r="E101" s="15" t="n"/>
      <c r="F101" s="19" t="n"/>
      <c r="G101" s="19" t="n"/>
      <c r="H101" s="20">
        <f>IF(F101="","",F101*Configurações!$B$6+Configurações!$B$7)</f>
        <v/>
      </c>
      <c r="I101" s="20">
        <f>IF(F101="","",F101*Configurações!$B$8)</f>
        <v/>
      </c>
      <c r="J101" s="15" t="n"/>
      <c r="K101" s="20">
        <f>IF(F101="","",IF(J101="Sim",-H101-G101,F101-G101-H101-I101))</f>
        <v/>
      </c>
      <c r="M101" s="21" t="n"/>
      <c r="N101" s="22">
        <f>IF(OR(M101="",Configurações!$B$5=""),"",INT((M101-Configurações!$B$5)/7)+1)</f>
        <v/>
      </c>
      <c r="O101" s="23" t="n"/>
      <c r="P101" s="23" t="n"/>
      <c r="Q101" s="24" t="n"/>
    </row>
    <row r="102">
      <c r="A102" s="13" t="n"/>
      <c r="B102" s="14">
        <f>IF(OR(A102="",Configurações!$B$5=""),"",INT((A102-Configurações!$B$5)/7)+1)</f>
        <v/>
      </c>
      <c r="C102" s="15" t="n"/>
      <c r="D102" s="15" t="n"/>
      <c r="E102" s="15" t="n"/>
      <c r="F102" s="19" t="n"/>
      <c r="G102" s="19" t="n"/>
      <c r="H102" s="20">
        <f>IF(F102="","",F102*Configurações!$B$6+Configurações!$B$7)</f>
        <v/>
      </c>
      <c r="I102" s="20">
        <f>IF(F102="","",F102*Configurações!$B$8)</f>
        <v/>
      </c>
      <c r="J102" s="15" t="n"/>
      <c r="K102" s="20">
        <f>IF(F102="","",IF(J102="Sim",-H102-G102,F102-G102-H102-I102))</f>
        <v/>
      </c>
      <c r="M102" s="21" t="n"/>
      <c r="N102" s="22">
        <f>IF(OR(M102="",Configurações!$B$5=""),"",INT((M102-Configurações!$B$5)/7)+1)</f>
        <v/>
      </c>
      <c r="O102" s="23" t="n"/>
      <c r="P102" s="23" t="n"/>
      <c r="Q102" s="24" t="n"/>
    </row>
    <row r="103">
      <c r="A103" s="13" t="n"/>
      <c r="B103" s="14">
        <f>IF(OR(A103="",Configurações!$B$5=""),"",INT((A103-Configurações!$B$5)/7)+1)</f>
        <v/>
      </c>
      <c r="C103" s="15" t="n"/>
      <c r="D103" s="15" t="n"/>
      <c r="E103" s="15" t="n"/>
      <c r="F103" s="19" t="n"/>
      <c r="G103" s="19" t="n"/>
      <c r="H103" s="20">
        <f>IF(F103="","",F103*Configurações!$B$6+Configurações!$B$7)</f>
        <v/>
      </c>
      <c r="I103" s="20">
        <f>IF(F103="","",F103*Configurações!$B$8)</f>
        <v/>
      </c>
      <c r="J103" s="15" t="n"/>
      <c r="K103" s="20">
        <f>IF(F103="","",IF(J103="Sim",-H103-G103,F103-G103-H103-I103))</f>
        <v/>
      </c>
      <c r="M103" s="21" t="n"/>
      <c r="N103" s="22">
        <f>IF(OR(M103="",Configurações!$B$5=""),"",INT((M103-Configurações!$B$5)/7)+1)</f>
        <v/>
      </c>
      <c r="O103" s="23" t="n"/>
      <c r="P103" s="23" t="n"/>
      <c r="Q103" s="24" t="n"/>
    </row>
    <row r="104">
      <c r="A104" s="13" t="n"/>
      <c r="B104" s="14">
        <f>IF(OR(A104="",Configurações!$B$5=""),"",INT((A104-Configurações!$B$5)/7)+1)</f>
        <v/>
      </c>
      <c r="C104" s="15" t="n"/>
      <c r="D104" s="15" t="n"/>
      <c r="E104" s="15" t="n"/>
      <c r="F104" s="19" t="n"/>
      <c r="G104" s="19" t="n"/>
      <c r="H104" s="20">
        <f>IF(F104="","",F104*Configurações!$B$6+Configurações!$B$7)</f>
        <v/>
      </c>
      <c r="I104" s="20">
        <f>IF(F104="","",F104*Configurações!$B$8)</f>
        <v/>
      </c>
      <c r="J104" s="15" t="n"/>
      <c r="K104" s="20">
        <f>IF(F104="","",IF(J104="Sim",-H104-G104,F104-G104-H104-I104))</f>
        <v/>
      </c>
      <c r="M104" s="21" t="n"/>
      <c r="N104" s="22">
        <f>IF(OR(M104="",Configurações!$B$5=""),"",INT((M104-Configurações!$B$5)/7)+1)</f>
        <v/>
      </c>
      <c r="O104" s="23" t="n"/>
      <c r="P104" s="23" t="n"/>
      <c r="Q104" s="24" t="n"/>
    </row>
    <row r="105">
      <c r="A105" s="13" t="n"/>
      <c r="B105" s="14">
        <f>IF(OR(A105="",Configurações!$B$5=""),"",INT((A105-Configurações!$B$5)/7)+1)</f>
        <v/>
      </c>
      <c r="C105" s="15" t="n"/>
      <c r="D105" s="15" t="n"/>
      <c r="E105" s="15" t="n"/>
      <c r="F105" s="19" t="n"/>
      <c r="G105" s="19" t="n"/>
      <c r="H105" s="20">
        <f>IF(F105="","",F105*Configurações!$B$6+Configurações!$B$7)</f>
        <v/>
      </c>
      <c r="I105" s="20">
        <f>IF(F105="","",F105*Configurações!$B$8)</f>
        <v/>
      </c>
      <c r="J105" s="15" t="n"/>
      <c r="K105" s="20">
        <f>IF(F105="","",IF(J105="Sim",-H105-G105,F105-G105-H105-I105))</f>
        <v/>
      </c>
    </row>
    <row r="106">
      <c r="A106" s="13" t="n"/>
      <c r="B106" s="14">
        <f>IF(OR(A106="",Configurações!$B$5=""),"",INT((A106-Configurações!$B$5)/7)+1)</f>
        <v/>
      </c>
      <c r="C106" s="15" t="n"/>
      <c r="D106" s="15" t="n"/>
      <c r="E106" s="15" t="n"/>
      <c r="F106" s="19" t="n"/>
      <c r="G106" s="19" t="n"/>
      <c r="H106" s="20">
        <f>IF(F106="","",F106*Configurações!$B$6+Configurações!$B$7)</f>
        <v/>
      </c>
      <c r="I106" s="20">
        <f>IF(F106="","",F106*Configurações!$B$8)</f>
        <v/>
      </c>
      <c r="J106" s="15" t="n"/>
      <c r="K106" s="20">
        <f>IF(F106="","",IF(J106="Sim",-H106-G106,F106-G106-H106-I106))</f>
        <v/>
      </c>
    </row>
    <row r="107">
      <c r="A107" s="13" t="n"/>
      <c r="B107" s="14">
        <f>IF(OR(A107="",Configurações!$B$5=""),"",INT((A107-Configurações!$B$5)/7)+1)</f>
        <v/>
      </c>
      <c r="C107" s="15" t="n"/>
      <c r="D107" s="15" t="n"/>
      <c r="E107" s="15" t="n"/>
      <c r="F107" s="19" t="n"/>
      <c r="G107" s="19" t="n"/>
      <c r="H107" s="20">
        <f>IF(F107="","",F107*Configurações!$B$6+Configurações!$B$7)</f>
        <v/>
      </c>
      <c r="I107" s="20">
        <f>IF(F107="","",F107*Configurações!$B$8)</f>
        <v/>
      </c>
      <c r="J107" s="15" t="n"/>
      <c r="K107" s="20">
        <f>IF(F107="","",IF(J107="Sim",-H107-G107,F107-G107-H107-I107))</f>
        <v/>
      </c>
    </row>
    <row r="108">
      <c r="A108" s="13" t="n"/>
      <c r="B108" s="14">
        <f>IF(OR(A108="",Configurações!$B$5=""),"",INT((A108-Configurações!$B$5)/7)+1)</f>
        <v/>
      </c>
      <c r="C108" s="15" t="n"/>
      <c r="D108" s="15" t="n"/>
      <c r="E108" s="15" t="n"/>
      <c r="F108" s="19" t="n"/>
      <c r="G108" s="19" t="n"/>
      <c r="H108" s="20">
        <f>IF(F108="","",F108*Configurações!$B$6+Configurações!$B$7)</f>
        <v/>
      </c>
      <c r="I108" s="20">
        <f>IF(F108="","",F108*Configurações!$B$8)</f>
        <v/>
      </c>
      <c r="J108" s="15" t="n"/>
      <c r="K108" s="20">
        <f>IF(F108="","",IF(J108="Sim",-H108-G108,F108-G108-H108-I108))</f>
        <v/>
      </c>
    </row>
    <row r="109">
      <c r="A109" s="13" t="n"/>
      <c r="B109" s="14">
        <f>IF(OR(A109="",Configurações!$B$5=""),"",INT((A109-Configurações!$B$5)/7)+1)</f>
        <v/>
      </c>
      <c r="C109" s="15" t="n"/>
      <c r="D109" s="15" t="n"/>
      <c r="E109" s="15" t="n"/>
      <c r="F109" s="19" t="n"/>
      <c r="G109" s="19" t="n"/>
      <c r="H109" s="20">
        <f>IF(F109="","",F109*Configurações!$B$6+Configurações!$B$7)</f>
        <v/>
      </c>
      <c r="I109" s="20">
        <f>IF(F109="","",F109*Configurações!$B$8)</f>
        <v/>
      </c>
      <c r="J109" s="15" t="n"/>
      <c r="K109" s="20">
        <f>IF(F109="","",IF(J109="Sim",-H109-G109,F109-G109-H109-I109))</f>
        <v/>
      </c>
    </row>
    <row r="110">
      <c r="A110" s="13" t="n"/>
      <c r="B110" s="14">
        <f>IF(OR(A110="",Configurações!$B$5=""),"",INT((A110-Configurações!$B$5)/7)+1)</f>
        <v/>
      </c>
      <c r="C110" s="15" t="n"/>
      <c r="D110" s="15" t="n"/>
      <c r="E110" s="15" t="n"/>
      <c r="F110" s="19" t="n"/>
      <c r="G110" s="19" t="n"/>
      <c r="H110" s="20">
        <f>IF(F110="","",F110*Configurações!$B$6+Configurações!$B$7)</f>
        <v/>
      </c>
      <c r="I110" s="20">
        <f>IF(F110="","",F110*Configurações!$B$8)</f>
        <v/>
      </c>
      <c r="J110" s="15" t="n"/>
      <c r="K110" s="20">
        <f>IF(F110="","",IF(J110="Sim",-H110-G110,F110-G110-H110-I110))</f>
        <v/>
      </c>
    </row>
    <row r="111">
      <c r="A111" s="13" t="n"/>
      <c r="B111" s="14">
        <f>IF(OR(A111="",Configurações!$B$5=""),"",INT((A111-Configurações!$B$5)/7)+1)</f>
        <v/>
      </c>
      <c r="C111" s="15" t="n"/>
      <c r="D111" s="15" t="n"/>
      <c r="E111" s="15" t="n"/>
      <c r="F111" s="19" t="n"/>
      <c r="G111" s="19" t="n"/>
      <c r="H111" s="20">
        <f>IF(F111="","",F111*Configurações!$B$6+Configurações!$B$7)</f>
        <v/>
      </c>
      <c r="I111" s="20">
        <f>IF(F111="","",F111*Configurações!$B$8)</f>
        <v/>
      </c>
      <c r="J111" s="15" t="n"/>
      <c r="K111" s="20">
        <f>IF(F111="","",IF(J111="Sim",-H111-G111,F111-G111-H111-I111))</f>
        <v/>
      </c>
    </row>
    <row r="112">
      <c r="A112" s="13" t="n"/>
      <c r="B112" s="14">
        <f>IF(OR(A112="",Configurações!$B$5=""),"",INT((A112-Configurações!$B$5)/7)+1)</f>
        <v/>
      </c>
      <c r="C112" s="15" t="n"/>
      <c r="D112" s="15" t="n"/>
      <c r="E112" s="15" t="n"/>
      <c r="F112" s="19" t="n"/>
      <c r="G112" s="19" t="n"/>
      <c r="H112" s="20">
        <f>IF(F112="","",F112*Configurações!$B$6+Configurações!$B$7)</f>
        <v/>
      </c>
      <c r="I112" s="20">
        <f>IF(F112="","",F112*Configurações!$B$8)</f>
        <v/>
      </c>
      <c r="J112" s="15" t="n"/>
      <c r="K112" s="20">
        <f>IF(F112="","",IF(J112="Sim",-H112-G112,F112-G112-H112-I112))</f>
        <v/>
      </c>
    </row>
    <row r="113">
      <c r="A113" s="13" t="n"/>
      <c r="B113" s="14">
        <f>IF(OR(A113="",Configurações!$B$5=""),"",INT((A113-Configurações!$B$5)/7)+1)</f>
        <v/>
      </c>
      <c r="C113" s="15" t="n"/>
      <c r="D113" s="15" t="n"/>
      <c r="E113" s="15" t="n"/>
      <c r="F113" s="19" t="n"/>
      <c r="G113" s="19" t="n"/>
      <c r="H113" s="20">
        <f>IF(F113="","",F113*Configurações!$B$6+Configurações!$B$7)</f>
        <v/>
      </c>
      <c r="I113" s="20">
        <f>IF(F113="","",F113*Configurações!$B$8)</f>
        <v/>
      </c>
      <c r="J113" s="15" t="n"/>
      <c r="K113" s="20">
        <f>IF(F113="","",IF(J113="Sim",-H113-G113,F113-G113-H113-I113))</f>
        <v/>
      </c>
    </row>
    <row r="114">
      <c r="A114" s="13" t="n"/>
      <c r="B114" s="14">
        <f>IF(OR(A114="",Configurações!$B$5=""),"",INT((A114-Configurações!$B$5)/7)+1)</f>
        <v/>
      </c>
      <c r="C114" s="15" t="n"/>
      <c r="D114" s="15" t="n"/>
      <c r="E114" s="15" t="n"/>
      <c r="F114" s="19" t="n"/>
      <c r="G114" s="19" t="n"/>
      <c r="H114" s="20">
        <f>IF(F114="","",F114*Configurações!$B$6+Configurações!$B$7)</f>
        <v/>
      </c>
      <c r="I114" s="20">
        <f>IF(F114="","",F114*Configurações!$B$8)</f>
        <v/>
      </c>
      <c r="J114" s="15" t="n"/>
      <c r="K114" s="20">
        <f>IF(F114="","",IF(J114="Sim",-H114-G114,F114-G114-H114-I114))</f>
        <v/>
      </c>
    </row>
    <row r="115">
      <c r="A115" s="13" t="n"/>
      <c r="B115" s="14">
        <f>IF(OR(A115="",Configurações!$B$5=""),"",INT((A115-Configurações!$B$5)/7)+1)</f>
        <v/>
      </c>
      <c r="C115" s="15" t="n"/>
      <c r="D115" s="15" t="n"/>
      <c r="E115" s="15" t="n"/>
      <c r="F115" s="19" t="n"/>
      <c r="G115" s="19" t="n"/>
      <c r="H115" s="20">
        <f>IF(F115="","",F115*Configurações!$B$6+Configurações!$B$7)</f>
        <v/>
      </c>
      <c r="I115" s="20">
        <f>IF(F115="","",F115*Configurações!$B$8)</f>
        <v/>
      </c>
      <c r="J115" s="15" t="n"/>
      <c r="K115" s="20">
        <f>IF(F115="","",IF(J115="Sim",-H115-G115,F115-G115-H115-I115))</f>
        <v/>
      </c>
    </row>
    <row r="116">
      <c r="A116" s="13" t="n"/>
      <c r="B116" s="14">
        <f>IF(OR(A116="",Configurações!$B$5=""),"",INT((A116-Configurações!$B$5)/7)+1)</f>
        <v/>
      </c>
      <c r="C116" s="15" t="n"/>
      <c r="D116" s="15" t="n"/>
      <c r="E116" s="15" t="n"/>
      <c r="F116" s="19" t="n"/>
      <c r="G116" s="19" t="n"/>
      <c r="H116" s="20">
        <f>IF(F116="","",F116*Configurações!$B$6+Configurações!$B$7)</f>
        <v/>
      </c>
      <c r="I116" s="20">
        <f>IF(F116="","",F116*Configurações!$B$8)</f>
        <v/>
      </c>
      <c r="J116" s="15" t="n"/>
      <c r="K116" s="20">
        <f>IF(F116="","",IF(J116="Sim",-H116-G116,F116-G116-H116-I116))</f>
        <v/>
      </c>
    </row>
    <row r="117">
      <c r="A117" s="13" t="n"/>
      <c r="B117" s="14">
        <f>IF(OR(A117="",Configurações!$B$5=""),"",INT((A117-Configurações!$B$5)/7)+1)</f>
        <v/>
      </c>
      <c r="C117" s="15" t="n"/>
      <c r="D117" s="15" t="n"/>
      <c r="E117" s="15" t="n"/>
      <c r="F117" s="19" t="n"/>
      <c r="G117" s="19" t="n"/>
      <c r="H117" s="20">
        <f>IF(F117="","",F117*Configurações!$B$6+Configurações!$B$7)</f>
        <v/>
      </c>
      <c r="I117" s="20">
        <f>IF(F117="","",F117*Configurações!$B$8)</f>
        <v/>
      </c>
      <c r="J117" s="15" t="n"/>
      <c r="K117" s="20">
        <f>IF(F117="","",IF(J117="Sim",-H117-G117,F117-G117-H117-I117))</f>
        <v/>
      </c>
    </row>
    <row r="118">
      <c r="A118" s="13" t="n"/>
      <c r="B118" s="14">
        <f>IF(OR(A118="",Configurações!$B$5=""),"",INT((A118-Configurações!$B$5)/7)+1)</f>
        <v/>
      </c>
      <c r="C118" s="15" t="n"/>
      <c r="D118" s="15" t="n"/>
      <c r="E118" s="15" t="n"/>
      <c r="F118" s="19" t="n"/>
      <c r="G118" s="19" t="n"/>
      <c r="H118" s="20">
        <f>IF(F118="","",F118*Configurações!$B$6+Configurações!$B$7)</f>
        <v/>
      </c>
      <c r="I118" s="20">
        <f>IF(F118="","",F118*Configurações!$B$8)</f>
        <v/>
      </c>
      <c r="J118" s="15" t="n"/>
      <c r="K118" s="20">
        <f>IF(F118="","",IF(J118="Sim",-H118-G118,F118-G118-H118-I118))</f>
        <v/>
      </c>
    </row>
    <row r="119">
      <c r="A119" s="13" t="n"/>
      <c r="B119" s="14">
        <f>IF(OR(A119="",Configurações!$B$5=""),"",INT((A119-Configurações!$B$5)/7)+1)</f>
        <v/>
      </c>
      <c r="C119" s="15" t="n"/>
      <c r="D119" s="15" t="n"/>
      <c r="E119" s="15" t="n"/>
      <c r="F119" s="19" t="n"/>
      <c r="G119" s="19" t="n"/>
      <c r="H119" s="20">
        <f>IF(F119="","",F119*Configurações!$B$6+Configurações!$B$7)</f>
        <v/>
      </c>
      <c r="I119" s="20">
        <f>IF(F119="","",F119*Configurações!$B$8)</f>
        <v/>
      </c>
      <c r="J119" s="15" t="n"/>
      <c r="K119" s="20">
        <f>IF(F119="","",IF(J119="Sim",-H119-G119,F119-G119-H119-I119))</f>
        <v/>
      </c>
    </row>
    <row r="120">
      <c r="A120" s="13" t="n"/>
      <c r="B120" s="14">
        <f>IF(OR(A120="",Configurações!$B$5=""),"",INT((A120-Configurações!$B$5)/7)+1)</f>
        <v/>
      </c>
      <c r="C120" s="15" t="n"/>
      <c r="D120" s="15" t="n"/>
      <c r="E120" s="15" t="n"/>
      <c r="F120" s="19" t="n"/>
      <c r="G120" s="19" t="n"/>
      <c r="H120" s="20">
        <f>IF(F120="","",F120*Configurações!$B$6+Configurações!$B$7)</f>
        <v/>
      </c>
      <c r="I120" s="20">
        <f>IF(F120="","",F120*Configurações!$B$8)</f>
        <v/>
      </c>
      <c r="J120" s="15" t="n"/>
      <c r="K120" s="20">
        <f>IF(F120="","",IF(J120="Sim",-H120-G120,F120-G120-H120-I120))</f>
        <v/>
      </c>
    </row>
    <row r="121">
      <c r="A121" s="13" t="n"/>
      <c r="B121" s="14">
        <f>IF(OR(A121="",Configurações!$B$5=""),"",INT((A121-Configurações!$B$5)/7)+1)</f>
        <v/>
      </c>
      <c r="C121" s="15" t="n"/>
      <c r="D121" s="15" t="n"/>
      <c r="E121" s="15" t="n"/>
      <c r="F121" s="19" t="n"/>
      <c r="G121" s="19" t="n"/>
      <c r="H121" s="20">
        <f>IF(F121="","",F121*Configurações!$B$6+Configurações!$B$7)</f>
        <v/>
      </c>
      <c r="I121" s="20">
        <f>IF(F121="","",F121*Configurações!$B$8)</f>
        <v/>
      </c>
      <c r="J121" s="15" t="n"/>
      <c r="K121" s="20">
        <f>IF(F121="","",IF(J121="Sim",-H121-G121,F121-G121-H121-I121))</f>
        <v/>
      </c>
    </row>
    <row r="122">
      <c r="A122" s="13" t="n"/>
      <c r="B122" s="14">
        <f>IF(OR(A122="",Configurações!$B$5=""),"",INT((A122-Configurações!$B$5)/7)+1)</f>
        <v/>
      </c>
      <c r="C122" s="15" t="n"/>
      <c r="D122" s="15" t="n"/>
      <c r="E122" s="15" t="n"/>
      <c r="F122" s="19" t="n"/>
      <c r="G122" s="19" t="n"/>
      <c r="H122" s="20">
        <f>IF(F122="","",F122*Configurações!$B$6+Configurações!$B$7)</f>
        <v/>
      </c>
      <c r="I122" s="20">
        <f>IF(F122="","",F122*Configurações!$B$8)</f>
        <v/>
      </c>
      <c r="J122" s="15" t="n"/>
      <c r="K122" s="20">
        <f>IF(F122="","",IF(J122="Sim",-H122-G122,F122-G122-H122-I122))</f>
        <v/>
      </c>
    </row>
    <row r="123">
      <c r="A123" s="13" t="n"/>
      <c r="B123" s="14">
        <f>IF(OR(A123="",Configurações!$B$5=""),"",INT((A123-Configurações!$B$5)/7)+1)</f>
        <v/>
      </c>
      <c r="C123" s="15" t="n"/>
      <c r="D123" s="15" t="n"/>
      <c r="E123" s="15" t="n"/>
      <c r="F123" s="19" t="n"/>
      <c r="G123" s="19" t="n"/>
      <c r="H123" s="20">
        <f>IF(F123="","",F123*Configurações!$B$6+Configurações!$B$7)</f>
        <v/>
      </c>
      <c r="I123" s="20">
        <f>IF(F123="","",F123*Configurações!$B$8)</f>
        <v/>
      </c>
      <c r="J123" s="15" t="n"/>
      <c r="K123" s="20">
        <f>IF(F123="","",IF(J123="Sim",-H123-G123,F123-G123-H123-I123))</f>
        <v/>
      </c>
    </row>
    <row r="124">
      <c r="A124" s="13" t="n"/>
      <c r="B124" s="14">
        <f>IF(OR(A124="",Configurações!$B$5=""),"",INT((A124-Configurações!$B$5)/7)+1)</f>
        <v/>
      </c>
      <c r="C124" s="15" t="n"/>
      <c r="D124" s="15" t="n"/>
      <c r="E124" s="15" t="n"/>
      <c r="F124" s="19" t="n"/>
      <c r="G124" s="19" t="n"/>
      <c r="H124" s="20">
        <f>IF(F124="","",F124*Configurações!$B$6+Configurações!$B$7)</f>
        <v/>
      </c>
      <c r="I124" s="20">
        <f>IF(F124="","",F124*Configurações!$B$8)</f>
        <v/>
      </c>
      <c r="J124" s="15" t="n"/>
      <c r="K124" s="20">
        <f>IF(F124="","",IF(J124="Sim",-H124-G124,F124-G124-H124-I124))</f>
        <v/>
      </c>
    </row>
    <row r="125">
      <c r="A125" s="13" t="n"/>
      <c r="B125" s="14">
        <f>IF(OR(A125="",Configurações!$B$5=""),"",INT((A125-Configurações!$B$5)/7)+1)</f>
        <v/>
      </c>
      <c r="C125" s="15" t="n"/>
      <c r="D125" s="15" t="n"/>
      <c r="E125" s="15" t="n"/>
      <c r="F125" s="19" t="n"/>
      <c r="G125" s="19" t="n"/>
      <c r="H125" s="20">
        <f>IF(F125="","",F125*Configurações!$B$6+Configurações!$B$7)</f>
        <v/>
      </c>
      <c r="I125" s="20">
        <f>IF(F125="","",F125*Configurações!$B$8)</f>
        <v/>
      </c>
      <c r="J125" s="15" t="n"/>
      <c r="K125" s="20">
        <f>IF(F125="","",IF(J125="Sim",-H125-G125,F125-G125-H125-I125))</f>
        <v/>
      </c>
    </row>
    <row r="126">
      <c r="A126" s="13" t="n"/>
      <c r="B126" s="14">
        <f>IF(OR(A126="",Configurações!$B$5=""),"",INT((A126-Configurações!$B$5)/7)+1)</f>
        <v/>
      </c>
      <c r="C126" s="15" t="n"/>
      <c r="D126" s="15" t="n"/>
      <c r="E126" s="15" t="n"/>
      <c r="F126" s="19" t="n"/>
      <c r="G126" s="19" t="n"/>
      <c r="H126" s="20">
        <f>IF(F126="","",F126*Configurações!$B$6+Configurações!$B$7)</f>
        <v/>
      </c>
      <c r="I126" s="20">
        <f>IF(F126="","",F126*Configurações!$B$8)</f>
        <v/>
      </c>
      <c r="J126" s="15" t="n"/>
      <c r="K126" s="20">
        <f>IF(F126="","",IF(J126="Sim",-H126-G126,F126-G126-H126-I126))</f>
        <v/>
      </c>
    </row>
    <row r="127">
      <c r="A127" s="13" t="n"/>
      <c r="B127" s="14">
        <f>IF(OR(A127="",Configurações!$B$5=""),"",INT((A127-Configurações!$B$5)/7)+1)</f>
        <v/>
      </c>
      <c r="C127" s="15" t="n"/>
      <c r="D127" s="15" t="n"/>
      <c r="E127" s="15" t="n"/>
      <c r="F127" s="19" t="n"/>
      <c r="G127" s="19" t="n"/>
      <c r="H127" s="20">
        <f>IF(F127="","",F127*Configurações!$B$6+Configurações!$B$7)</f>
        <v/>
      </c>
      <c r="I127" s="20">
        <f>IF(F127="","",F127*Configurações!$B$8)</f>
        <v/>
      </c>
      <c r="J127" s="15" t="n"/>
      <c r="K127" s="20">
        <f>IF(F127="","",IF(J127="Sim",-H127-G127,F127-G127-H127-I127))</f>
        <v/>
      </c>
    </row>
    <row r="128">
      <c r="A128" s="13" t="n"/>
      <c r="B128" s="14">
        <f>IF(OR(A128="",Configurações!$B$5=""),"",INT((A128-Configurações!$B$5)/7)+1)</f>
        <v/>
      </c>
      <c r="C128" s="15" t="n"/>
      <c r="D128" s="15" t="n"/>
      <c r="E128" s="15" t="n"/>
      <c r="F128" s="19" t="n"/>
      <c r="G128" s="19" t="n"/>
      <c r="H128" s="20">
        <f>IF(F128="","",F128*Configurações!$B$6+Configurações!$B$7)</f>
        <v/>
      </c>
      <c r="I128" s="20">
        <f>IF(F128="","",F128*Configurações!$B$8)</f>
        <v/>
      </c>
      <c r="J128" s="15" t="n"/>
      <c r="K128" s="20">
        <f>IF(F128="","",IF(J128="Sim",-H128-G128,F128-G128-H128-I128))</f>
        <v/>
      </c>
    </row>
    <row r="129">
      <c r="A129" s="13" t="n"/>
      <c r="B129" s="14">
        <f>IF(OR(A129="",Configurações!$B$5=""),"",INT((A129-Configurações!$B$5)/7)+1)</f>
        <v/>
      </c>
      <c r="C129" s="15" t="n"/>
      <c r="D129" s="15" t="n"/>
      <c r="E129" s="15" t="n"/>
      <c r="F129" s="19" t="n"/>
      <c r="G129" s="19" t="n"/>
      <c r="H129" s="20">
        <f>IF(F129="","",F129*Configurações!$B$6+Configurações!$B$7)</f>
        <v/>
      </c>
      <c r="I129" s="20">
        <f>IF(F129="","",F129*Configurações!$B$8)</f>
        <v/>
      </c>
      <c r="J129" s="15" t="n"/>
      <c r="K129" s="20">
        <f>IF(F129="","",IF(J129="Sim",-H129-G129,F129-G129-H129-I129))</f>
        <v/>
      </c>
    </row>
    <row r="130">
      <c r="A130" s="13" t="n"/>
      <c r="B130" s="14">
        <f>IF(OR(A130="",Configurações!$B$5=""),"",INT((A130-Configurações!$B$5)/7)+1)</f>
        <v/>
      </c>
      <c r="C130" s="15" t="n"/>
      <c r="D130" s="15" t="n"/>
      <c r="E130" s="15" t="n"/>
      <c r="F130" s="19" t="n"/>
      <c r="G130" s="19" t="n"/>
      <c r="H130" s="20">
        <f>IF(F130="","",F130*Configurações!$B$6+Configurações!$B$7)</f>
        <v/>
      </c>
      <c r="I130" s="20">
        <f>IF(F130="","",F130*Configurações!$B$8)</f>
        <v/>
      </c>
      <c r="J130" s="15" t="n"/>
      <c r="K130" s="20">
        <f>IF(F130="","",IF(J130="Sim",-H130-G130,F130-G130-H130-I130))</f>
        <v/>
      </c>
    </row>
    <row r="131">
      <c r="A131" s="13" t="n"/>
      <c r="B131" s="14">
        <f>IF(OR(A131="",Configurações!$B$5=""),"",INT((A131-Configurações!$B$5)/7)+1)</f>
        <v/>
      </c>
      <c r="C131" s="15" t="n"/>
      <c r="D131" s="15" t="n"/>
      <c r="E131" s="15" t="n"/>
      <c r="F131" s="19" t="n"/>
      <c r="G131" s="19" t="n"/>
      <c r="H131" s="20">
        <f>IF(F131="","",F131*Configurações!$B$6+Configurações!$B$7)</f>
        <v/>
      </c>
      <c r="I131" s="20">
        <f>IF(F131="","",F131*Configurações!$B$8)</f>
        <v/>
      </c>
      <c r="J131" s="15" t="n"/>
      <c r="K131" s="20">
        <f>IF(F131="","",IF(J131="Sim",-H131-G131,F131-G131-H131-I131))</f>
        <v/>
      </c>
    </row>
    <row r="132">
      <c r="A132" s="13" t="n"/>
      <c r="B132" s="14">
        <f>IF(OR(A132="",Configurações!$B$5=""),"",INT((A132-Configurações!$B$5)/7)+1)</f>
        <v/>
      </c>
      <c r="C132" s="15" t="n"/>
      <c r="D132" s="15" t="n"/>
      <c r="E132" s="15" t="n"/>
      <c r="F132" s="19" t="n"/>
      <c r="G132" s="19" t="n"/>
      <c r="H132" s="20">
        <f>IF(F132="","",F132*Configurações!$B$6+Configurações!$B$7)</f>
        <v/>
      </c>
      <c r="I132" s="20">
        <f>IF(F132="","",F132*Configurações!$B$8)</f>
        <v/>
      </c>
      <c r="J132" s="15" t="n"/>
      <c r="K132" s="20">
        <f>IF(F132="","",IF(J132="Sim",-H132-G132,F132-G132-H132-I132))</f>
        <v/>
      </c>
    </row>
    <row r="133">
      <c r="A133" s="13" t="n"/>
      <c r="B133" s="14">
        <f>IF(OR(A133="",Configurações!$B$5=""),"",INT((A133-Configurações!$B$5)/7)+1)</f>
        <v/>
      </c>
      <c r="C133" s="15" t="n"/>
      <c r="D133" s="15" t="n"/>
      <c r="E133" s="15" t="n"/>
      <c r="F133" s="19" t="n"/>
      <c r="G133" s="19" t="n"/>
      <c r="H133" s="20">
        <f>IF(F133="","",F133*Configurações!$B$6+Configurações!$B$7)</f>
        <v/>
      </c>
      <c r="I133" s="20">
        <f>IF(F133="","",F133*Configurações!$B$8)</f>
        <v/>
      </c>
      <c r="J133" s="15" t="n"/>
      <c r="K133" s="20">
        <f>IF(F133="","",IF(J133="Sim",-H133-G133,F133-G133-H133-I133))</f>
        <v/>
      </c>
    </row>
    <row r="134">
      <c r="A134" s="13" t="n"/>
      <c r="B134" s="14">
        <f>IF(OR(A134="",Configurações!$B$5=""),"",INT((A134-Configurações!$B$5)/7)+1)</f>
        <v/>
      </c>
      <c r="C134" s="15" t="n"/>
      <c r="D134" s="15" t="n"/>
      <c r="E134" s="15" t="n"/>
      <c r="F134" s="19" t="n"/>
      <c r="G134" s="19" t="n"/>
      <c r="H134" s="20">
        <f>IF(F134="","",F134*Configurações!$B$6+Configurações!$B$7)</f>
        <v/>
      </c>
      <c r="I134" s="20">
        <f>IF(F134="","",F134*Configurações!$B$8)</f>
        <v/>
      </c>
      <c r="J134" s="15" t="n"/>
      <c r="K134" s="20">
        <f>IF(F134="","",IF(J134="Sim",-H134-G134,F134-G134-H134-I134))</f>
        <v/>
      </c>
    </row>
    <row r="135">
      <c r="A135" s="13" t="n"/>
      <c r="B135" s="14">
        <f>IF(OR(A135="",Configurações!$B$5=""),"",INT((A135-Configurações!$B$5)/7)+1)</f>
        <v/>
      </c>
      <c r="C135" s="15" t="n"/>
      <c r="D135" s="15" t="n"/>
      <c r="E135" s="15" t="n"/>
      <c r="F135" s="19" t="n"/>
      <c r="G135" s="19" t="n"/>
      <c r="H135" s="20">
        <f>IF(F135="","",F135*Configurações!$B$6+Configurações!$B$7)</f>
        <v/>
      </c>
      <c r="I135" s="20">
        <f>IF(F135="","",F135*Configurações!$B$8)</f>
        <v/>
      </c>
      <c r="J135" s="15" t="n"/>
      <c r="K135" s="20">
        <f>IF(F135="","",IF(J135="Sim",-H135-G135,F135-G135-H135-I135))</f>
        <v/>
      </c>
    </row>
    <row r="136">
      <c r="A136" s="13" t="n"/>
      <c r="B136" s="14">
        <f>IF(OR(A136="",Configurações!$B$5=""),"",INT((A136-Configurações!$B$5)/7)+1)</f>
        <v/>
      </c>
      <c r="C136" s="15" t="n"/>
      <c r="D136" s="15" t="n"/>
      <c r="E136" s="15" t="n"/>
      <c r="F136" s="19" t="n"/>
      <c r="G136" s="19" t="n"/>
      <c r="H136" s="20">
        <f>IF(F136="","",F136*Configurações!$B$6+Configurações!$B$7)</f>
        <v/>
      </c>
      <c r="I136" s="20">
        <f>IF(F136="","",F136*Configurações!$B$8)</f>
        <v/>
      </c>
      <c r="J136" s="15" t="n"/>
      <c r="K136" s="20">
        <f>IF(F136="","",IF(J136="Sim",-H136-G136,F136-G136-H136-I136))</f>
        <v/>
      </c>
    </row>
    <row r="137">
      <c r="A137" s="13" t="n"/>
      <c r="B137" s="14">
        <f>IF(OR(A137="",Configurações!$B$5=""),"",INT((A137-Configurações!$B$5)/7)+1)</f>
        <v/>
      </c>
      <c r="C137" s="15" t="n"/>
      <c r="D137" s="15" t="n"/>
      <c r="E137" s="15" t="n"/>
      <c r="F137" s="19" t="n"/>
      <c r="G137" s="19" t="n"/>
      <c r="H137" s="20">
        <f>IF(F137="","",F137*Configurações!$B$6+Configurações!$B$7)</f>
        <v/>
      </c>
      <c r="I137" s="20">
        <f>IF(F137="","",F137*Configurações!$B$8)</f>
        <v/>
      </c>
      <c r="J137" s="15" t="n"/>
      <c r="K137" s="20">
        <f>IF(F137="","",IF(J137="Sim",-H137-G137,F137-G137-H137-I137))</f>
        <v/>
      </c>
    </row>
    <row r="138">
      <c r="A138" s="13" t="n"/>
      <c r="B138" s="14">
        <f>IF(OR(A138="",Configurações!$B$5=""),"",INT((A138-Configurações!$B$5)/7)+1)</f>
        <v/>
      </c>
      <c r="C138" s="15" t="n"/>
      <c r="D138" s="15" t="n"/>
      <c r="E138" s="15" t="n"/>
      <c r="F138" s="19" t="n"/>
      <c r="G138" s="19" t="n"/>
      <c r="H138" s="20">
        <f>IF(F138="","",F138*Configurações!$B$6+Configurações!$B$7)</f>
        <v/>
      </c>
      <c r="I138" s="20">
        <f>IF(F138="","",F138*Configurações!$B$8)</f>
        <v/>
      </c>
      <c r="J138" s="15" t="n"/>
      <c r="K138" s="20">
        <f>IF(F138="","",IF(J138="Sim",-H138-G138,F138-G138-H138-I138))</f>
        <v/>
      </c>
    </row>
    <row r="139">
      <c r="A139" s="13" t="n"/>
      <c r="B139" s="14">
        <f>IF(OR(A139="",Configurações!$B$5=""),"",INT((A139-Configurações!$B$5)/7)+1)</f>
        <v/>
      </c>
      <c r="C139" s="15" t="n"/>
      <c r="D139" s="15" t="n"/>
      <c r="E139" s="15" t="n"/>
      <c r="F139" s="19" t="n"/>
      <c r="G139" s="19" t="n"/>
      <c r="H139" s="20">
        <f>IF(F139="","",F139*Configurações!$B$6+Configurações!$B$7)</f>
        <v/>
      </c>
      <c r="I139" s="20">
        <f>IF(F139="","",F139*Configurações!$B$8)</f>
        <v/>
      </c>
      <c r="J139" s="15" t="n"/>
      <c r="K139" s="20">
        <f>IF(F139="","",IF(J139="Sim",-H139-G139,F139-G139-H139-I139))</f>
        <v/>
      </c>
    </row>
    <row r="140">
      <c r="A140" s="13" t="n"/>
      <c r="B140" s="14">
        <f>IF(OR(A140="",Configurações!$B$5=""),"",INT((A140-Configurações!$B$5)/7)+1)</f>
        <v/>
      </c>
      <c r="C140" s="15" t="n"/>
      <c r="D140" s="15" t="n"/>
      <c r="E140" s="15" t="n"/>
      <c r="F140" s="19" t="n"/>
      <c r="G140" s="19" t="n"/>
      <c r="H140" s="20">
        <f>IF(F140="","",F140*Configurações!$B$6+Configurações!$B$7)</f>
        <v/>
      </c>
      <c r="I140" s="20">
        <f>IF(F140="","",F140*Configurações!$B$8)</f>
        <v/>
      </c>
      <c r="J140" s="15" t="n"/>
      <c r="K140" s="20">
        <f>IF(F140="","",IF(J140="Sim",-H140-G140,F140-G140-H140-I140))</f>
        <v/>
      </c>
    </row>
    <row r="141">
      <c r="A141" s="13" t="n"/>
      <c r="B141" s="14">
        <f>IF(OR(A141="",Configurações!$B$5=""),"",INT((A141-Configurações!$B$5)/7)+1)</f>
        <v/>
      </c>
      <c r="C141" s="15" t="n"/>
      <c r="D141" s="15" t="n"/>
      <c r="E141" s="15" t="n"/>
      <c r="F141" s="19" t="n"/>
      <c r="G141" s="19" t="n"/>
      <c r="H141" s="20">
        <f>IF(F141="","",F141*Configurações!$B$6+Configurações!$B$7)</f>
        <v/>
      </c>
      <c r="I141" s="20">
        <f>IF(F141="","",F141*Configurações!$B$8)</f>
        <v/>
      </c>
      <c r="J141" s="15" t="n"/>
      <c r="K141" s="20">
        <f>IF(F141="","",IF(J141="Sim",-H141-G141,F141-G141-H141-I141))</f>
        <v/>
      </c>
    </row>
    <row r="142">
      <c r="A142" s="13" t="n"/>
      <c r="B142" s="14">
        <f>IF(OR(A142="",Configurações!$B$5=""),"",INT((A142-Configurações!$B$5)/7)+1)</f>
        <v/>
      </c>
      <c r="C142" s="15" t="n"/>
      <c r="D142" s="15" t="n"/>
      <c r="E142" s="15" t="n"/>
      <c r="F142" s="19" t="n"/>
      <c r="G142" s="19" t="n"/>
      <c r="H142" s="20">
        <f>IF(F142="","",F142*Configurações!$B$6+Configurações!$B$7)</f>
        <v/>
      </c>
      <c r="I142" s="20">
        <f>IF(F142="","",F142*Configurações!$B$8)</f>
        <v/>
      </c>
      <c r="J142" s="15" t="n"/>
      <c r="K142" s="20">
        <f>IF(F142="","",IF(J142="Sim",-H142-G142,F142-G142-H142-I142))</f>
        <v/>
      </c>
    </row>
    <row r="143">
      <c r="A143" s="13" t="n"/>
      <c r="B143" s="14">
        <f>IF(OR(A143="",Configurações!$B$5=""),"",INT((A143-Configurações!$B$5)/7)+1)</f>
        <v/>
      </c>
      <c r="C143" s="15" t="n"/>
      <c r="D143" s="15" t="n"/>
      <c r="E143" s="15" t="n"/>
      <c r="F143" s="19" t="n"/>
      <c r="G143" s="19" t="n"/>
      <c r="H143" s="20">
        <f>IF(F143="","",F143*Configurações!$B$6+Configurações!$B$7)</f>
        <v/>
      </c>
      <c r="I143" s="20">
        <f>IF(F143="","",F143*Configurações!$B$8)</f>
        <v/>
      </c>
      <c r="J143" s="15" t="n"/>
      <c r="K143" s="20">
        <f>IF(F143="","",IF(J143="Sim",-H143-G143,F143-G143-H143-I143))</f>
        <v/>
      </c>
    </row>
    <row r="144">
      <c r="A144" s="13" t="n"/>
      <c r="B144" s="14">
        <f>IF(OR(A144="",Configurações!$B$5=""),"",INT((A144-Configurações!$B$5)/7)+1)</f>
        <v/>
      </c>
      <c r="C144" s="15" t="n"/>
      <c r="D144" s="15" t="n"/>
      <c r="E144" s="15" t="n"/>
      <c r="F144" s="19" t="n"/>
      <c r="G144" s="19" t="n"/>
      <c r="H144" s="20">
        <f>IF(F144="","",F144*Configurações!$B$6+Configurações!$B$7)</f>
        <v/>
      </c>
      <c r="I144" s="20">
        <f>IF(F144="","",F144*Configurações!$B$8)</f>
        <v/>
      </c>
      <c r="J144" s="15" t="n"/>
      <c r="K144" s="20">
        <f>IF(F144="","",IF(J144="Sim",-H144-G144,F144-G144-H144-I144))</f>
        <v/>
      </c>
    </row>
    <row r="145">
      <c r="A145" s="13" t="n"/>
      <c r="B145" s="14">
        <f>IF(OR(A145="",Configurações!$B$5=""),"",INT((A145-Configurações!$B$5)/7)+1)</f>
        <v/>
      </c>
      <c r="C145" s="15" t="n"/>
      <c r="D145" s="15" t="n"/>
      <c r="E145" s="15" t="n"/>
      <c r="F145" s="19" t="n"/>
      <c r="G145" s="19" t="n"/>
      <c r="H145" s="20">
        <f>IF(F145="","",F145*Configurações!$B$6+Configurações!$B$7)</f>
        <v/>
      </c>
      <c r="I145" s="20">
        <f>IF(F145="","",F145*Configurações!$B$8)</f>
        <v/>
      </c>
      <c r="J145" s="15" t="n"/>
      <c r="K145" s="20">
        <f>IF(F145="","",IF(J145="Sim",-H145-G145,F145-G145-H145-I145))</f>
        <v/>
      </c>
    </row>
    <row r="146">
      <c r="A146" s="13" t="n"/>
      <c r="B146" s="14">
        <f>IF(OR(A146="",Configurações!$B$5=""),"",INT((A146-Configurações!$B$5)/7)+1)</f>
        <v/>
      </c>
      <c r="C146" s="15" t="n"/>
      <c r="D146" s="15" t="n"/>
      <c r="E146" s="15" t="n"/>
      <c r="F146" s="19" t="n"/>
      <c r="G146" s="19" t="n"/>
      <c r="H146" s="20">
        <f>IF(F146="","",F146*Configurações!$B$6+Configurações!$B$7)</f>
        <v/>
      </c>
      <c r="I146" s="20">
        <f>IF(F146="","",F146*Configurações!$B$8)</f>
        <v/>
      </c>
      <c r="J146" s="15" t="n"/>
      <c r="K146" s="20">
        <f>IF(F146="","",IF(J146="Sim",-H146-G146,F146-G146-H146-I146))</f>
        <v/>
      </c>
    </row>
    <row r="147">
      <c r="A147" s="13" t="n"/>
      <c r="B147" s="14">
        <f>IF(OR(A147="",Configurações!$B$5=""),"",INT((A147-Configurações!$B$5)/7)+1)</f>
        <v/>
      </c>
      <c r="C147" s="15" t="n"/>
      <c r="D147" s="15" t="n"/>
      <c r="E147" s="15" t="n"/>
      <c r="F147" s="19" t="n"/>
      <c r="G147" s="19" t="n"/>
      <c r="H147" s="20">
        <f>IF(F147="","",F147*Configurações!$B$6+Configurações!$B$7)</f>
        <v/>
      </c>
      <c r="I147" s="20">
        <f>IF(F147="","",F147*Configurações!$B$8)</f>
        <v/>
      </c>
      <c r="J147" s="15" t="n"/>
      <c r="K147" s="20">
        <f>IF(F147="","",IF(J147="Sim",-H147-G147,F147-G147-H147-I147))</f>
        <v/>
      </c>
    </row>
    <row r="148">
      <c r="A148" s="13" t="n"/>
      <c r="B148" s="14">
        <f>IF(OR(A148="",Configurações!$B$5=""),"",INT((A148-Configurações!$B$5)/7)+1)</f>
        <v/>
      </c>
      <c r="C148" s="15" t="n"/>
      <c r="D148" s="15" t="n"/>
      <c r="E148" s="15" t="n"/>
      <c r="F148" s="19" t="n"/>
      <c r="G148" s="19" t="n"/>
      <c r="H148" s="20">
        <f>IF(F148="","",F148*Configurações!$B$6+Configurações!$B$7)</f>
        <v/>
      </c>
      <c r="I148" s="20">
        <f>IF(F148="","",F148*Configurações!$B$8)</f>
        <v/>
      </c>
      <c r="J148" s="15" t="n"/>
      <c r="K148" s="20">
        <f>IF(F148="","",IF(J148="Sim",-H148-G148,F148-G148-H148-I148))</f>
        <v/>
      </c>
    </row>
    <row r="149">
      <c r="A149" s="13" t="n"/>
      <c r="B149" s="14">
        <f>IF(OR(A149="",Configurações!$B$5=""),"",INT((A149-Configurações!$B$5)/7)+1)</f>
        <v/>
      </c>
      <c r="C149" s="15" t="n"/>
      <c r="D149" s="15" t="n"/>
      <c r="E149" s="15" t="n"/>
      <c r="F149" s="19" t="n"/>
      <c r="G149" s="19" t="n"/>
      <c r="H149" s="20">
        <f>IF(F149="","",F149*Configurações!$B$6+Configurações!$B$7)</f>
        <v/>
      </c>
      <c r="I149" s="20">
        <f>IF(F149="","",F149*Configurações!$B$8)</f>
        <v/>
      </c>
      <c r="J149" s="15" t="n"/>
      <c r="K149" s="20">
        <f>IF(F149="","",IF(J149="Sim",-H149-G149,F149-G149-H149-I149))</f>
        <v/>
      </c>
    </row>
    <row r="150">
      <c r="A150" s="13" t="n"/>
      <c r="B150" s="14">
        <f>IF(OR(A150="",Configurações!$B$5=""),"",INT((A150-Configurações!$B$5)/7)+1)</f>
        <v/>
      </c>
      <c r="C150" s="15" t="n"/>
      <c r="D150" s="15" t="n"/>
      <c r="E150" s="15" t="n"/>
      <c r="F150" s="19" t="n"/>
      <c r="G150" s="19" t="n"/>
      <c r="H150" s="20">
        <f>IF(F150="","",F150*Configurações!$B$6+Configurações!$B$7)</f>
        <v/>
      </c>
      <c r="I150" s="20">
        <f>IF(F150="","",F150*Configurações!$B$8)</f>
        <v/>
      </c>
      <c r="J150" s="15" t="n"/>
      <c r="K150" s="20">
        <f>IF(F150="","",IF(J150="Sim",-H150-G150,F150-G150-H150-I150))</f>
        <v/>
      </c>
    </row>
    <row r="151">
      <c r="A151" s="13" t="n"/>
      <c r="B151" s="14">
        <f>IF(OR(A151="",Configurações!$B$5=""),"",INT((A151-Configurações!$B$5)/7)+1)</f>
        <v/>
      </c>
      <c r="C151" s="15" t="n"/>
      <c r="D151" s="15" t="n"/>
      <c r="E151" s="15" t="n"/>
      <c r="F151" s="19" t="n"/>
      <c r="G151" s="19" t="n"/>
      <c r="H151" s="20">
        <f>IF(F151="","",F151*Configurações!$B$6+Configurações!$B$7)</f>
        <v/>
      </c>
      <c r="I151" s="20">
        <f>IF(F151="","",F151*Configurações!$B$8)</f>
        <v/>
      </c>
      <c r="J151" s="15" t="n"/>
      <c r="K151" s="20">
        <f>IF(F151="","",IF(J151="Sim",-H151-G151,F151-G151-H151-I151))</f>
        <v/>
      </c>
    </row>
    <row r="152">
      <c r="A152" s="13" t="n"/>
      <c r="B152" s="14">
        <f>IF(OR(A152="",Configurações!$B$5=""),"",INT((A152-Configurações!$B$5)/7)+1)</f>
        <v/>
      </c>
      <c r="C152" s="15" t="n"/>
      <c r="D152" s="15" t="n"/>
      <c r="E152" s="15" t="n"/>
      <c r="F152" s="19" t="n"/>
      <c r="G152" s="19" t="n"/>
      <c r="H152" s="20">
        <f>IF(F152="","",F152*Configurações!$B$6+Configurações!$B$7)</f>
        <v/>
      </c>
      <c r="I152" s="20">
        <f>IF(F152="","",F152*Configurações!$B$8)</f>
        <v/>
      </c>
      <c r="J152" s="15" t="n"/>
      <c r="K152" s="20">
        <f>IF(F152="","",IF(J152="Sim",-H152-G152,F152-G152-H152-I152))</f>
        <v/>
      </c>
    </row>
    <row r="153">
      <c r="A153" s="13" t="n"/>
      <c r="B153" s="14">
        <f>IF(OR(A153="",Configurações!$B$5=""),"",INT((A153-Configurações!$B$5)/7)+1)</f>
        <v/>
      </c>
      <c r="C153" s="15" t="n"/>
      <c r="D153" s="15" t="n"/>
      <c r="E153" s="15" t="n"/>
      <c r="F153" s="19" t="n"/>
      <c r="G153" s="19" t="n"/>
      <c r="H153" s="20">
        <f>IF(F153="","",F153*Configurações!$B$6+Configurações!$B$7)</f>
        <v/>
      </c>
      <c r="I153" s="20">
        <f>IF(F153="","",F153*Configurações!$B$8)</f>
        <v/>
      </c>
      <c r="J153" s="15" t="n"/>
      <c r="K153" s="20">
        <f>IF(F153="","",IF(J153="Sim",-H153-G153,F153-G153-H153-I153))</f>
        <v/>
      </c>
    </row>
    <row r="154">
      <c r="A154" s="13" t="n"/>
      <c r="B154" s="14">
        <f>IF(OR(A154="",Configurações!$B$5=""),"",INT((A154-Configurações!$B$5)/7)+1)</f>
        <v/>
      </c>
      <c r="C154" s="15" t="n"/>
      <c r="D154" s="15" t="n"/>
      <c r="E154" s="15" t="n"/>
      <c r="F154" s="19" t="n"/>
      <c r="G154" s="19" t="n"/>
      <c r="H154" s="20">
        <f>IF(F154="","",F154*Configurações!$B$6+Configurações!$B$7)</f>
        <v/>
      </c>
      <c r="I154" s="20">
        <f>IF(F154="","",F154*Configurações!$B$8)</f>
        <v/>
      </c>
      <c r="J154" s="15" t="n"/>
      <c r="K154" s="20">
        <f>IF(F154="","",IF(J154="Sim",-H154-G154,F154-G154-H154-I154))</f>
        <v/>
      </c>
    </row>
    <row r="155">
      <c r="A155" s="13" t="n"/>
      <c r="B155" s="14">
        <f>IF(OR(A155="",Configurações!$B$5=""),"",INT((A155-Configurações!$B$5)/7)+1)</f>
        <v/>
      </c>
      <c r="C155" s="15" t="n"/>
      <c r="D155" s="15" t="n"/>
      <c r="E155" s="15" t="n"/>
      <c r="F155" s="19" t="n"/>
      <c r="G155" s="19" t="n"/>
      <c r="H155" s="20">
        <f>IF(F155="","",F155*Configurações!$B$6+Configurações!$B$7)</f>
        <v/>
      </c>
      <c r="I155" s="20">
        <f>IF(F155="","",F155*Configurações!$B$8)</f>
        <v/>
      </c>
      <c r="J155" s="15" t="n"/>
      <c r="K155" s="20">
        <f>IF(F155="","",IF(J155="Sim",-H155-G155,F155-G155-H155-I155))</f>
        <v/>
      </c>
    </row>
    <row r="156">
      <c r="A156" s="13" t="n"/>
      <c r="B156" s="14">
        <f>IF(OR(A156="",Configurações!$B$5=""),"",INT((A156-Configurações!$B$5)/7)+1)</f>
        <v/>
      </c>
      <c r="C156" s="15" t="n"/>
      <c r="D156" s="15" t="n"/>
      <c r="E156" s="15" t="n"/>
      <c r="F156" s="19" t="n"/>
      <c r="G156" s="19" t="n"/>
      <c r="H156" s="20">
        <f>IF(F156="","",F156*Configurações!$B$6+Configurações!$B$7)</f>
        <v/>
      </c>
      <c r="I156" s="20">
        <f>IF(F156="","",F156*Configurações!$B$8)</f>
        <v/>
      </c>
      <c r="J156" s="15" t="n"/>
      <c r="K156" s="20">
        <f>IF(F156="","",IF(J156="Sim",-H156-G156,F156-G156-H156-I156))</f>
        <v/>
      </c>
    </row>
    <row r="157">
      <c r="A157" s="13" t="n"/>
      <c r="B157" s="14">
        <f>IF(OR(A157="",Configurações!$B$5=""),"",INT((A157-Configurações!$B$5)/7)+1)</f>
        <v/>
      </c>
      <c r="C157" s="15" t="n"/>
      <c r="D157" s="15" t="n"/>
      <c r="E157" s="15" t="n"/>
      <c r="F157" s="19" t="n"/>
      <c r="G157" s="19" t="n"/>
      <c r="H157" s="20">
        <f>IF(F157="","",F157*Configurações!$B$6+Configurações!$B$7)</f>
        <v/>
      </c>
      <c r="I157" s="20">
        <f>IF(F157="","",F157*Configurações!$B$8)</f>
        <v/>
      </c>
      <c r="J157" s="15" t="n"/>
      <c r="K157" s="20">
        <f>IF(F157="","",IF(J157="Sim",-H157-G157,F157-G157-H157-I157))</f>
        <v/>
      </c>
    </row>
    <row r="158">
      <c r="A158" s="13" t="n"/>
      <c r="B158" s="14">
        <f>IF(OR(A158="",Configurações!$B$5=""),"",INT((A158-Configurações!$B$5)/7)+1)</f>
        <v/>
      </c>
      <c r="C158" s="15" t="n"/>
      <c r="D158" s="15" t="n"/>
      <c r="E158" s="15" t="n"/>
      <c r="F158" s="19" t="n"/>
      <c r="G158" s="19" t="n"/>
      <c r="H158" s="20">
        <f>IF(F158="","",F158*Configurações!$B$6+Configurações!$B$7)</f>
        <v/>
      </c>
      <c r="I158" s="20">
        <f>IF(F158="","",F158*Configurações!$B$8)</f>
        <v/>
      </c>
      <c r="J158" s="15" t="n"/>
      <c r="K158" s="20">
        <f>IF(F158="","",IF(J158="Sim",-H158-G158,F158-G158-H158-I158))</f>
        <v/>
      </c>
    </row>
    <row r="159">
      <c r="A159" s="13" t="n"/>
      <c r="B159" s="14">
        <f>IF(OR(A159="",Configurações!$B$5=""),"",INT((A159-Configurações!$B$5)/7)+1)</f>
        <v/>
      </c>
      <c r="C159" s="15" t="n"/>
      <c r="D159" s="15" t="n"/>
      <c r="E159" s="15" t="n"/>
      <c r="F159" s="19" t="n"/>
      <c r="G159" s="19" t="n"/>
      <c r="H159" s="20">
        <f>IF(F159="","",F159*Configurações!$B$6+Configurações!$B$7)</f>
        <v/>
      </c>
      <c r="I159" s="20">
        <f>IF(F159="","",F159*Configurações!$B$8)</f>
        <v/>
      </c>
      <c r="J159" s="15" t="n"/>
      <c r="K159" s="20">
        <f>IF(F159="","",IF(J159="Sim",-H159-G159,F159-G159-H159-I159))</f>
        <v/>
      </c>
    </row>
    <row r="160">
      <c r="A160" s="13" t="n"/>
      <c r="B160" s="14">
        <f>IF(OR(A160="",Configurações!$B$5=""),"",INT((A160-Configurações!$B$5)/7)+1)</f>
        <v/>
      </c>
      <c r="C160" s="15" t="n"/>
      <c r="D160" s="15" t="n"/>
      <c r="E160" s="15" t="n"/>
      <c r="F160" s="19" t="n"/>
      <c r="G160" s="19" t="n"/>
      <c r="H160" s="20">
        <f>IF(F160="","",F160*Configurações!$B$6+Configurações!$B$7)</f>
        <v/>
      </c>
      <c r="I160" s="20">
        <f>IF(F160="","",F160*Configurações!$B$8)</f>
        <v/>
      </c>
      <c r="J160" s="15" t="n"/>
      <c r="K160" s="20">
        <f>IF(F160="","",IF(J160="Sim",-H160-G160,F160-G160-H160-I160))</f>
        <v/>
      </c>
    </row>
    <row r="161">
      <c r="A161" s="13" t="n"/>
      <c r="B161" s="14">
        <f>IF(OR(A161="",Configurações!$B$5=""),"",INT((A161-Configurações!$B$5)/7)+1)</f>
        <v/>
      </c>
      <c r="C161" s="15" t="n"/>
      <c r="D161" s="15" t="n"/>
      <c r="E161" s="15" t="n"/>
      <c r="F161" s="19" t="n"/>
      <c r="G161" s="19" t="n"/>
      <c r="H161" s="20">
        <f>IF(F161="","",F161*Configurações!$B$6+Configurações!$B$7)</f>
        <v/>
      </c>
      <c r="I161" s="20">
        <f>IF(F161="","",F161*Configurações!$B$8)</f>
        <v/>
      </c>
      <c r="J161" s="15" t="n"/>
      <c r="K161" s="20">
        <f>IF(F161="","",IF(J161="Sim",-H161-G161,F161-G161-H161-I161))</f>
        <v/>
      </c>
    </row>
    <row r="162">
      <c r="A162" s="13" t="n"/>
      <c r="B162" s="14">
        <f>IF(OR(A162="",Configurações!$B$5=""),"",INT((A162-Configurações!$B$5)/7)+1)</f>
        <v/>
      </c>
      <c r="C162" s="15" t="n"/>
      <c r="D162" s="15" t="n"/>
      <c r="E162" s="15" t="n"/>
      <c r="F162" s="19" t="n"/>
      <c r="G162" s="19" t="n"/>
      <c r="H162" s="20">
        <f>IF(F162="","",F162*Configurações!$B$6+Configurações!$B$7)</f>
        <v/>
      </c>
      <c r="I162" s="20">
        <f>IF(F162="","",F162*Configurações!$B$8)</f>
        <v/>
      </c>
      <c r="J162" s="15" t="n"/>
      <c r="K162" s="20">
        <f>IF(F162="","",IF(J162="Sim",-H162-G162,F162-G162-H162-I162))</f>
        <v/>
      </c>
    </row>
    <row r="163">
      <c r="A163" s="13" t="n"/>
      <c r="B163" s="14">
        <f>IF(OR(A163="",Configurações!$B$5=""),"",INT((A163-Configurações!$B$5)/7)+1)</f>
        <v/>
      </c>
      <c r="C163" s="15" t="n"/>
      <c r="D163" s="15" t="n"/>
      <c r="E163" s="15" t="n"/>
      <c r="F163" s="19" t="n"/>
      <c r="G163" s="19" t="n"/>
      <c r="H163" s="20">
        <f>IF(F163="","",F163*Configurações!$B$6+Configurações!$B$7)</f>
        <v/>
      </c>
      <c r="I163" s="20">
        <f>IF(F163="","",F163*Configurações!$B$8)</f>
        <v/>
      </c>
      <c r="J163" s="15" t="n"/>
      <c r="K163" s="20">
        <f>IF(F163="","",IF(J163="Sim",-H163-G163,F163-G163-H163-I163))</f>
        <v/>
      </c>
    </row>
    <row r="164">
      <c r="A164" s="13" t="n"/>
      <c r="B164" s="14">
        <f>IF(OR(A164="",Configurações!$B$5=""),"",INT((A164-Configurações!$B$5)/7)+1)</f>
        <v/>
      </c>
      <c r="C164" s="15" t="n"/>
      <c r="D164" s="15" t="n"/>
      <c r="E164" s="15" t="n"/>
      <c r="F164" s="19" t="n"/>
      <c r="G164" s="19" t="n"/>
      <c r="H164" s="20">
        <f>IF(F164="","",F164*Configurações!$B$6+Configurações!$B$7)</f>
        <v/>
      </c>
      <c r="I164" s="20">
        <f>IF(F164="","",F164*Configurações!$B$8)</f>
        <v/>
      </c>
      <c r="J164" s="15" t="n"/>
      <c r="K164" s="20">
        <f>IF(F164="","",IF(J164="Sim",-H164-G164,F164-G164-H164-I164))</f>
        <v/>
      </c>
    </row>
    <row r="165">
      <c r="A165" s="13" t="n"/>
      <c r="B165" s="14">
        <f>IF(OR(A165="",Configurações!$B$5=""),"",INT((A165-Configurações!$B$5)/7)+1)</f>
        <v/>
      </c>
      <c r="C165" s="15" t="n"/>
      <c r="D165" s="15" t="n"/>
      <c r="E165" s="15" t="n"/>
      <c r="F165" s="19" t="n"/>
      <c r="G165" s="19" t="n"/>
      <c r="H165" s="20">
        <f>IF(F165="","",F165*Configurações!$B$6+Configurações!$B$7)</f>
        <v/>
      </c>
      <c r="I165" s="20">
        <f>IF(F165="","",F165*Configurações!$B$8)</f>
        <v/>
      </c>
      <c r="J165" s="15" t="n"/>
      <c r="K165" s="20">
        <f>IF(F165="","",IF(J165="Sim",-H165-G165,F165-G165-H165-I165))</f>
        <v/>
      </c>
    </row>
    <row r="166">
      <c r="A166" s="13" t="n"/>
      <c r="B166" s="14">
        <f>IF(OR(A166="",Configurações!$B$5=""),"",INT((A166-Configurações!$B$5)/7)+1)</f>
        <v/>
      </c>
      <c r="C166" s="15" t="n"/>
      <c r="D166" s="15" t="n"/>
      <c r="E166" s="15" t="n"/>
      <c r="F166" s="19" t="n"/>
      <c r="G166" s="19" t="n"/>
      <c r="H166" s="20">
        <f>IF(F166="","",F166*Configurações!$B$6+Configurações!$B$7)</f>
        <v/>
      </c>
      <c r="I166" s="20">
        <f>IF(F166="","",F166*Configurações!$B$8)</f>
        <v/>
      </c>
      <c r="J166" s="15" t="n"/>
      <c r="K166" s="20">
        <f>IF(F166="","",IF(J166="Sim",-H166-G166,F166-G166-H166-I166))</f>
        <v/>
      </c>
    </row>
    <row r="167">
      <c r="A167" s="13" t="n"/>
      <c r="B167" s="14">
        <f>IF(OR(A167="",Configurações!$B$5=""),"",INT((A167-Configurações!$B$5)/7)+1)</f>
        <v/>
      </c>
      <c r="C167" s="15" t="n"/>
      <c r="D167" s="15" t="n"/>
      <c r="E167" s="15" t="n"/>
      <c r="F167" s="19" t="n"/>
      <c r="G167" s="19" t="n"/>
      <c r="H167" s="20">
        <f>IF(F167="","",F167*Configurações!$B$6+Configurações!$B$7)</f>
        <v/>
      </c>
      <c r="I167" s="20">
        <f>IF(F167="","",F167*Configurações!$B$8)</f>
        <v/>
      </c>
      <c r="J167" s="15" t="n"/>
      <c r="K167" s="20">
        <f>IF(F167="","",IF(J167="Sim",-H167-G167,F167-G167-H167-I167))</f>
        <v/>
      </c>
    </row>
    <row r="168">
      <c r="A168" s="13" t="n"/>
      <c r="B168" s="14">
        <f>IF(OR(A168="",Configurações!$B$5=""),"",INT((A168-Configurações!$B$5)/7)+1)</f>
        <v/>
      </c>
      <c r="C168" s="15" t="n"/>
      <c r="D168" s="15" t="n"/>
      <c r="E168" s="15" t="n"/>
      <c r="F168" s="19" t="n"/>
      <c r="G168" s="19" t="n"/>
      <c r="H168" s="20">
        <f>IF(F168="","",F168*Configurações!$B$6+Configurações!$B$7)</f>
        <v/>
      </c>
      <c r="I168" s="20">
        <f>IF(F168="","",F168*Configurações!$B$8)</f>
        <v/>
      </c>
      <c r="J168" s="15" t="n"/>
      <c r="K168" s="20">
        <f>IF(F168="","",IF(J168="Sim",-H168-G168,F168-G168-H168-I168))</f>
        <v/>
      </c>
    </row>
    <row r="169">
      <c r="A169" s="13" t="n"/>
      <c r="B169" s="14">
        <f>IF(OR(A169="",Configurações!$B$5=""),"",INT((A169-Configurações!$B$5)/7)+1)</f>
        <v/>
      </c>
      <c r="C169" s="15" t="n"/>
      <c r="D169" s="15" t="n"/>
      <c r="E169" s="15" t="n"/>
      <c r="F169" s="19" t="n"/>
      <c r="G169" s="19" t="n"/>
      <c r="H169" s="20">
        <f>IF(F169="","",F169*Configurações!$B$6+Configurações!$B$7)</f>
        <v/>
      </c>
      <c r="I169" s="20">
        <f>IF(F169="","",F169*Configurações!$B$8)</f>
        <v/>
      </c>
      <c r="J169" s="15" t="n"/>
      <c r="K169" s="20">
        <f>IF(F169="","",IF(J169="Sim",-H169-G169,F169-G169-H169-I169))</f>
        <v/>
      </c>
    </row>
    <row r="170">
      <c r="A170" s="13" t="n"/>
      <c r="B170" s="14">
        <f>IF(OR(A170="",Configurações!$B$5=""),"",INT((A170-Configurações!$B$5)/7)+1)</f>
        <v/>
      </c>
      <c r="C170" s="15" t="n"/>
      <c r="D170" s="15" t="n"/>
      <c r="E170" s="15" t="n"/>
      <c r="F170" s="19" t="n"/>
      <c r="G170" s="19" t="n"/>
      <c r="H170" s="20">
        <f>IF(F170="","",F170*Configurações!$B$6+Configurações!$B$7)</f>
        <v/>
      </c>
      <c r="I170" s="20">
        <f>IF(F170="","",F170*Configurações!$B$8)</f>
        <v/>
      </c>
      <c r="J170" s="15" t="n"/>
      <c r="K170" s="20">
        <f>IF(F170="","",IF(J170="Sim",-H170-G170,F170-G170-H170-I170))</f>
        <v/>
      </c>
    </row>
    <row r="171">
      <c r="A171" s="13" t="n"/>
      <c r="B171" s="14">
        <f>IF(OR(A171="",Configurações!$B$5=""),"",INT((A171-Configurações!$B$5)/7)+1)</f>
        <v/>
      </c>
      <c r="C171" s="15" t="n"/>
      <c r="D171" s="15" t="n"/>
      <c r="E171" s="15" t="n"/>
      <c r="F171" s="19" t="n"/>
      <c r="G171" s="19" t="n"/>
      <c r="H171" s="20">
        <f>IF(F171="","",F171*Configurações!$B$6+Configurações!$B$7)</f>
        <v/>
      </c>
      <c r="I171" s="20">
        <f>IF(F171="","",F171*Configurações!$B$8)</f>
        <v/>
      </c>
      <c r="J171" s="15" t="n"/>
      <c r="K171" s="20">
        <f>IF(F171="","",IF(J171="Sim",-H171-G171,F171-G171-H171-I171))</f>
        <v/>
      </c>
    </row>
    <row r="172">
      <c r="A172" s="13" t="n"/>
      <c r="B172" s="14">
        <f>IF(OR(A172="",Configurações!$B$5=""),"",INT((A172-Configurações!$B$5)/7)+1)</f>
        <v/>
      </c>
      <c r="C172" s="15" t="n"/>
      <c r="D172" s="15" t="n"/>
      <c r="E172" s="15" t="n"/>
      <c r="F172" s="19" t="n"/>
      <c r="G172" s="19" t="n"/>
      <c r="H172" s="20">
        <f>IF(F172="","",F172*Configurações!$B$6+Configurações!$B$7)</f>
        <v/>
      </c>
      <c r="I172" s="20">
        <f>IF(F172="","",F172*Configurações!$B$8)</f>
        <v/>
      </c>
      <c r="J172" s="15" t="n"/>
      <c r="K172" s="20">
        <f>IF(F172="","",IF(J172="Sim",-H172-G172,F172-G172-H172-I172))</f>
        <v/>
      </c>
    </row>
    <row r="173">
      <c r="A173" s="13" t="n"/>
      <c r="B173" s="14">
        <f>IF(OR(A173="",Configurações!$B$5=""),"",INT((A173-Configurações!$B$5)/7)+1)</f>
        <v/>
      </c>
      <c r="C173" s="15" t="n"/>
      <c r="D173" s="15" t="n"/>
      <c r="E173" s="15" t="n"/>
      <c r="F173" s="19" t="n"/>
      <c r="G173" s="19" t="n"/>
      <c r="H173" s="20">
        <f>IF(F173="","",F173*Configurações!$B$6+Configurações!$B$7)</f>
        <v/>
      </c>
      <c r="I173" s="20">
        <f>IF(F173="","",F173*Configurações!$B$8)</f>
        <v/>
      </c>
      <c r="J173" s="15" t="n"/>
      <c r="K173" s="20">
        <f>IF(F173="","",IF(J173="Sim",-H173-G173,F173-G173-H173-I173))</f>
        <v/>
      </c>
    </row>
    <row r="174">
      <c r="A174" s="13" t="n"/>
      <c r="B174" s="14">
        <f>IF(OR(A174="",Configurações!$B$5=""),"",INT((A174-Configurações!$B$5)/7)+1)</f>
        <v/>
      </c>
      <c r="C174" s="15" t="n"/>
      <c r="D174" s="15" t="n"/>
      <c r="E174" s="15" t="n"/>
      <c r="F174" s="19" t="n"/>
      <c r="G174" s="19" t="n"/>
      <c r="H174" s="20">
        <f>IF(F174="","",F174*Configurações!$B$6+Configurações!$B$7)</f>
        <v/>
      </c>
      <c r="I174" s="20">
        <f>IF(F174="","",F174*Configurações!$B$8)</f>
        <v/>
      </c>
      <c r="J174" s="15" t="n"/>
      <c r="K174" s="20">
        <f>IF(F174="","",IF(J174="Sim",-H174-G174,F174-G174-H174-I174))</f>
        <v/>
      </c>
    </row>
    <row r="175">
      <c r="A175" s="13" t="n"/>
      <c r="B175" s="14">
        <f>IF(OR(A175="",Configurações!$B$5=""),"",INT((A175-Configurações!$B$5)/7)+1)</f>
        <v/>
      </c>
      <c r="C175" s="15" t="n"/>
      <c r="D175" s="15" t="n"/>
      <c r="E175" s="15" t="n"/>
      <c r="F175" s="19" t="n"/>
      <c r="G175" s="19" t="n"/>
      <c r="H175" s="20">
        <f>IF(F175="","",F175*Configurações!$B$6+Configurações!$B$7)</f>
        <v/>
      </c>
      <c r="I175" s="20">
        <f>IF(F175="","",F175*Configurações!$B$8)</f>
        <v/>
      </c>
      <c r="J175" s="15" t="n"/>
      <c r="K175" s="20">
        <f>IF(F175="","",IF(J175="Sim",-H175-G175,F175-G175-H175-I175))</f>
        <v/>
      </c>
    </row>
    <row r="176">
      <c r="A176" s="13" t="n"/>
      <c r="B176" s="14">
        <f>IF(OR(A176="",Configurações!$B$5=""),"",INT((A176-Configurações!$B$5)/7)+1)</f>
        <v/>
      </c>
      <c r="C176" s="15" t="n"/>
      <c r="D176" s="15" t="n"/>
      <c r="E176" s="15" t="n"/>
      <c r="F176" s="19" t="n"/>
      <c r="G176" s="19" t="n"/>
      <c r="H176" s="20">
        <f>IF(F176="","",F176*Configurações!$B$6+Configurações!$B$7)</f>
        <v/>
      </c>
      <c r="I176" s="20">
        <f>IF(F176="","",F176*Configurações!$B$8)</f>
        <v/>
      </c>
      <c r="J176" s="15" t="n"/>
      <c r="K176" s="20">
        <f>IF(F176="","",IF(J176="Sim",-H176-G176,F176-G176-H176-I176))</f>
        <v/>
      </c>
    </row>
    <row r="177">
      <c r="A177" s="13" t="n"/>
      <c r="B177" s="14">
        <f>IF(OR(A177="",Configurações!$B$5=""),"",INT((A177-Configurações!$B$5)/7)+1)</f>
        <v/>
      </c>
      <c r="C177" s="15" t="n"/>
      <c r="D177" s="15" t="n"/>
      <c r="E177" s="15" t="n"/>
      <c r="F177" s="19" t="n"/>
      <c r="G177" s="19" t="n"/>
      <c r="H177" s="20">
        <f>IF(F177="","",F177*Configurações!$B$6+Configurações!$B$7)</f>
        <v/>
      </c>
      <c r="I177" s="20">
        <f>IF(F177="","",F177*Configurações!$B$8)</f>
        <v/>
      </c>
      <c r="J177" s="15" t="n"/>
      <c r="K177" s="20">
        <f>IF(F177="","",IF(J177="Sim",-H177-G177,F177-G177-H177-I177))</f>
        <v/>
      </c>
    </row>
    <row r="178">
      <c r="A178" s="13" t="n"/>
      <c r="B178" s="14">
        <f>IF(OR(A178="",Configurações!$B$5=""),"",INT((A178-Configurações!$B$5)/7)+1)</f>
        <v/>
      </c>
      <c r="C178" s="15" t="n"/>
      <c r="D178" s="15" t="n"/>
      <c r="E178" s="15" t="n"/>
      <c r="F178" s="19" t="n"/>
      <c r="G178" s="19" t="n"/>
      <c r="H178" s="20">
        <f>IF(F178="","",F178*Configurações!$B$6+Configurações!$B$7)</f>
        <v/>
      </c>
      <c r="I178" s="20">
        <f>IF(F178="","",F178*Configurações!$B$8)</f>
        <v/>
      </c>
      <c r="J178" s="15" t="n"/>
      <c r="K178" s="20">
        <f>IF(F178="","",IF(J178="Sim",-H178-G178,F178-G178-H178-I178))</f>
        <v/>
      </c>
    </row>
    <row r="179">
      <c r="A179" s="13" t="n"/>
      <c r="B179" s="14">
        <f>IF(OR(A179="",Configurações!$B$5=""),"",INT((A179-Configurações!$B$5)/7)+1)</f>
        <v/>
      </c>
      <c r="C179" s="15" t="n"/>
      <c r="D179" s="15" t="n"/>
      <c r="E179" s="15" t="n"/>
      <c r="F179" s="19" t="n"/>
      <c r="G179" s="19" t="n"/>
      <c r="H179" s="20">
        <f>IF(F179="","",F179*Configurações!$B$6+Configurações!$B$7)</f>
        <v/>
      </c>
      <c r="I179" s="20">
        <f>IF(F179="","",F179*Configurações!$B$8)</f>
        <v/>
      </c>
      <c r="J179" s="15" t="n"/>
      <c r="K179" s="20">
        <f>IF(F179="","",IF(J179="Sim",-H179-G179,F179-G179-H179-I179))</f>
        <v/>
      </c>
    </row>
    <row r="180">
      <c r="A180" s="13" t="n"/>
      <c r="B180" s="14">
        <f>IF(OR(A180="",Configurações!$B$5=""),"",INT((A180-Configurações!$B$5)/7)+1)</f>
        <v/>
      </c>
      <c r="C180" s="15" t="n"/>
      <c r="D180" s="15" t="n"/>
      <c r="E180" s="15" t="n"/>
      <c r="F180" s="19" t="n"/>
      <c r="G180" s="19" t="n"/>
      <c r="H180" s="20">
        <f>IF(F180="","",F180*Configurações!$B$6+Configurações!$B$7)</f>
        <v/>
      </c>
      <c r="I180" s="20">
        <f>IF(F180="","",F180*Configurações!$B$8)</f>
        <v/>
      </c>
      <c r="J180" s="15" t="n"/>
      <c r="K180" s="20">
        <f>IF(F180="","",IF(J180="Sim",-H180-G180,F180-G180-H180-I180))</f>
        <v/>
      </c>
    </row>
    <row r="181">
      <c r="A181" s="13" t="n"/>
      <c r="B181" s="14">
        <f>IF(OR(A181="",Configurações!$B$5=""),"",INT((A181-Configurações!$B$5)/7)+1)</f>
        <v/>
      </c>
      <c r="C181" s="15" t="n"/>
      <c r="D181" s="15" t="n"/>
      <c r="E181" s="15" t="n"/>
      <c r="F181" s="19" t="n"/>
      <c r="G181" s="19" t="n"/>
      <c r="H181" s="20">
        <f>IF(F181="","",F181*Configurações!$B$6+Configurações!$B$7)</f>
        <v/>
      </c>
      <c r="I181" s="20">
        <f>IF(F181="","",F181*Configurações!$B$8)</f>
        <v/>
      </c>
      <c r="J181" s="15" t="n"/>
      <c r="K181" s="20">
        <f>IF(F181="","",IF(J181="Sim",-H181-G181,F181-G181-H181-I181))</f>
        <v/>
      </c>
    </row>
    <row r="182">
      <c r="A182" s="13" t="n"/>
      <c r="B182" s="14">
        <f>IF(OR(A182="",Configurações!$B$5=""),"",INT((A182-Configurações!$B$5)/7)+1)</f>
        <v/>
      </c>
      <c r="C182" s="15" t="n"/>
      <c r="D182" s="15" t="n"/>
      <c r="E182" s="15" t="n"/>
      <c r="F182" s="19" t="n"/>
      <c r="G182" s="19" t="n"/>
      <c r="H182" s="20">
        <f>IF(F182="","",F182*Configurações!$B$6+Configurações!$B$7)</f>
        <v/>
      </c>
      <c r="I182" s="20">
        <f>IF(F182="","",F182*Configurações!$B$8)</f>
        <v/>
      </c>
      <c r="J182" s="15" t="n"/>
      <c r="K182" s="20">
        <f>IF(F182="","",IF(J182="Sim",-H182-G182,F182-G182-H182-I182))</f>
        <v/>
      </c>
    </row>
    <row r="183">
      <c r="A183" s="13" t="n"/>
      <c r="B183" s="14">
        <f>IF(OR(A183="",Configurações!$B$5=""),"",INT((A183-Configurações!$B$5)/7)+1)</f>
        <v/>
      </c>
      <c r="C183" s="15" t="n"/>
      <c r="D183" s="15" t="n"/>
      <c r="E183" s="15" t="n"/>
      <c r="F183" s="19" t="n"/>
      <c r="G183" s="19" t="n"/>
      <c r="H183" s="20">
        <f>IF(F183="","",F183*Configurações!$B$6+Configurações!$B$7)</f>
        <v/>
      </c>
      <c r="I183" s="20">
        <f>IF(F183="","",F183*Configurações!$B$8)</f>
        <v/>
      </c>
      <c r="J183" s="15" t="n"/>
      <c r="K183" s="20">
        <f>IF(F183="","",IF(J183="Sim",-H183-G183,F183-G183-H183-I183))</f>
        <v/>
      </c>
    </row>
    <row r="184">
      <c r="A184" s="13" t="n"/>
      <c r="B184" s="14">
        <f>IF(OR(A184="",Configurações!$B$5=""),"",INT((A184-Configurações!$B$5)/7)+1)</f>
        <v/>
      </c>
      <c r="C184" s="15" t="n"/>
      <c r="D184" s="15" t="n"/>
      <c r="E184" s="15" t="n"/>
      <c r="F184" s="19" t="n"/>
      <c r="G184" s="19" t="n"/>
      <c r="H184" s="20">
        <f>IF(F184="","",F184*Configurações!$B$6+Configurações!$B$7)</f>
        <v/>
      </c>
      <c r="I184" s="20">
        <f>IF(F184="","",F184*Configurações!$B$8)</f>
        <v/>
      </c>
      <c r="J184" s="15" t="n"/>
      <c r="K184" s="20">
        <f>IF(F184="","",IF(J184="Sim",-H184-G184,F184-G184-H184-I184))</f>
        <v/>
      </c>
    </row>
    <row r="185">
      <c r="A185" s="13" t="n"/>
      <c r="B185" s="14">
        <f>IF(OR(A185="",Configurações!$B$5=""),"",INT((A185-Configurações!$B$5)/7)+1)</f>
        <v/>
      </c>
      <c r="C185" s="15" t="n"/>
      <c r="D185" s="15" t="n"/>
      <c r="E185" s="15" t="n"/>
      <c r="F185" s="19" t="n"/>
      <c r="G185" s="19" t="n"/>
      <c r="H185" s="20">
        <f>IF(F185="","",F185*Configurações!$B$6+Configurações!$B$7)</f>
        <v/>
      </c>
      <c r="I185" s="20">
        <f>IF(F185="","",F185*Configurações!$B$8)</f>
        <v/>
      </c>
      <c r="J185" s="15" t="n"/>
      <c r="K185" s="20">
        <f>IF(F185="","",IF(J185="Sim",-H185-G185,F185-G185-H185-I185))</f>
        <v/>
      </c>
    </row>
    <row r="186">
      <c r="A186" s="13" t="n"/>
      <c r="B186" s="14">
        <f>IF(OR(A186="",Configurações!$B$5=""),"",INT((A186-Configurações!$B$5)/7)+1)</f>
        <v/>
      </c>
      <c r="C186" s="15" t="n"/>
      <c r="D186" s="15" t="n"/>
      <c r="E186" s="15" t="n"/>
      <c r="F186" s="19" t="n"/>
      <c r="G186" s="19" t="n"/>
      <c r="H186" s="20">
        <f>IF(F186="","",F186*Configurações!$B$6+Configurações!$B$7)</f>
        <v/>
      </c>
      <c r="I186" s="20">
        <f>IF(F186="","",F186*Configurações!$B$8)</f>
        <v/>
      </c>
      <c r="J186" s="15" t="n"/>
      <c r="K186" s="20">
        <f>IF(F186="","",IF(J186="Sim",-H186-G186,F186-G186-H186-I186))</f>
        <v/>
      </c>
    </row>
    <row r="187">
      <c r="A187" s="13" t="n"/>
      <c r="B187" s="14">
        <f>IF(OR(A187="",Configurações!$B$5=""),"",INT((A187-Configurações!$B$5)/7)+1)</f>
        <v/>
      </c>
      <c r="C187" s="15" t="n"/>
      <c r="D187" s="15" t="n"/>
      <c r="E187" s="15" t="n"/>
      <c r="F187" s="19" t="n"/>
      <c r="G187" s="19" t="n"/>
      <c r="H187" s="20">
        <f>IF(F187="","",F187*Configurações!$B$6+Configurações!$B$7)</f>
        <v/>
      </c>
      <c r="I187" s="20">
        <f>IF(F187="","",F187*Configurações!$B$8)</f>
        <v/>
      </c>
      <c r="J187" s="15" t="n"/>
      <c r="K187" s="20">
        <f>IF(F187="","",IF(J187="Sim",-H187-G187,F187-G187-H187-I187))</f>
        <v/>
      </c>
    </row>
    <row r="188">
      <c r="A188" s="13" t="n"/>
      <c r="B188" s="14">
        <f>IF(OR(A188="",Configurações!$B$5=""),"",INT((A188-Configurações!$B$5)/7)+1)</f>
        <v/>
      </c>
      <c r="C188" s="15" t="n"/>
      <c r="D188" s="15" t="n"/>
      <c r="E188" s="15" t="n"/>
      <c r="F188" s="19" t="n"/>
      <c r="G188" s="19" t="n"/>
      <c r="H188" s="20">
        <f>IF(F188="","",F188*Configurações!$B$6+Configurações!$B$7)</f>
        <v/>
      </c>
      <c r="I188" s="20">
        <f>IF(F188="","",F188*Configurações!$B$8)</f>
        <v/>
      </c>
      <c r="J188" s="15" t="n"/>
      <c r="K188" s="20">
        <f>IF(F188="","",IF(J188="Sim",-H188-G188,F188-G188-H188-I188))</f>
        <v/>
      </c>
    </row>
    <row r="189">
      <c r="A189" s="13" t="n"/>
      <c r="B189" s="14">
        <f>IF(OR(A189="",Configurações!$B$5=""),"",INT((A189-Configurações!$B$5)/7)+1)</f>
        <v/>
      </c>
      <c r="C189" s="15" t="n"/>
      <c r="D189" s="15" t="n"/>
      <c r="E189" s="15" t="n"/>
      <c r="F189" s="19" t="n"/>
      <c r="G189" s="19" t="n"/>
      <c r="H189" s="20">
        <f>IF(F189="","",F189*Configurações!$B$6+Configurações!$B$7)</f>
        <v/>
      </c>
      <c r="I189" s="20">
        <f>IF(F189="","",F189*Configurações!$B$8)</f>
        <v/>
      </c>
      <c r="J189" s="15" t="n"/>
      <c r="K189" s="20">
        <f>IF(F189="","",IF(J189="Sim",-H189-G189,F189-G189-H189-I189))</f>
        <v/>
      </c>
    </row>
    <row r="190">
      <c r="A190" s="13" t="n"/>
      <c r="B190" s="14">
        <f>IF(OR(A190="",Configurações!$B$5=""),"",INT((A190-Configurações!$B$5)/7)+1)</f>
        <v/>
      </c>
      <c r="C190" s="15" t="n"/>
      <c r="D190" s="15" t="n"/>
      <c r="E190" s="15" t="n"/>
      <c r="F190" s="19" t="n"/>
      <c r="G190" s="19" t="n"/>
      <c r="H190" s="20">
        <f>IF(F190="","",F190*Configurações!$B$6+Configurações!$B$7)</f>
        <v/>
      </c>
      <c r="I190" s="20">
        <f>IF(F190="","",F190*Configurações!$B$8)</f>
        <v/>
      </c>
      <c r="J190" s="15" t="n"/>
      <c r="K190" s="20">
        <f>IF(F190="","",IF(J190="Sim",-H190-G190,F190-G190-H190-I190))</f>
        <v/>
      </c>
    </row>
    <row r="191">
      <c r="A191" s="13" t="n"/>
      <c r="B191" s="14">
        <f>IF(OR(A191="",Configurações!$B$5=""),"",INT((A191-Configurações!$B$5)/7)+1)</f>
        <v/>
      </c>
      <c r="C191" s="15" t="n"/>
      <c r="D191" s="15" t="n"/>
      <c r="E191" s="15" t="n"/>
      <c r="F191" s="19" t="n"/>
      <c r="G191" s="19" t="n"/>
      <c r="H191" s="20">
        <f>IF(F191="","",F191*Configurações!$B$6+Configurações!$B$7)</f>
        <v/>
      </c>
      <c r="I191" s="20">
        <f>IF(F191="","",F191*Configurações!$B$8)</f>
        <v/>
      </c>
      <c r="J191" s="15" t="n"/>
      <c r="K191" s="20">
        <f>IF(F191="","",IF(J191="Sim",-H191-G191,F191-G191-H191-I191))</f>
        <v/>
      </c>
    </row>
    <row r="192">
      <c r="A192" s="13" t="n"/>
      <c r="B192" s="14">
        <f>IF(OR(A192="",Configurações!$B$5=""),"",INT((A192-Configurações!$B$5)/7)+1)</f>
        <v/>
      </c>
      <c r="C192" s="15" t="n"/>
      <c r="D192" s="15" t="n"/>
      <c r="E192" s="15" t="n"/>
      <c r="F192" s="19" t="n"/>
      <c r="G192" s="19" t="n"/>
      <c r="H192" s="20">
        <f>IF(F192="","",F192*Configurações!$B$6+Configurações!$B$7)</f>
        <v/>
      </c>
      <c r="I192" s="20">
        <f>IF(F192="","",F192*Configurações!$B$8)</f>
        <v/>
      </c>
      <c r="J192" s="15" t="n"/>
      <c r="K192" s="20">
        <f>IF(F192="","",IF(J192="Sim",-H192-G192,F192-G192-H192-I192))</f>
        <v/>
      </c>
    </row>
    <row r="193">
      <c r="A193" s="13" t="n"/>
      <c r="B193" s="14">
        <f>IF(OR(A193="",Configurações!$B$5=""),"",INT((A193-Configurações!$B$5)/7)+1)</f>
        <v/>
      </c>
      <c r="C193" s="15" t="n"/>
      <c r="D193" s="15" t="n"/>
      <c r="E193" s="15" t="n"/>
      <c r="F193" s="19" t="n"/>
      <c r="G193" s="19" t="n"/>
      <c r="H193" s="20">
        <f>IF(F193="","",F193*Configurações!$B$6+Configurações!$B$7)</f>
        <v/>
      </c>
      <c r="I193" s="20">
        <f>IF(F193="","",F193*Configurações!$B$8)</f>
        <v/>
      </c>
      <c r="J193" s="15" t="n"/>
      <c r="K193" s="20">
        <f>IF(F193="","",IF(J193="Sim",-H193-G193,F193-G193-H193-I193))</f>
        <v/>
      </c>
    </row>
    <row r="194">
      <c r="A194" s="13" t="n"/>
      <c r="B194" s="14">
        <f>IF(OR(A194="",Configurações!$B$5=""),"",INT((A194-Configurações!$B$5)/7)+1)</f>
        <v/>
      </c>
      <c r="C194" s="15" t="n"/>
      <c r="D194" s="15" t="n"/>
      <c r="E194" s="15" t="n"/>
      <c r="F194" s="19" t="n"/>
      <c r="G194" s="19" t="n"/>
      <c r="H194" s="20">
        <f>IF(F194="","",F194*Configurações!$B$6+Configurações!$B$7)</f>
        <v/>
      </c>
      <c r="I194" s="20">
        <f>IF(F194="","",F194*Configurações!$B$8)</f>
        <v/>
      </c>
      <c r="J194" s="15" t="n"/>
      <c r="K194" s="20">
        <f>IF(F194="","",IF(J194="Sim",-H194-G194,F194-G194-H194-I194))</f>
        <v/>
      </c>
    </row>
    <row r="195">
      <c r="A195" s="13" t="n"/>
      <c r="B195" s="14">
        <f>IF(OR(A195="",Configurações!$B$5=""),"",INT((A195-Configurações!$B$5)/7)+1)</f>
        <v/>
      </c>
      <c r="C195" s="15" t="n"/>
      <c r="D195" s="15" t="n"/>
      <c r="E195" s="15" t="n"/>
      <c r="F195" s="19" t="n"/>
      <c r="G195" s="19" t="n"/>
      <c r="H195" s="20">
        <f>IF(F195="","",F195*Configurações!$B$6+Configurações!$B$7)</f>
        <v/>
      </c>
      <c r="I195" s="20">
        <f>IF(F195="","",F195*Configurações!$B$8)</f>
        <v/>
      </c>
      <c r="J195" s="15" t="n"/>
      <c r="K195" s="20">
        <f>IF(F195="","",IF(J195="Sim",-H195-G195,F195-G195-H195-I195))</f>
        <v/>
      </c>
    </row>
    <row r="196">
      <c r="A196" s="13" t="n"/>
      <c r="B196" s="14">
        <f>IF(OR(A196="",Configurações!$B$5=""),"",INT((A196-Configurações!$B$5)/7)+1)</f>
        <v/>
      </c>
      <c r="C196" s="15" t="n"/>
      <c r="D196" s="15" t="n"/>
      <c r="E196" s="15" t="n"/>
      <c r="F196" s="19" t="n"/>
      <c r="G196" s="19" t="n"/>
      <c r="H196" s="20">
        <f>IF(F196="","",F196*Configurações!$B$6+Configurações!$B$7)</f>
        <v/>
      </c>
      <c r="I196" s="20">
        <f>IF(F196="","",F196*Configurações!$B$8)</f>
        <v/>
      </c>
      <c r="J196" s="15" t="n"/>
      <c r="K196" s="20">
        <f>IF(F196="","",IF(J196="Sim",-H196-G196,F196-G196-H196-I196))</f>
        <v/>
      </c>
    </row>
    <row r="197">
      <c r="A197" s="13" t="n"/>
      <c r="B197" s="14">
        <f>IF(OR(A197="",Configurações!$B$5=""),"",INT((A197-Configurações!$B$5)/7)+1)</f>
        <v/>
      </c>
      <c r="C197" s="15" t="n"/>
      <c r="D197" s="15" t="n"/>
      <c r="E197" s="15" t="n"/>
      <c r="F197" s="19" t="n"/>
      <c r="G197" s="19" t="n"/>
      <c r="H197" s="20">
        <f>IF(F197="","",F197*Configurações!$B$6+Configurações!$B$7)</f>
        <v/>
      </c>
      <c r="I197" s="20">
        <f>IF(F197="","",F197*Configurações!$B$8)</f>
        <v/>
      </c>
      <c r="J197" s="15" t="n"/>
      <c r="K197" s="20">
        <f>IF(F197="","",IF(J197="Sim",-H197-G197,F197-G197-H197-I197))</f>
        <v/>
      </c>
    </row>
    <row r="198">
      <c r="A198" s="13" t="n"/>
      <c r="B198" s="14">
        <f>IF(OR(A198="",Configurações!$B$5=""),"",INT((A198-Configurações!$B$5)/7)+1)</f>
        <v/>
      </c>
      <c r="C198" s="15" t="n"/>
      <c r="D198" s="15" t="n"/>
      <c r="E198" s="15" t="n"/>
      <c r="F198" s="19" t="n"/>
      <c r="G198" s="19" t="n"/>
      <c r="H198" s="20">
        <f>IF(F198="","",F198*Configurações!$B$6+Configurações!$B$7)</f>
        <v/>
      </c>
      <c r="I198" s="20">
        <f>IF(F198="","",F198*Configurações!$B$8)</f>
        <v/>
      </c>
      <c r="J198" s="15" t="n"/>
      <c r="K198" s="20">
        <f>IF(F198="","",IF(J198="Sim",-H198-G198,F198-G198-H198-I198))</f>
        <v/>
      </c>
    </row>
    <row r="199">
      <c r="A199" s="13" t="n"/>
      <c r="B199" s="14">
        <f>IF(OR(A199="",Configurações!$B$5=""),"",INT((A199-Configurações!$B$5)/7)+1)</f>
        <v/>
      </c>
      <c r="C199" s="15" t="n"/>
      <c r="D199" s="15" t="n"/>
      <c r="E199" s="15" t="n"/>
      <c r="F199" s="19" t="n"/>
      <c r="G199" s="19" t="n"/>
      <c r="H199" s="20">
        <f>IF(F199="","",F199*Configurações!$B$6+Configurações!$B$7)</f>
        <v/>
      </c>
      <c r="I199" s="20">
        <f>IF(F199="","",F199*Configurações!$B$8)</f>
        <v/>
      </c>
      <c r="J199" s="15" t="n"/>
      <c r="K199" s="20">
        <f>IF(F199="","",IF(J199="Sim",-H199-G199,F199-G199-H199-I199))</f>
        <v/>
      </c>
    </row>
    <row r="200">
      <c r="A200" s="13" t="n"/>
      <c r="B200" s="14">
        <f>IF(OR(A200="",Configurações!$B$5=""),"",INT((A200-Configurações!$B$5)/7)+1)</f>
        <v/>
      </c>
      <c r="C200" s="15" t="n"/>
      <c r="D200" s="15" t="n"/>
      <c r="E200" s="15" t="n"/>
      <c r="F200" s="19" t="n"/>
      <c r="G200" s="19" t="n"/>
      <c r="H200" s="20">
        <f>IF(F200="","",F200*Configurações!$B$6+Configurações!$B$7)</f>
        <v/>
      </c>
      <c r="I200" s="20">
        <f>IF(F200="","",F200*Configurações!$B$8)</f>
        <v/>
      </c>
      <c r="J200" s="15" t="n"/>
      <c r="K200" s="20">
        <f>IF(F200="","",IF(J200="Sim",-H200-G200,F200-G200-H200-I200))</f>
        <v/>
      </c>
    </row>
    <row r="201">
      <c r="A201" s="13" t="n"/>
      <c r="B201" s="14">
        <f>IF(OR(A201="",Configurações!$B$5=""),"",INT((A201-Configurações!$B$5)/7)+1)</f>
        <v/>
      </c>
      <c r="C201" s="15" t="n"/>
      <c r="D201" s="15" t="n"/>
      <c r="E201" s="15" t="n"/>
      <c r="F201" s="19" t="n"/>
      <c r="G201" s="19" t="n"/>
      <c r="H201" s="20">
        <f>IF(F201="","",F201*Configurações!$B$6+Configurações!$B$7)</f>
        <v/>
      </c>
      <c r="I201" s="20">
        <f>IF(F201="","",F201*Configurações!$B$8)</f>
        <v/>
      </c>
      <c r="J201" s="15" t="n"/>
      <c r="K201" s="20">
        <f>IF(F201="","",IF(J201="Sim",-H201-G201,F201-G201-H201-I201))</f>
        <v/>
      </c>
    </row>
    <row r="202">
      <c r="A202" s="13" t="n"/>
      <c r="B202" s="14">
        <f>IF(OR(A202="",Configurações!$B$5=""),"",INT((A202-Configurações!$B$5)/7)+1)</f>
        <v/>
      </c>
      <c r="C202" s="15" t="n"/>
      <c r="D202" s="15" t="n"/>
      <c r="E202" s="15" t="n"/>
      <c r="F202" s="19" t="n"/>
      <c r="G202" s="19" t="n"/>
      <c r="H202" s="20">
        <f>IF(F202="","",F202*Configurações!$B$6+Configurações!$B$7)</f>
        <v/>
      </c>
      <c r="I202" s="20">
        <f>IF(F202="","",F202*Configurações!$B$8)</f>
        <v/>
      </c>
      <c r="J202" s="15" t="n"/>
      <c r="K202" s="20">
        <f>IF(F202="","",IF(J202="Sim",-H202-G202,F202-G202-H202-I202))</f>
        <v/>
      </c>
    </row>
    <row r="203">
      <c r="A203" s="13" t="n"/>
      <c r="B203" s="14">
        <f>IF(OR(A203="",Configurações!$B$5=""),"",INT((A203-Configurações!$B$5)/7)+1)</f>
        <v/>
      </c>
      <c r="C203" s="15" t="n"/>
      <c r="D203" s="15" t="n"/>
      <c r="E203" s="15" t="n"/>
      <c r="F203" s="19" t="n"/>
      <c r="G203" s="19" t="n"/>
      <c r="H203" s="20">
        <f>IF(F203="","",F203*Configurações!$B$6+Configurações!$B$7)</f>
        <v/>
      </c>
      <c r="I203" s="20">
        <f>IF(F203="","",F203*Configurações!$B$8)</f>
        <v/>
      </c>
      <c r="J203" s="15" t="n"/>
      <c r="K203" s="20">
        <f>IF(F203="","",IF(J203="Sim",-H203-G203,F203-G203-H203-I203))</f>
        <v/>
      </c>
    </row>
    <row r="204">
      <c r="A204" s="13" t="n"/>
      <c r="B204" s="14">
        <f>IF(OR(A204="",Configurações!$B$5=""),"",INT((A204-Configurações!$B$5)/7)+1)</f>
        <v/>
      </c>
      <c r="C204" s="15" t="n"/>
      <c r="D204" s="15" t="n"/>
      <c r="E204" s="15" t="n"/>
      <c r="F204" s="19" t="n"/>
      <c r="G204" s="19" t="n"/>
      <c r="H204" s="20">
        <f>IF(F204="","",F204*Configurações!$B$6+Configurações!$B$7)</f>
        <v/>
      </c>
      <c r="I204" s="20">
        <f>IF(F204="","",F204*Configurações!$B$8)</f>
        <v/>
      </c>
      <c r="J204" s="15" t="n"/>
      <c r="K204" s="20">
        <f>IF(F204="","",IF(J204="Sim",-H204-G204,F204-G204-H204-I204))</f>
        <v/>
      </c>
    </row>
  </sheetData>
  <mergeCells count="1">
    <mergeCell ref="A2:N2"/>
  </mergeCells>
  <dataValidations count="3">
    <dataValidation sqref="D5:D204" showDropDown="0" showInputMessage="0" showErrorMessage="0" allowBlank="1" type="list">
      <formula1>"Rede próxima,Indicação,Comunidade,Contato direto,TikTok,Instagram,WhatsApp,Outro"</formula1>
    </dataValidation>
    <dataValidation sqref="J5:J204" showDropDown="0" showInputMessage="0" showErrorMessage="0" allowBlank="1" type="list">
      <formula1>"Não,Sim"</formula1>
    </dataValidation>
    <dataValidation sqref="P5:P104" showDropDown="0" showInputMessage="0" showErrorMessage="0" allowBlank="1" type="list">
      <formula1>"Material,Frete,Ferramenta/assinatura,Impulsionamento,Imposto MEI,Transporte,Outro"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60" customWidth="1" min="4" max="4"/>
  </cols>
  <sheetData>
    <row r="1">
      <c r="A1" s="1" t="inlineStr">
        <is>
          <t>Tempo dedicado</t>
        </is>
      </c>
    </row>
    <row r="2">
      <c r="A2" s="4" t="inlineStr">
        <is>
          <t>Anote os minutos por dia. Inclui conversas, conteúdo, produção e entrega.</t>
        </is>
      </c>
    </row>
    <row r="4" ht="30" customHeight="1">
      <c r="A4" s="5" t="inlineStr">
        <is>
          <t>Data</t>
        </is>
      </c>
      <c r="B4" s="5" t="inlineStr">
        <is>
          <t>Semana</t>
        </is>
      </c>
      <c r="C4" s="5" t="inlineStr">
        <is>
          <t>Minutos</t>
        </is>
      </c>
      <c r="D4" s="5" t="inlineStr">
        <is>
          <t>No que trabalhou</t>
        </is>
      </c>
    </row>
    <row r="5">
      <c r="A5" s="21" t="n"/>
      <c r="B5" s="22">
        <f>IF(OR(A5="",Configurações!$B$5=""),"",INT((A5-Configurações!$B$5)/7)+1)</f>
        <v/>
      </c>
      <c r="C5" s="23" t="n"/>
      <c r="D5" s="23" t="n"/>
    </row>
    <row r="6">
      <c r="A6" s="21" t="n"/>
      <c r="B6" s="22">
        <f>IF(OR(A6="",Configurações!$B$5=""),"",INT((A6-Configurações!$B$5)/7)+1)</f>
        <v/>
      </c>
      <c r="C6" s="23" t="n"/>
      <c r="D6" s="23" t="n"/>
    </row>
    <row r="7">
      <c r="A7" s="21" t="n"/>
      <c r="B7" s="22">
        <f>IF(OR(A7="",Configurações!$B$5=""),"",INT((A7-Configurações!$B$5)/7)+1)</f>
        <v/>
      </c>
      <c r="C7" s="23" t="n"/>
      <c r="D7" s="23" t="n"/>
    </row>
    <row r="8">
      <c r="A8" s="21" t="n"/>
      <c r="B8" s="22">
        <f>IF(OR(A8="",Configurações!$B$5=""),"",INT((A8-Configurações!$B$5)/7)+1)</f>
        <v/>
      </c>
      <c r="C8" s="23" t="n"/>
      <c r="D8" s="23" t="n"/>
    </row>
    <row r="9">
      <c r="A9" s="21" t="n"/>
      <c r="B9" s="22">
        <f>IF(OR(A9="",Configurações!$B$5=""),"",INT((A9-Configurações!$B$5)/7)+1)</f>
        <v/>
      </c>
      <c r="C9" s="23" t="n"/>
      <c r="D9" s="23" t="n"/>
    </row>
    <row r="10">
      <c r="A10" s="21" t="n"/>
      <c r="B10" s="22">
        <f>IF(OR(A10="",Configurações!$B$5=""),"",INT((A10-Configurações!$B$5)/7)+1)</f>
        <v/>
      </c>
      <c r="C10" s="23" t="n"/>
      <c r="D10" s="23" t="n"/>
    </row>
    <row r="11">
      <c r="A11" s="21" t="n"/>
      <c r="B11" s="22">
        <f>IF(OR(A11="",Configurações!$B$5=""),"",INT((A11-Configurações!$B$5)/7)+1)</f>
        <v/>
      </c>
      <c r="C11" s="23" t="n"/>
      <c r="D11" s="23" t="n"/>
    </row>
    <row r="12">
      <c r="A12" s="21" t="n"/>
      <c r="B12" s="22">
        <f>IF(OR(A12="",Configurações!$B$5=""),"",INT((A12-Configurações!$B$5)/7)+1)</f>
        <v/>
      </c>
      <c r="C12" s="23" t="n"/>
      <c r="D12" s="23" t="n"/>
    </row>
    <row r="13">
      <c r="A13" s="21" t="n"/>
      <c r="B13" s="22">
        <f>IF(OR(A13="",Configurações!$B$5=""),"",INT((A13-Configurações!$B$5)/7)+1)</f>
        <v/>
      </c>
      <c r="C13" s="23" t="n"/>
      <c r="D13" s="23" t="n"/>
    </row>
    <row r="14">
      <c r="A14" s="21" t="n"/>
      <c r="B14" s="22">
        <f>IF(OR(A14="",Configurações!$B$5=""),"",INT((A14-Configurações!$B$5)/7)+1)</f>
        <v/>
      </c>
      <c r="C14" s="23" t="n"/>
      <c r="D14" s="23" t="n"/>
    </row>
    <row r="15">
      <c r="A15" s="21" t="n"/>
      <c r="B15" s="22">
        <f>IF(OR(A15="",Configurações!$B$5=""),"",INT((A15-Configurações!$B$5)/7)+1)</f>
        <v/>
      </c>
      <c r="C15" s="23" t="n"/>
      <c r="D15" s="23" t="n"/>
    </row>
    <row r="16">
      <c r="A16" s="21" t="n"/>
      <c r="B16" s="22">
        <f>IF(OR(A16="",Configurações!$B$5=""),"",INT((A16-Configurações!$B$5)/7)+1)</f>
        <v/>
      </c>
      <c r="C16" s="23" t="n"/>
      <c r="D16" s="23" t="n"/>
    </row>
    <row r="17">
      <c r="A17" s="21" t="n"/>
      <c r="B17" s="22">
        <f>IF(OR(A17="",Configurações!$B$5=""),"",INT((A17-Configurações!$B$5)/7)+1)</f>
        <v/>
      </c>
      <c r="C17" s="23" t="n"/>
      <c r="D17" s="23" t="n"/>
    </row>
    <row r="18">
      <c r="A18" s="21" t="n"/>
      <c r="B18" s="22">
        <f>IF(OR(A18="",Configurações!$B$5=""),"",INT((A18-Configurações!$B$5)/7)+1)</f>
        <v/>
      </c>
      <c r="C18" s="23" t="n"/>
      <c r="D18" s="23" t="n"/>
    </row>
    <row r="19">
      <c r="A19" s="21" t="n"/>
      <c r="B19" s="22">
        <f>IF(OR(A19="",Configurações!$B$5=""),"",INT((A19-Configurações!$B$5)/7)+1)</f>
        <v/>
      </c>
      <c r="C19" s="23" t="n"/>
      <c r="D19" s="23" t="n"/>
    </row>
    <row r="20">
      <c r="A20" s="21" t="n"/>
      <c r="B20" s="22">
        <f>IF(OR(A20="",Configurações!$B$5=""),"",INT((A20-Configurações!$B$5)/7)+1)</f>
        <v/>
      </c>
      <c r="C20" s="23" t="n"/>
      <c r="D20" s="23" t="n"/>
    </row>
    <row r="21">
      <c r="A21" s="21" t="n"/>
      <c r="B21" s="22">
        <f>IF(OR(A21="",Configurações!$B$5=""),"",INT((A21-Configurações!$B$5)/7)+1)</f>
        <v/>
      </c>
      <c r="C21" s="23" t="n"/>
      <c r="D21" s="23" t="n"/>
    </row>
    <row r="22">
      <c r="A22" s="21" t="n"/>
      <c r="B22" s="22">
        <f>IF(OR(A22="",Configurações!$B$5=""),"",INT((A22-Configurações!$B$5)/7)+1)</f>
        <v/>
      </c>
      <c r="C22" s="23" t="n"/>
      <c r="D22" s="23" t="n"/>
    </row>
    <row r="23">
      <c r="A23" s="21" t="n"/>
      <c r="B23" s="22">
        <f>IF(OR(A23="",Configurações!$B$5=""),"",INT((A23-Configurações!$B$5)/7)+1)</f>
        <v/>
      </c>
      <c r="C23" s="23" t="n"/>
      <c r="D23" s="23" t="n"/>
    </row>
    <row r="24">
      <c r="A24" s="21" t="n"/>
      <c r="B24" s="22">
        <f>IF(OR(A24="",Configurações!$B$5=""),"",INT((A24-Configurações!$B$5)/7)+1)</f>
        <v/>
      </c>
      <c r="C24" s="23" t="n"/>
      <c r="D24" s="23" t="n"/>
    </row>
    <row r="25">
      <c r="A25" s="21" t="n"/>
      <c r="B25" s="22">
        <f>IF(OR(A25="",Configurações!$B$5=""),"",INT((A25-Configurações!$B$5)/7)+1)</f>
        <v/>
      </c>
      <c r="C25" s="23" t="n"/>
      <c r="D25" s="23" t="n"/>
    </row>
    <row r="26">
      <c r="A26" s="21" t="n"/>
      <c r="B26" s="22">
        <f>IF(OR(A26="",Configurações!$B$5=""),"",INT((A26-Configurações!$B$5)/7)+1)</f>
        <v/>
      </c>
      <c r="C26" s="23" t="n"/>
      <c r="D26" s="23" t="n"/>
    </row>
    <row r="27">
      <c r="A27" s="21" t="n"/>
      <c r="B27" s="22">
        <f>IF(OR(A27="",Configurações!$B$5=""),"",INT((A27-Configurações!$B$5)/7)+1)</f>
        <v/>
      </c>
      <c r="C27" s="23" t="n"/>
      <c r="D27" s="23" t="n"/>
    </row>
    <row r="28">
      <c r="A28" s="21" t="n"/>
      <c r="B28" s="22">
        <f>IF(OR(A28="",Configurações!$B$5=""),"",INT((A28-Configurações!$B$5)/7)+1)</f>
        <v/>
      </c>
      <c r="C28" s="23" t="n"/>
      <c r="D28" s="23" t="n"/>
    </row>
    <row r="29">
      <c r="A29" s="21" t="n"/>
      <c r="B29" s="22">
        <f>IF(OR(A29="",Configurações!$B$5=""),"",INT((A29-Configurações!$B$5)/7)+1)</f>
        <v/>
      </c>
      <c r="C29" s="23" t="n"/>
      <c r="D29" s="23" t="n"/>
    </row>
    <row r="30">
      <c r="A30" s="21" t="n"/>
      <c r="B30" s="22">
        <f>IF(OR(A30="",Configurações!$B$5=""),"",INT((A30-Configurações!$B$5)/7)+1)</f>
        <v/>
      </c>
      <c r="C30" s="23" t="n"/>
      <c r="D30" s="23" t="n"/>
    </row>
    <row r="31">
      <c r="A31" s="21" t="n"/>
      <c r="B31" s="22">
        <f>IF(OR(A31="",Configurações!$B$5=""),"",INT((A31-Configurações!$B$5)/7)+1)</f>
        <v/>
      </c>
      <c r="C31" s="23" t="n"/>
      <c r="D31" s="23" t="n"/>
    </row>
    <row r="32">
      <c r="A32" s="21" t="n"/>
      <c r="B32" s="22">
        <f>IF(OR(A32="",Configurações!$B$5=""),"",INT((A32-Configurações!$B$5)/7)+1)</f>
        <v/>
      </c>
      <c r="C32" s="23" t="n"/>
      <c r="D32" s="23" t="n"/>
    </row>
    <row r="33">
      <c r="A33" s="21" t="n"/>
      <c r="B33" s="22">
        <f>IF(OR(A33="",Configurações!$B$5=""),"",INT((A33-Configurações!$B$5)/7)+1)</f>
        <v/>
      </c>
      <c r="C33" s="23" t="n"/>
      <c r="D33" s="23" t="n"/>
    </row>
    <row r="34">
      <c r="A34" s="21" t="n"/>
      <c r="B34" s="22">
        <f>IF(OR(A34="",Configurações!$B$5=""),"",INT((A34-Configurações!$B$5)/7)+1)</f>
        <v/>
      </c>
      <c r="C34" s="23" t="n"/>
      <c r="D34" s="23" t="n"/>
    </row>
    <row r="35">
      <c r="A35" s="21" t="n"/>
      <c r="B35" s="22">
        <f>IF(OR(A35="",Configurações!$B$5=""),"",INT((A35-Configurações!$B$5)/7)+1)</f>
        <v/>
      </c>
      <c r="C35" s="23" t="n"/>
      <c r="D35" s="23" t="n"/>
    </row>
    <row r="36">
      <c r="A36" s="21" t="n"/>
      <c r="B36" s="22">
        <f>IF(OR(A36="",Configurações!$B$5=""),"",INT((A36-Configurações!$B$5)/7)+1)</f>
        <v/>
      </c>
      <c r="C36" s="23" t="n"/>
      <c r="D36" s="23" t="n"/>
    </row>
    <row r="37">
      <c r="A37" s="21" t="n"/>
      <c r="B37" s="22">
        <f>IF(OR(A37="",Configurações!$B$5=""),"",INT((A37-Configurações!$B$5)/7)+1)</f>
        <v/>
      </c>
      <c r="C37" s="23" t="n"/>
      <c r="D37" s="23" t="n"/>
    </row>
    <row r="38">
      <c r="A38" s="21" t="n"/>
      <c r="B38" s="22">
        <f>IF(OR(A38="",Configurações!$B$5=""),"",INT((A38-Configurações!$B$5)/7)+1)</f>
        <v/>
      </c>
      <c r="C38" s="23" t="n"/>
      <c r="D38" s="23" t="n"/>
    </row>
    <row r="39">
      <c r="A39" s="21" t="n"/>
      <c r="B39" s="22">
        <f>IF(OR(A39="",Configurações!$B$5=""),"",INT((A39-Configurações!$B$5)/7)+1)</f>
        <v/>
      </c>
      <c r="C39" s="23" t="n"/>
      <c r="D39" s="23" t="n"/>
    </row>
    <row r="40">
      <c r="A40" s="21" t="n"/>
      <c r="B40" s="22">
        <f>IF(OR(A40="",Configurações!$B$5=""),"",INT((A40-Configurações!$B$5)/7)+1)</f>
        <v/>
      </c>
      <c r="C40" s="23" t="n"/>
      <c r="D40" s="23" t="n"/>
    </row>
    <row r="41">
      <c r="A41" s="21" t="n"/>
      <c r="B41" s="22">
        <f>IF(OR(A41="",Configurações!$B$5=""),"",INT((A41-Configurações!$B$5)/7)+1)</f>
        <v/>
      </c>
      <c r="C41" s="23" t="n"/>
      <c r="D41" s="23" t="n"/>
    </row>
    <row r="42">
      <c r="A42" s="21" t="n"/>
      <c r="B42" s="22">
        <f>IF(OR(A42="",Configurações!$B$5=""),"",INT((A42-Configurações!$B$5)/7)+1)</f>
        <v/>
      </c>
      <c r="C42" s="23" t="n"/>
      <c r="D42" s="23" t="n"/>
    </row>
    <row r="43">
      <c r="A43" s="21" t="n"/>
      <c r="B43" s="22">
        <f>IF(OR(A43="",Configurações!$B$5=""),"",INT((A43-Configurações!$B$5)/7)+1)</f>
        <v/>
      </c>
      <c r="C43" s="23" t="n"/>
      <c r="D43" s="23" t="n"/>
    </row>
    <row r="44">
      <c r="A44" s="21" t="n"/>
      <c r="B44" s="22">
        <f>IF(OR(A44="",Configurações!$B$5=""),"",INT((A44-Configurações!$B$5)/7)+1)</f>
        <v/>
      </c>
      <c r="C44" s="23" t="n"/>
      <c r="D44" s="23" t="n"/>
    </row>
    <row r="45">
      <c r="A45" s="21" t="n"/>
      <c r="B45" s="22">
        <f>IF(OR(A45="",Configurações!$B$5=""),"",INT((A45-Configurações!$B$5)/7)+1)</f>
        <v/>
      </c>
      <c r="C45" s="23" t="n"/>
      <c r="D45" s="23" t="n"/>
    </row>
    <row r="46">
      <c r="A46" s="21" t="n"/>
      <c r="B46" s="22">
        <f>IF(OR(A46="",Configurações!$B$5=""),"",INT((A46-Configurações!$B$5)/7)+1)</f>
        <v/>
      </c>
      <c r="C46" s="23" t="n"/>
      <c r="D46" s="23" t="n"/>
    </row>
    <row r="47">
      <c r="A47" s="21" t="n"/>
      <c r="B47" s="22">
        <f>IF(OR(A47="",Configurações!$B$5=""),"",INT((A47-Configurações!$B$5)/7)+1)</f>
        <v/>
      </c>
      <c r="C47" s="23" t="n"/>
      <c r="D47" s="23" t="n"/>
    </row>
    <row r="48">
      <c r="A48" s="21" t="n"/>
      <c r="B48" s="22">
        <f>IF(OR(A48="",Configurações!$B$5=""),"",INT((A48-Configurações!$B$5)/7)+1)</f>
        <v/>
      </c>
      <c r="C48" s="23" t="n"/>
      <c r="D48" s="23" t="n"/>
    </row>
    <row r="49">
      <c r="A49" s="21" t="n"/>
      <c r="B49" s="22">
        <f>IF(OR(A49="",Configurações!$B$5=""),"",INT((A49-Configurações!$B$5)/7)+1)</f>
        <v/>
      </c>
      <c r="C49" s="23" t="n"/>
      <c r="D49" s="23" t="n"/>
    </row>
    <row r="50">
      <c r="A50" s="21" t="n"/>
      <c r="B50" s="22">
        <f>IF(OR(A50="",Configurações!$B$5=""),"",INT((A50-Configurações!$B$5)/7)+1)</f>
        <v/>
      </c>
      <c r="C50" s="23" t="n"/>
      <c r="D50" s="23" t="n"/>
    </row>
    <row r="51">
      <c r="A51" s="21" t="n"/>
      <c r="B51" s="22">
        <f>IF(OR(A51="",Configurações!$B$5=""),"",INT((A51-Configurações!$B$5)/7)+1)</f>
        <v/>
      </c>
      <c r="C51" s="23" t="n"/>
      <c r="D51" s="23" t="n"/>
    </row>
    <row r="52">
      <c r="A52" s="21" t="n"/>
      <c r="B52" s="22">
        <f>IF(OR(A52="",Configurações!$B$5=""),"",INT((A52-Configurações!$B$5)/7)+1)</f>
        <v/>
      </c>
      <c r="C52" s="23" t="n"/>
      <c r="D52" s="23" t="n"/>
    </row>
    <row r="53">
      <c r="A53" s="21" t="n"/>
      <c r="B53" s="22">
        <f>IF(OR(A53="",Configurações!$B$5=""),"",INT((A53-Configurações!$B$5)/7)+1)</f>
        <v/>
      </c>
      <c r="C53" s="23" t="n"/>
      <c r="D53" s="23" t="n"/>
    </row>
    <row r="54">
      <c r="A54" s="21" t="n"/>
      <c r="B54" s="22">
        <f>IF(OR(A54="",Configurações!$B$5=""),"",INT((A54-Configurações!$B$5)/7)+1)</f>
        <v/>
      </c>
      <c r="C54" s="23" t="n"/>
      <c r="D54" s="23" t="n"/>
    </row>
    <row r="55">
      <c r="A55" s="21" t="n"/>
      <c r="B55" s="22">
        <f>IF(OR(A55="",Configurações!$B$5=""),"",INT((A55-Configurações!$B$5)/7)+1)</f>
        <v/>
      </c>
      <c r="C55" s="23" t="n"/>
      <c r="D55" s="23" t="n"/>
    </row>
    <row r="56">
      <c r="A56" s="21" t="n"/>
      <c r="B56" s="22">
        <f>IF(OR(A56="",Configurações!$B$5=""),"",INT((A56-Configurações!$B$5)/7)+1)</f>
        <v/>
      </c>
      <c r="C56" s="23" t="n"/>
      <c r="D56" s="23" t="n"/>
    </row>
    <row r="57">
      <c r="A57" s="21" t="n"/>
      <c r="B57" s="22">
        <f>IF(OR(A57="",Configurações!$B$5=""),"",INT((A57-Configurações!$B$5)/7)+1)</f>
        <v/>
      </c>
      <c r="C57" s="23" t="n"/>
      <c r="D57" s="23" t="n"/>
    </row>
    <row r="58">
      <c r="A58" s="21" t="n"/>
      <c r="B58" s="22">
        <f>IF(OR(A58="",Configurações!$B$5=""),"",INT((A58-Configurações!$B$5)/7)+1)</f>
        <v/>
      </c>
      <c r="C58" s="23" t="n"/>
      <c r="D58" s="23" t="n"/>
    </row>
    <row r="59">
      <c r="A59" s="21" t="n"/>
      <c r="B59" s="22">
        <f>IF(OR(A59="",Configurações!$B$5=""),"",INT((A59-Configurações!$B$5)/7)+1)</f>
        <v/>
      </c>
      <c r="C59" s="23" t="n"/>
      <c r="D59" s="23" t="n"/>
    </row>
    <row r="60">
      <c r="A60" s="21" t="n"/>
      <c r="B60" s="22">
        <f>IF(OR(A60="",Configurações!$B$5=""),"",INT((A60-Configurações!$B$5)/7)+1)</f>
        <v/>
      </c>
      <c r="C60" s="23" t="n"/>
      <c r="D60" s="23" t="n"/>
    </row>
    <row r="61">
      <c r="A61" s="21" t="n"/>
      <c r="B61" s="22">
        <f>IF(OR(A61="",Configurações!$B$5=""),"",INT((A61-Configurações!$B$5)/7)+1)</f>
        <v/>
      </c>
      <c r="C61" s="23" t="n"/>
      <c r="D61" s="23" t="n"/>
    </row>
    <row r="62">
      <c r="A62" s="21" t="n"/>
      <c r="B62" s="22">
        <f>IF(OR(A62="",Configurações!$B$5=""),"",INT((A62-Configurações!$B$5)/7)+1)</f>
        <v/>
      </c>
      <c r="C62" s="23" t="n"/>
      <c r="D62" s="23" t="n"/>
    </row>
    <row r="63">
      <c r="A63" s="21" t="n"/>
      <c r="B63" s="22">
        <f>IF(OR(A63="",Configurações!$B$5=""),"",INT((A63-Configurações!$B$5)/7)+1)</f>
        <v/>
      </c>
      <c r="C63" s="23" t="n"/>
      <c r="D63" s="23" t="n"/>
    </row>
    <row r="64">
      <c r="A64" s="21" t="n"/>
      <c r="B64" s="22">
        <f>IF(OR(A64="",Configurações!$B$5=""),"",INT((A64-Configurações!$B$5)/7)+1)</f>
        <v/>
      </c>
      <c r="C64" s="23" t="n"/>
      <c r="D64" s="23" t="n"/>
    </row>
    <row r="65">
      <c r="A65" s="21" t="n"/>
      <c r="B65" s="22">
        <f>IF(OR(A65="",Configurações!$B$5=""),"",INT((A65-Configurações!$B$5)/7)+1)</f>
        <v/>
      </c>
      <c r="C65" s="23" t="n"/>
      <c r="D65" s="23" t="n"/>
    </row>
    <row r="66">
      <c r="A66" s="21" t="n"/>
      <c r="B66" s="22">
        <f>IF(OR(A66="",Configurações!$B$5=""),"",INT((A66-Configurações!$B$5)/7)+1)</f>
        <v/>
      </c>
      <c r="C66" s="23" t="n"/>
      <c r="D66" s="23" t="n"/>
    </row>
    <row r="67">
      <c r="A67" s="21" t="n"/>
      <c r="B67" s="22">
        <f>IF(OR(A67="",Configurações!$B$5=""),"",INT((A67-Configurações!$B$5)/7)+1)</f>
        <v/>
      </c>
      <c r="C67" s="23" t="n"/>
      <c r="D67" s="23" t="n"/>
    </row>
    <row r="68">
      <c r="A68" s="21" t="n"/>
      <c r="B68" s="22">
        <f>IF(OR(A68="",Configurações!$B$5=""),"",INT((A68-Configurações!$B$5)/7)+1)</f>
        <v/>
      </c>
      <c r="C68" s="23" t="n"/>
      <c r="D68" s="23" t="n"/>
    </row>
    <row r="69">
      <c r="A69" s="21" t="n"/>
      <c r="B69" s="22">
        <f>IF(OR(A69="",Configurações!$B$5=""),"",INT((A69-Configurações!$B$5)/7)+1)</f>
        <v/>
      </c>
      <c r="C69" s="23" t="n"/>
      <c r="D69" s="23" t="n"/>
    </row>
    <row r="70">
      <c r="A70" s="21" t="n"/>
      <c r="B70" s="22">
        <f>IF(OR(A70="",Configurações!$B$5=""),"",INT((A70-Configurações!$B$5)/7)+1)</f>
        <v/>
      </c>
      <c r="C70" s="23" t="n"/>
      <c r="D70" s="23" t="n"/>
    </row>
    <row r="71">
      <c r="A71" s="21" t="n"/>
      <c r="B71" s="22">
        <f>IF(OR(A71="",Configurações!$B$5=""),"",INT((A71-Configurações!$B$5)/7)+1)</f>
        <v/>
      </c>
      <c r="C71" s="23" t="n"/>
      <c r="D71" s="23" t="n"/>
    </row>
    <row r="72">
      <c r="A72" s="21" t="n"/>
      <c r="B72" s="22">
        <f>IF(OR(A72="",Configurações!$B$5=""),"",INT((A72-Configurações!$B$5)/7)+1)</f>
        <v/>
      </c>
      <c r="C72" s="23" t="n"/>
      <c r="D72" s="23" t="n"/>
    </row>
    <row r="73">
      <c r="A73" s="21" t="n"/>
      <c r="B73" s="22">
        <f>IF(OR(A73="",Configurações!$B$5=""),"",INT((A73-Configurações!$B$5)/7)+1)</f>
        <v/>
      </c>
      <c r="C73" s="23" t="n"/>
      <c r="D73" s="23" t="n"/>
    </row>
    <row r="74">
      <c r="A74" s="21" t="n"/>
      <c r="B74" s="22">
        <f>IF(OR(A74="",Configurações!$B$5=""),"",INT((A74-Configurações!$B$5)/7)+1)</f>
        <v/>
      </c>
      <c r="C74" s="23" t="n"/>
      <c r="D74" s="23" t="n"/>
    </row>
    <row r="75">
      <c r="A75" s="21" t="n"/>
      <c r="B75" s="22">
        <f>IF(OR(A75="",Configurações!$B$5=""),"",INT((A75-Configurações!$B$5)/7)+1)</f>
        <v/>
      </c>
      <c r="C75" s="23" t="n"/>
      <c r="D75" s="23" t="n"/>
    </row>
    <row r="76">
      <c r="A76" s="21" t="n"/>
      <c r="B76" s="22">
        <f>IF(OR(A76="",Configurações!$B$5=""),"",INT((A76-Configurações!$B$5)/7)+1)</f>
        <v/>
      </c>
      <c r="C76" s="23" t="n"/>
      <c r="D76" s="23" t="n"/>
    </row>
    <row r="77">
      <c r="A77" s="21" t="n"/>
      <c r="B77" s="22">
        <f>IF(OR(A77="",Configurações!$B$5=""),"",INT((A77-Configurações!$B$5)/7)+1)</f>
        <v/>
      </c>
      <c r="C77" s="23" t="n"/>
      <c r="D77" s="23" t="n"/>
    </row>
    <row r="78">
      <c r="A78" s="21" t="n"/>
      <c r="B78" s="22">
        <f>IF(OR(A78="",Configurações!$B$5=""),"",INT((A78-Configurações!$B$5)/7)+1)</f>
        <v/>
      </c>
      <c r="C78" s="23" t="n"/>
      <c r="D78" s="23" t="n"/>
    </row>
    <row r="79">
      <c r="A79" s="21" t="n"/>
      <c r="B79" s="22">
        <f>IF(OR(A79="",Configurações!$B$5=""),"",INT((A79-Configurações!$B$5)/7)+1)</f>
        <v/>
      </c>
      <c r="C79" s="23" t="n"/>
      <c r="D79" s="23" t="n"/>
    </row>
    <row r="80">
      <c r="A80" s="21" t="n"/>
      <c r="B80" s="22">
        <f>IF(OR(A80="",Configurações!$B$5=""),"",INT((A80-Configurações!$B$5)/7)+1)</f>
        <v/>
      </c>
      <c r="C80" s="23" t="n"/>
      <c r="D80" s="23" t="n"/>
    </row>
    <row r="81">
      <c r="A81" s="21" t="n"/>
      <c r="B81" s="22">
        <f>IF(OR(A81="",Configurações!$B$5=""),"",INT((A81-Configurações!$B$5)/7)+1)</f>
        <v/>
      </c>
      <c r="C81" s="23" t="n"/>
      <c r="D81" s="23" t="n"/>
    </row>
    <row r="82">
      <c r="A82" s="21" t="n"/>
      <c r="B82" s="22">
        <f>IF(OR(A82="",Configurações!$B$5=""),"",INT((A82-Configurações!$B$5)/7)+1)</f>
        <v/>
      </c>
      <c r="C82" s="23" t="n"/>
      <c r="D82" s="23" t="n"/>
    </row>
    <row r="83">
      <c r="A83" s="21" t="n"/>
      <c r="B83" s="22">
        <f>IF(OR(A83="",Configurações!$B$5=""),"",INT((A83-Configurações!$B$5)/7)+1)</f>
        <v/>
      </c>
      <c r="C83" s="23" t="n"/>
      <c r="D83" s="23" t="n"/>
    </row>
    <row r="84">
      <c r="A84" s="21" t="n"/>
      <c r="B84" s="22">
        <f>IF(OR(A84="",Configurações!$B$5=""),"",INT((A84-Configurações!$B$5)/7)+1)</f>
        <v/>
      </c>
      <c r="C84" s="23" t="n"/>
      <c r="D84" s="23" t="n"/>
    </row>
    <row r="85">
      <c r="A85" s="21" t="n"/>
      <c r="B85" s="22">
        <f>IF(OR(A85="",Configurações!$B$5=""),"",INT((A85-Configurações!$B$5)/7)+1)</f>
        <v/>
      </c>
      <c r="C85" s="23" t="n"/>
      <c r="D85" s="23" t="n"/>
    </row>
    <row r="86">
      <c r="A86" s="21" t="n"/>
      <c r="B86" s="22">
        <f>IF(OR(A86="",Configurações!$B$5=""),"",INT((A86-Configurações!$B$5)/7)+1)</f>
        <v/>
      </c>
      <c r="C86" s="23" t="n"/>
      <c r="D86" s="23" t="n"/>
    </row>
    <row r="87">
      <c r="A87" s="21" t="n"/>
      <c r="B87" s="22">
        <f>IF(OR(A87="",Configurações!$B$5=""),"",INT((A87-Configurações!$B$5)/7)+1)</f>
        <v/>
      </c>
      <c r="C87" s="23" t="n"/>
      <c r="D87" s="23" t="n"/>
    </row>
    <row r="88">
      <c r="A88" s="21" t="n"/>
      <c r="B88" s="22">
        <f>IF(OR(A88="",Configurações!$B$5=""),"",INT((A88-Configurações!$B$5)/7)+1)</f>
        <v/>
      </c>
      <c r="C88" s="23" t="n"/>
      <c r="D88" s="23" t="n"/>
    </row>
    <row r="89">
      <c r="A89" s="21" t="n"/>
      <c r="B89" s="22">
        <f>IF(OR(A89="",Configurações!$B$5=""),"",INT((A89-Configurações!$B$5)/7)+1)</f>
        <v/>
      </c>
      <c r="C89" s="23" t="n"/>
      <c r="D89" s="23" t="n"/>
    </row>
    <row r="90">
      <c r="A90" s="21" t="n"/>
      <c r="B90" s="22">
        <f>IF(OR(A90="",Configurações!$B$5=""),"",INT((A90-Configurações!$B$5)/7)+1)</f>
        <v/>
      </c>
      <c r="C90" s="23" t="n"/>
      <c r="D90" s="23" t="n"/>
    </row>
    <row r="91">
      <c r="A91" s="21" t="n"/>
      <c r="B91" s="22">
        <f>IF(OR(A91="",Configurações!$B$5=""),"",INT((A91-Configurações!$B$5)/7)+1)</f>
        <v/>
      </c>
      <c r="C91" s="23" t="n"/>
      <c r="D91" s="23" t="n"/>
    </row>
    <row r="92">
      <c r="A92" s="21" t="n"/>
      <c r="B92" s="22">
        <f>IF(OR(A92="",Configurações!$B$5=""),"",INT((A92-Configurações!$B$5)/7)+1)</f>
        <v/>
      </c>
      <c r="C92" s="23" t="n"/>
      <c r="D92" s="23" t="n"/>
    </row>
    <row r="93">
      <c r="A93" s="21" t="n"/>
      <c r="B93" s="22">
        <f>IF(OR(A93="",Configurações!$B$5=""),"",INT((A93-Configurações!$B$5)/7)+1)</f>
        <v/>
      </c>
      <c r="C93" s="23" t="n"/>
      <c r="D93" s="23" t="n"/>
    </row>
    <row r="94">
      <c r="A94" s="21" t="n"/>
      <c r="B94" s="22">
        <f>IF(OR(A94="",Configurações!$B$5=""),"",INT((A94-Configurações!$B$5)/7)+1)</f>
        <v/>
      </c>
      <c r="C94" s="23" t="n"/>
      <c r="D94" s="23" t="n"/>
    </row>
    <row r="95">
      <c r="A95" s="21" t="n"/>
      <c r="B95" s="22">
        <f>IF(OR(A95="",Configurações!$B$5=""),"",INT((A95-Configurações!$B$5)/7)+1)</f>
        <v/>
      </c>
      <c r="C95" s="23" t="n"/>
      <c r="D95" s="23" t="n"/>
    </row>
    <row r="96">
      <c r="A96" s="21" t="n"/>
      <c r="B96" s="22">
        <f>IF(OR(A96="",Configurações!$B$5=""),"",INT((A96-Configurações!$B$5)/7)+1)</f>
        <v/>
      </c>
      <c r="C96" s="23" t="n"/>
      <c r="D96" s="23" t="n"/>
    </row>
    <row r="97">
      <c r="A97" s="21" t="n"/>
      <c r="B97" s="22">
        <f>IF(OR(A97="",Configurações!$B$5=""),"",INT((A97-Configurações!$B$5)/7)+1)</f>
        <v/>
      </c>
      <c r="C97" s="23" t="n"/>
      <c r="D97" s="23" t="n"/>
    </row>
    <row r="98">
      <c r="A98" s="21" t="n"/>
      <c r="B98" s="22">
        <f>IF(OR(A98="",Configurações!$B$5=""),"",INT((A98-Configurações!$B$5)/7)+1)</f>
        <v/>
      </c>
      <c r="C98" s="23" t="n"/>
      <c r="D98" s="23" t="n"/>
    </row>
    <row r="99">
      <c r="A99" s="21" t="n"/>
      <c r="B99" s="22">
        <f>IF(OR(A99="",Configurações!$B$5=""),"",INT((A99-Configurações!$B$5)/7)+1)</f>
        <v/>
      </c>
      <c r="C99" s="23" t="n"/>
      <c r="D99" s="23" t="n"/>
    </row>
    <row r="100">
      <c r="A100" s="21" t="n"/>
      <c r="B100" s="22">
        <f>IF(OR(A100="",Configurações!$B$5=""),"",INT((A100-Configurações!$B$5)/7)+1)</f>
        <v/>
      </c>
      <c r="C100" s="23" t="n"/>
      <c r="D100" s="23" t="n"/>
    </row>
    <row r="101">
      <c r="A101" s="21" t="n"/>
      <c r="B101" s="22">
        <f>IF(OR(A101="",Configurações!$B$5=""),"",INT((A101-Configurações!$B$5)/7)+1)</f>
        <v/>
      </c>
      <c r="C101" s="23" t="n"/>
      <c r="D101" s="23" t="n"/>
    </row>
    <row r="102">
      <c r="A102" s="21" t="n"/>
      <c r="B102" s="22">
        <f>IF(OR(A102="",Configurações!$B$5=""),"",INT((A102-Configurações!$B$5)/7)+1)</f>
        <v/>
      </c>
      <c r="C102" s="23" t="n"/>
      <c r="D102" s="23" t="n"/>
    </row>
    <row r="103">
      <c r="A103" s="21" t="n"/>
      <c r="B103" s="22">
        <f>IF(OR(A103="",Configurações!$B$5=""),"",INT((A103-Configurações!$B$5)/7)+1)</f>
        <v/>
      </c>
      <c r="C103" s="23" t="n"/>
      <c r="D103" s="23" t="n"/>
    </row>
    <row r="104">
      <c r="A104" s="21" t="n"/>
      <c r="B104" s="22">
        <f>IF(OR(A104="",Configurações!$B$5=""),"",INT((A104-Configurações!$B$5)/7)+1)</f>
        <v/>
      </c>
      <c r="C104" s="23" t="n"/>
      <c r="D104" s="23" t="n"/>
    </row>
    <row r="105">
      <c r="A105" s="21" t="n"/>
      <c r="B105" s="22">
        <f>IF(OR(A105="",Configurações!$B$5=""),"",INT((A105-Configurações!$B$5)/7)+1)</f>
        <v/>
      </c>
      <c r="C105" s="23" t="n"/>
      <c r="D105" s="23" t="n"/>
    </row>
    <row r="106">
      <c r="A106" s="21" t="n"/>
      <c r="B106" s="22">
        <f>IF(OR(A106="",Configurações!$B$5=""),"",INT((A106-Configurações!$B$5)/7)+1)</f>
        <v/>
      </c>
      <c r="C106" s="23" t="n"/>
      <c r="D106" s="23" t="n"/>
    </row>
    <row r="107">
      <c r="A107" s="21" t="n"/>
      <c r="B107" s="22">
        <f>IF(OR(A107="",Configurações!$B$5=""),"",INT((A107-Configurações!$B$5)/7)+1)</f>
        <v/>
      </c>
      <c r="C107" s="23" t="n"/>
      <c r="D107" s="23" t="n"/>
    </row>
    <row r="108">
      <c r="A108" s="21" t="n"/>
      <c r="B108" s="22">
        <f>IF(OR(A108="",Configurações!$B$5=""),"",INT((A108-Configurações!$B$5)/7)+1)</f>
        <v/>
      </c>
      <c r="C108" s="23" t="n"/>
      <c r="D108" s="23" t="n"/>
    </row>
    <row r="109">
      <c r="A109" s="21" t="n"/>
      <c r="B109" s="22">
        <f>IF(OR(A109="",Configurações!$B$5=""),"",INT((A109-Configurações!$B$5)/7)+1)</f>
        <v/>
      </c>
      <c r="C109" s="23" t="n"/>
      <c r="D109" s="23" t="n"/>
    </row>
    <row r="110">
      <c r="A110" s="21" t="n"/>
      <c r="B110" s="22">
        <f>IF(OR(A110="",Configurações!$B$5=""),"",INT((A110-Configurações!$B$5)/7)+1)</f>
        <v/>
      </c>
      <c r="C110" s="23" t="n"/>
      <c r="D110" s="23" t="n"/>
    </row>
    <row r="111">
      <c r="A111" s="21" t="n"/>
      <c r="B111" s="22">
        <f>IF(OR(A111="",Configurações!$B$5=""),"",INT((A111-Configurações!$B$5)/7)+1)</f>
        <v/>
      </c>
      <c r="C111" s="23" t="n"/>
      <c r="D111" s="23" t="n"/>
    </row>
    <row r="112">
      <c r="A112" s="21" t="n"/>
      <c r="B112" s="22">
        <f>IF(OR(A112="",Configurações!$B$5=""),"",INT((A112-Configurações!$B$5)/7)+1)</f>
        <v/>
      </c>
      <c r="C112" s="23" t="n"/>
      <c r="D112" s="23" t="n"/>
    </row>
    <row r="113">
      <c r="A113" s="21" t="n"/>
      <c r="B113" s="22">
        <f>IF(OR(A113="",Configurações!$B$5=""),"",INT((A113-Configurações!$B$5)/7)+1)</f>
        <v/>
      </c>
      <c r="C113" s="23" t="n"/>
      <c r="D113" s="23" t="n"/>
    </row>
    <row r="114">
      <c r="A114" s="21" t="n"/>
      <c r="B114" s="22">
        <f>IF(OR(A114="",Configurações!$B$5=""),"",INT((A114-Configurações!$B$5)/7)+1)</f>
        <v/>
      </c>
      <c r="C114" s="23" t="n"/>
      <c r="D114" s="23" t="n"/>
    </row>
    <row r="115">
      <c r="A115" s="21" t="n"/>
      <c r="B115" s="22">
        <f>IF(OR(A115="",Configurações!$B$5=""),"",INT((A115-Configurações!$B$5)/7)+1)</f>
        <v/>
      </c>
      <c r="C115" s="23" t="n"/>
      <c r="D115" s="23" t="n"/>
    </row>
    <row r="116">
      <c r="A116" s="21" t="n"/>
      <c r="B116" s="22">
        <f>IF(OR(A116="",Configurações!$B$5=""),"",INT((A116-Configurações!$B$5)/7)+1)</f>
        <v/>
      </c>
      <c r="C116" s="23" t="n"/>
      <c r="D116" s="23" t="n"/>
    </row>
    <row r="117">
      <c r="A117" s="21" t="n"/>
      <c r="B117" s="22">
        <f>IF(OR(A117="",Configurações!$B$5=""),"",INT((A117-Configurações!$B$5)/7)+1)</f>
        <v/>
      </c>
      <c r="C117" s="23" t="n"/>
      <c r="D117" s="23" t="n"/>
    </row>
    <row r="118">
      <c r="A118" s="21" t="n"/>
      <c r="B118" s="22">
        <f>IF(OR(A118="",Configurações!$B$5=""),"",INT((A118-Configurações!$B$5)/7)+1)</f>
        <v/>
      </c>
      <c r="C118" s="23" t="n"/>
      <c r="D118" s="23" t="n"/>
    </row>
    <row r="119">
      <c r="A119" s="21" t="n"/>
      <c r="B119" s="22">
        <f>IF(OR(A119="",Configurações!$B$5=""),"",INT((A119-Configurações!$B$5)/7)+1)</f>
        <v/>
      </c>
      <c r="C119" s="23" t="n"/>
      <c r="D119" s="23" t="n"/>
    </row>
    <row r="120">
      <c r="A120" s="21" t="n"/>
      <c r="B120" s="22">
        <f>IF(OR(A120="",Configurações!$B$5=""),"",INT((A120-Configurações!$B$5)/7)+1)</f>
        <v/>
      </c>
      <c r="C120" s="23" t="n"/>
      <c r="D120" s="23" t="n"/>
    </row>
    <row r="121">
      <c r="A121" s="21" t="n"/>
      <c r="B121" s="22">
        <f>IF(OR(A121="",Configurações!$B$5=""),"",INT((A121-Configurações!$B$5)/7)+1)</f>
        <v/>
      </c>
      <c r="C121" s="23" t="n"/>
      <c r="D121" s="23" t="n"/>
    </row>
    <row r="122">
      <c r="A122" s="21" t="n"/>
      <c r="B122" s="22">
        <f>IF(OR(A122="",Configurações!$B$5=""),"",INT((A122-Configurações!$B$5)/7)+1)</f>
        <v/>
      </c>
      <c r="C122" s="23" t="n"/>
      <c r="D122" s="23" t="n"/>
    </row>
    <row r="123">
      <c r="A123" s="21" t="n"/>
      <c r="B123" s="22">
        <f>IF(OR(A123="",Configurações!$B$5=""),"",INT((A123-Configurações!$B$5)/7)+1)</f>
        <v/>
      </c>
      <c r="C123" s="23" t="n"/>
      <c r="D123" s="23" t="n"/>
    </row>
    <row r="124">
      <c r="A124" s="21" t="n"/>
      <c r="B124" s="22">
        <f>IF(OR(A124="",Configurações!$B$5=""),"",INT((A124-Configurações!$B$5)/7)+1)</f>
        <v/>
      </c>
      <c r="C124" s="23" t="n"/>
      <c r="D124" s="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2" customWidth="1" min="4" max="4"/>
    <col width="11" customWidth="1" min="5" max="5"/>
    <col width="11" customWidth="1" min="6" max="6"/>
    <col width="9" customWidth="1" min="7" max="7"/>
    <col width="10" customWidth="1" min="8" max="8"/>
    <col width="10" customWidth="1" min="9" max="9"/>
    <col width="10" customWidth="1" min="10" max="10"/>
    <col width="11" customWidth="1" min="11" max="11"/>
    <col width="16" customWidth="1" min="12" max="12"/>
    <col width="8" customWidth="1" min="13" max="13"/>
    <col width="60" customWidth="1" min="14" max="14"/>
  </cols>
  <sheetData>
    <row r="1">
      <c r="A1" s="1" t="inlineStr">
        <is>
          <t>Painel</t>
        </is>
      </c>
    </row>
    <row r="2">
      <c r="A2" s="4" t="inlineStr">
        <is>
          <t>Atualiza sozinho. Leia de cima para baixo: atividade, funil, dinheiro, diagnóstico.</t>
        </is>
      </c>
    </row>
    <row r="4" ht="30" customHeight="1">
      <c r="A4" s="5" t="inlineStr">
        <is>
          <t>Semana</t>
        </is>
      </c>
      <c r="B4" s="5" t="inlineStr">
        <is>
          <t>Novos contatos</t>
        </is>
      </c>
      <c r="C4" s="5" t="inlineStr">
        <is>
          <t>Meta</t>
        </is>
      </c>
      <c r="D4" s="5" t="inlineStr">
        <is>
          <t>Responderam</t>
        </is>
      </c>
      <c r="E4" s="5" t="inlineStr">
        <is>
          <t>Conversas</t>
        </is>
      </c>
      <c r="F4" s="5" t="inlineStr">
        <is>
          <t>Propostas</t>
        </is>
      </c>
      <c r="G4" s="5" t="inlineStr">
        <is>
          <t>Vendas</t>
        </is>
      </c>
      <c r="H4" s="5" t="inlineStr">
        <is>
          <t>Resposta</t>
        </is>
      </c>
      <c r="I4" s="5" t="inlineStr">
        <is>
          <t>Conversa</t>
        </is>
      </c>
      <c r="J4" s="5" t="inlineStr">
        <is>
          <t>Proposta</t>
        </is>
      </c>
      <c r="K4" s="5" t="inlineStr">
        <is>
          <t>Fechamento</t>
        </is>
      </c>
      <c r="L4" s="5" t="inlineStr">
        <is>
          <t>Etapa mais fraca</t>
        </is>
      </c>
      <c r="M4" s="5" t="inlineStr">
        <is>
          <t>Horas</t>
        </is>
      </c>
      <c r="N4" s="5" t="inlineStr">
        <is>
          <t>Diagnóstico</t>
        </is>
      </c>
    </row>
    <row r="5" ht="42" customHeight="1">
      <c r="A5" s="6" t="n">
        <v>1</v>
      </c>
      <c r="B5" s="25">
        <f>COUNTIF(Contatos!$B$5:$B$504,A5)</f>
        <v/>
      </c>
      <c r="C5" s="25">
        <f>Configurações!$B$9</f>
        <v/>
      </c>
      <c r="D5" s="25">
        <f>COUNTIFS(Contatos!$B$5:$B$504,A5,Contatos!$G$5:$G$504,"&gt;="&amp;2)</f>
        <v/>
      </c>
      <c r="E5" s="25">
        <f>COUNTIFS(Contatos!$B$5:$B$504,A5,Contatos!$G$5:$G$504,"&gt;="&amp;3)</f>
        <v/>
      </c>
      <c r="F5" s="25">
        <f>COUNTIFS(Contatos!$B$5:$B$504,A5,Contatos!$G$5:$G$504,"&gt;="&amp;4)</f>
        <v/>
      </c>
      <c r="G5" s="25">
        <f>COUNTIFS(Contatos!$B$5:$B$504,A5,Contatos!$G$5:$G$504,"&gt;="&amp;5)</f>
        <v/>
      </c>
      <c r="H5" s="26">
        <f>IF(B5=0,"",D5/B5)</f>
        <v/>
      </c>
      <c r="I5" s="26">
        <f>IF(D5=0,"",E5/D5)</f>
        <v/>
      </c>
      <c r="J5" s="26">
        <f>IF(E5=0,"",F5/E5)</f>
        <v/>
      </c>
      <c r="K5" s="26">
        <f>IF(F5=0,"",G5/F5)</f>
        <v/>
      </c>
      <c r="L5" s="25">
        <f>IF(B5=0,"",IF(D5=0,"Resposta",IF(E5=0,"Conversa",IF(F5=0,"Proposta",IF(G5=0,"Fechamento",INDEX({"Resposta","Conversa","Proposta","Fechamento"},MATCH(MIN(H5:K5),H5:K5,0)))))))</f>
        <v/>
      </c>
      <c r="M5" s="27">
        <f>SUMIF(Tempo!$B$5:$B$124,A5,Tempo!$C$5:$C$124)/60</f>
        <v/>
      </c>
      <c r="N5" s="25">
        <f>IF(B5=0,"",IF(B5&lt;C5,"Atividade abaixo da meta: antes de mudar a oferta, aumente os contatos. ","")&amp;IF(L5="Resposta","Poucas respostas: revise público, canal e personalização da 1ª mensagem.",IF(L5="Conversa","Respondem sem interesse: fale com quem já mostrou o problema e deixe o benefício mais claro.",IF(L5="Proposta","Conversas não viram proposta: conecte a solução ao que a pessoa disse e pergunte o prazo.",IF(L5="Fechamento","Propostas sem venda: mostre demonstração, ofereça garantia simples e facilite o pagamento.","")))))</f>
        <v/>
      </c>
    </row>
    <row r="6" ht="42" customHeight="1">
      <c r="A6" s="6" t="n">
        <v>2</v>
      </c>
      <c r="B6" s="25">
        <f>COUNTIF(Contatos!$B$5:$B$504,A6)</f>
        <v/>
      </c>
      <c r="C6" s="25">
        <f>Configurações!$B$9</f>
        <v/>
      </c>
      <c r="D6" s="25">
        <f>COUNTIFS(Contatos!$B$5:$B$504,A6,Contatos!$G$5:$G$504,"&gt;="&amp;2)</f>
        <v/>
      </c>
      <c r="E6" s="25">
        <f>COUNTIFS(Contatos!$B$5:$B$504,A6,Contatos!$G$5:$G$504,"&gt;="&amp;3)</f>
        <v/>
      </c>
      <c r="F6" s="25">
        <f>COUNTIFS(Contatos!$B$5:$B$504,A6,Contatos!$G$5:$G$504,"&gt;="&amp;4)</f>
        <v/>
      </c>
      <c r="G6" s="25">
        <f>COUNTIFS(Contatos!$B$5:$B$504,A6,Contatos!$G$5:$G$504,"&gt;="&amp;5)</f>
        <v/>
      </c>
      <c r="H6" s="26">
        <f>IF(B6=0,"",D6/B6)</f>
        <v/>
      </c>
      <c r="I6" s="26">
        <f>IF(D6=0,"",E6/D6)</f>
        <v/>
      </c>
      <c r="J6" s="26">
        <f>IF(E6=0,"",F6/E6)</f>
        <v/>
      </c>
      <c r="K6" s="26">
        <f>IF(F6=0,"",G6/F6)</f>
        <v/>
      </c>
      <c r="L6" s="25">
        <f>IF(B6=0,"",IF(D6=0,"Resposta",IF(E6=0,"Conversa",IF(F6=0,"Proposta",IF(G6=0,"Fechamento",INDEX({"Resposta","Conversa","Proposta","Fechamento"},MATCH(MIN(H6:K6),H6:K6,0)))))))</f>
        <v/>
      </c>
      <c r="M6" s="27">
        <f>SUMIF(Tempo!$B$5:$B$124,A6,Tempo!$C$5:$C$124)/60</f>
        <v/>
      </c>
      <c r="N6" s="25">
        <f>IF(B6=0,"",IF(B6&lt;C6,"Atividade abaixo da meta: antes de mudar a oferta, aumente os contatos. ","")&amp;IF(L6="Resposta","Poucas respostas: revise público, canal e personalização da 1ª mensagem.",IF(L6="Conversa","Respondem sem interesse: fale com quem já mostrou o problema e deixe o benefício mais claro.",IF(L6="Proposta","Conversas não viram proposta: conecte a solução ao que a pessoa disse e pergunte o prazo.",IF(L6="Fechamento","Propostas sem venda: mostre demonstração, ofereça garantia simples e facilite o pagamento.","")))))</f>
        <v/>
      </c>
    </row>
    <row r="7" ht="42" customHeight="1">
      <c r="A7" s="6" t="n">
        <v>3</v>
      </c>
      <c r="B7" s="25">
        <f>COUNTIF(Contatos!$B$5:$B$504,A7)</f>
        <v/>
      </c>
      <c r="C7" s="25">
        <f>Configurações!$B$9</f>
        <v/>
      </c>
      <c r="D7" s="25">
        <f>COUNTIFS(Contatos!$B$5:$B$504,A7,Contatos!$G$5:$G$504,"&gt;="&amp;2)</f>
        <v/>
      </c>
      <c r="E7" s="25">
        <f>COUNTIFS(Contatos!$B$5:$B$504,A7,Contatos!$G$5:$G$504,"&gt;="&amp;3)</f>
        <v/>
      </c>
      <c r="F7" s="25">
        <f>COUNTIFS(Contatos!$B$5:$B$504,A7,Contatos!$G$5:$G$504,"&gt;="&amp;4)</f>
        <v/>
      </c>
      <c r="G7" s="25">
        <f>COUNTIFS(Contatos!$B$5:$B$504,A7,Contatos!$G$5:$G$504,"&gt;="&amp;5)</f>
        <v/>
      </c>
      <c r="H7" s="26">
        <f>IF(B7=0,"",D7/B7)</f>
        <v/>
      </c>
      <c r="I7" s="26">
        <f>IF(D7=0,"",E7/D7)</f>
        <v/>
      </c>
      <c r="J7" s="26">
        <f>IF(E7=0,"",F7/E7)</f>
        <v/>
      </c>
      <c r="K7" s="26">
        <f>IF(F7=0,"",G7/F7)</f>
        <v/>
      </c>
      <c r="L7" s="25">
        <f>IF(B7=0,"",IF(D7=0,"Resposta",IF(E7=0,"Conversa",IF(F7=0,"Proposta",IF(G7=0,"Fechamento",INDEX({"Resposta","Conversa","Proposta","Fechamento"},MATCH(MIN(H7:K7),H7:K7,0)))))))</f>
        <v/>
      </c>
      <c r="M7" s="27">
        <f>SUMIF(Tempo!$B$5:$B$124,A7,Tempo!$C$5:$C$124)/60</f>
        <v/>
      </c>
      <c r="N7" s="25">
        <f>IF(B7=0,"",IF(B7&lt;C7,"Atividade abaixo da meta: antes de mudar a oferta, aumente os contatos. ","")&amp;IF(L7="Resposta","Poucas respostas: revise público, canal e personalização da 1ª mensagem.",IF(L7="Conversa","Respondem sem interesse: fale com quem já mostrou o problema e deixe o benefício mais claro.",IF(L7="Proposta","Conversas não viram proposta: conecte a solução ao que a pessoa disse e pergunte o prazo.",IF(L7="Fechamento","Propostas sem venda: mostre demonstração, ofereça garantia simples e facilite o pagamento.","")))))</f>
        <v/>
      </c>
    </row>
    <row r="8" ht="42" customHeight="1">
      <c r="A8" s="6" t="n">
        <v>4</v>
      </c>
      <c r="B8" s="25">
        <f>COUNTIF(Contatos!$B$5:$B$504,A8)</f>
        <v/>
      </c>
      <c r="C8" s="25">
        <f>Configurações!$B$9</f>
        <v/>
      </c>
      <c r="D8" s="25">
        <f>COUNTIFS(Contatos!$B$5:$B$504,A8,Contatos!$G$5:$G$504,"&gt;="&amp;2)</f>
        <v/>
      </c>
      <c r="E8" s="25">
        <f>COUNTIFS(Contatos!$B$5:$B$504,A8,Contatos!$G$5:$G$504,"&gt;="&amp;3)</f>
        <v/>
      </c>
      <c r="F8" s="25">
        <f>COUNTIFS(Contatos!$B$5:$B$504,A8,Contatos!$G$5:$G$504,"&gt;="&amp;4)</f>
        <v/>
      </c>
      <c r="G8" s="25">
        <f>COUNTIFS(Contatos!$B$5:$B$504,A8,Contatos!$G$5:$G$504,"&gt;="&amp;5)</f>
        <v/>
      </c>
      <c r="H8" s="26">
        <f>IF(B8=0,"",D8/B8)</f>
        <v/>
      </c>
      <c r="I8" s="26">
        <f>IF(D8=0,"",E8/D8)</f>
        <v/>
      </c>
      <c r="J8" s="26">
        <f>IF(E8=0,"",F8/E8)</f>
        <v/>
      </c>
      <c r="K8" s="26">
        <f>IF(F8=0,"",G8/F8)</f>
        <v/>
      </c>
      <c r="L8" s="25">
        <f>IF(B8=0,"",IF(D8=0,"Resposta",IF(E8=0,"Conversa",IF(F8=0,"Proposta",IF(G8=0,"Fechamento",INDEX({"Resposta","Conversa","Proposta","Fechamento"},MATCH(MIN(H8:K8),H8:K8,0)))))))</f>
        <v/>
      </c>
      <c r="M8" s="27">
        <f>SUMIF(Tempo!$B$5:$B$124,A8,Tempo!$C$5:$C$124)/60</f>
        <v/>
      </c>
      <c r="N8" s="25">
        <f>IF(B8=0,"",IF(B8&lt;C8,"Atividade abaixo da meta: antes de mudar a oferta, aumente os contatos. ","")&amp;IF(L8="Resposta","Poucas respostas: revise público, canal e personalização da 1ª mensagem.",IF(L8="Conversa","Respondem sem interesse: fale com quem já mostrou o problema e deixe o benefício mais claro.",IF(L8="Proposta","Conversas não viram proposta: conecte a solução ao que a pessoa disse e pergunte o prazo.",IF(L8="Fechamento","Propostas sem venda: mostre demonstração, ofereça garantia simples e facilite o pagamento.","")))))</f>
        <v/>
      </c>
    </row>
    <row r="9" ht="42" customHeight="1">
      <c r="A9" s="6" t="n">
        <v>5</v>
      </c>
      <c r="B9" s="25">
        <f>COUNTIF(Contatos!$B$5:$B$504,A9)</f>
        <v/>
      </c>
      <c r="C9" s="25">
        <f>Configurações!$B$9</f>
        <v/>
      </c>
      <c r="D9" s="25">
        <f>COUNTIFS(Contatos!$B$5:$B$504,A9,Contatos!$G$5:$G$504,"&gt;="&amp;2)</f>
        <v/>
      </c>
      <c r="E9" s="25">
        <f>COUNTIFS(Contatos!$B$5:$B$504,A9,Contatos!$G$5:$G$504,"&gt;="&amp;3)</f>
        <v/>
      </c>
      <c r="F9" s="25">
        <f>COUNTIFS(Contatos!$B$5:$B$504,A9,Contatos!$G$5:$G$504,"&gt;="&amp;4)</f>
        <v/>
      </c>
      <c r="G9" s="25">
        <f>COUNTIFS(Contatos!$B$5:$B$504,A9,Contatos!$G$5:$G$504,"&gt;="&amp;5)</f>
        <v/>
      </c>
      <c r="H9" s="26">
        <f>IF(B9=0,"",D9/B9)</f>
        <v/>
      </c>
      <c r="I9" s="26">
        <f>IF(D9=0,"",E9/D9)</f>
        <v/>
      </c>
      <c r="J9" s="26">
        <f>IF(E9=0,"",F9/E9)</f>
        <v/>
      </c>
      <c r="K9" s="26">
        <f>IF(F9=0,"",G9/F9)</f>
        <v/>
      </c>
      <c r="L9" s="25">
        <f>IF(B9=0,"",IF(D9=0,"Resposta",IF(E9=0,"Conversa",IF(F9=0,"Proposta",IF(G9=0,"Fechamento",INDEX({"Resposta","Conversa","Proposta","Fechamento"},MATCH(MIN(H9:K9),H9:K9,0)))))))</f>
        <v/>
      </c>
      <c r="M9" s="27">
        <f>SUMIF(Tempo!$B$5:$B$124,A9,Tempo!$C$5:$C$124)/60</f>
        <v/>
      </c>
      <c r="N9" s="25">
        <f>IF(B9=0,"",IF(B9&lt;C9,"Atividade abaixo da meta: antes de mudar a oferta, aumente os contatos. ","")&amp;IF(L9="Resposta","Poucas respostas: revise público, canal e personalização da 1ª mensagem.",IF(L9="Conversa","Respondem sem interesse: fale com quem já mostrou o problema e deixe o benefício mais claro.",IF(L9="Proposta","Conversas não viram proposta: conecte a solução ao que a pessoa disse e pergunte o prazo.",IF(L9="Fechamento","Propostas sem venda: mostre demonstração, ofereça garantia simples e facilite o pagamento.","")))))</f>
        <v/>
      </c>
    </row>
    <row r="10" ht="42" customHeight="1">
      <c r="A10" s="6" t="n">
        <v>6</v>
      </c>
      <c r="B10" s="25">
        <f>COUNTIF(Contatos!$B$5:$B$504,A10)</f>
        <v/>
      </c>
      <c r="C10" s="25">
        <f>Configurações!$B$9</f>
        <v/>
      </c>
      <c r="D10" s="25">
        <f>COUNTIFS(Contatos!$B$5:$B$504,A10,Contatos!$G$5:$G$504,"&gt;="&amp;2)</f>
        <v/>
      </c>
      <c r="E10" s="25">
        <f>COUNTIFS(Contatos!$B$5:$B$504,A10,Contatos!$G$5:$G$504,"&gt;="&amp;3)</f>
        <v/>
      </c>
      <c r="F10" s="25">
        <f>COUNTIFS(Contatos!$B$5:$B$504,A10,Contatos!$G$5:$G$504,"&gt;="&amp;4)</f>
        <v/>
      </c>
      <c r="G10" s="25">
        <f>COUNTIFS(Contatos!$B$5:$B$504,A10,Contatos!$G$5:$G$504,"&gt;="&amp;5)</f>
        <v/>
      </c>
      <c r="H10" s="26">
        <f>IF(B10=0,"",D10/B10)</f>
        <v/>
      </c>
      <c r="I10" s="26">
        <f>IF(D10=0,"",E10/D10)</f>
        <v/>
      </c>
      <c r="J10" s="26">
        <f>IF(E10=0,"",F10/E10)</f>
        <v/>
      </c>
      <c r="K10" s="26">
        <f>IF(F10=0,"",G10/F10)</f>
        <v/>
      </c>
      <c r="L10" s="25">
        <f>IF(B10=0,"",IF(D10=0,"Resposta",IF(E10=0,"Conversa",IF(F10=0,"Proposta",IF(G10=0,"Fechamento",INDEX({"Resposta","Conversa","Proposta","Fechamento"},MATCH(MIN(H10:K10),H10:K10,0)))))))</f>
        <v/>
      </c>
      <c r="M10" s="27">
        <f>SUMIF(Tempo!$B$5:$B$124,A10,Tempo!$C$5:$C$124)/60</f>
        <v/>
      </c>
      <c r="N10" s="25">
        <f>IF(B10=0,"",IF(B10&lt;C10,"Atividade abaixo da meta: antes de mudar a oferta, aumente os contatos. ","")&amp;IF(L10="Resposta","Poucas respostas: revise público, canal e personalização da 1ª mensagem.",IF(L10="Conversa","Respondem sem interesse: fale com quem já mostrou o problema e deixe o benefício mais claro.",IF(L10="Proposta","Conversas não viram proposta: conecte a solução ao que a pessoa disse e pergunte o prazo.",IF(L10="Fechamento","Propostas sem venda: mostre demonstração, ofereça garantia simples e facilite o pagamento.","")))))</f>
        <v/>
      </c>
    </row>
    <row r="11" ht="42" customHeight="1">
      <c r="A11" s="6" t="n">
        <v>7</v>
      </c>
      <c r="B11" s="25">
        <f>COUNTIF(Contatos!$B$5:$B$504,A11)</f>
        <v/>
      </c>
      <c r="C11" s="25">
        <f>Configurações!$B$9</f>
        <v/>
      </c>
      <c r="D11" s="25">
        <f>COUNTIFS(Contatos!$B$5:$B$504,A11,Contatos!$G$5:$G$504,"&gt;="&amp;2)</f>
        <v/>
      </c>
      <c r="E11" s="25">
        <f>COUNTIFS(Contatos!$B$5:$B$504,A11,Contatos!$G$5:$G$504,"&gt;="&amp;3)</f>
        <v/>
      </c>
      <c r="F11" s="25">
        <f>COUNTIFS(Contatos!$B$5:$B$504,A11,Contatos!$G$5:$G$504,"&gt;="&amp;4)</f>
        <v/>
      </c>
      <c r="G11" s="25">
        <f>COUNTIFS(Contatos!$B$5:$B$504,A11,Contatos!$G$5:$G$504,"&gt;="&amp;5)</f>
        <v/>
      </c>
      <c r="H11" s="26">
        <f>IF(B11=0,"",D11/B11)</f>
        <v/>
      </c>
      <c r="I11" s="26">
        <f>IF(D11=0,"",E11/D11)</f>
        <v/>
      </c>
      <c r="J11" s="26">
        <f>IF(E11=0,"",F11/E11)</f>
        <v/>
      </c>
      <c r="K11" s="26">
        <f>IF(F11=0,"",G11/F11)</f>
        <v/>
      </c>
      <c r="L11" s="25">
        <f>IF(B11=0,"",IF(D11=0,"Resposta",IF(E11=0,"Conversa",IF(F11=0,"Proposta",IF(G11=0,"Fechamento",INDEX({"Resposta","Conversa","Proposta","Fechamento"},MATCH(MIN(H11:K11),H11:K11,0)))))))</f>
        <v/>
      </c>
      <c r="M11" s="27">
        <f>SUMIF(Tempo!$B$5:$B$124,A11,Tempo!$C$5:$C$124)/60</f>
        <v/>
      </c>
      <c r="N11" s="25">
        <f>IF(B11=0,"",IF(B11&lt;C11,"Atividade abaixo da meta: antes de mudar a oferta, aumente os contatos. ","")&amp;IF(L11="Resposta","Poucas respostas: revise público, canal e personalização da 1ª mensagem.",IF(L11="Conversa","Respondem sem interesse: fale com quem já mostrou o problema e deixe o benefício mais claro.",IF(L11="Proposta","Conversas não viram proposta: conecte a solução ao que a pessoa disse e pergunte o prazo.",IF(L11="Fechamento","Propostas sem venda: mostre demonstração, ofereça garantia simples e facilite o pagamento.","")))))</f>
        <v/>
      </c>
    </row>
    <row r="12" ht="42" customHeight="1">
      <c r="A12" s="6" t="n">
        <v>8</v>
      </c>
      <c r="B12" s="25">
        <f>COUNTIF(Contatos!$B$5:$B$504,A12)</f>
        <v/>
      </c>
      <c r="C12" s="25">
        <f>Configurações!$B$9</f>
        <v/>
      </c>
      <c r="D12" s="25">
        <f>COUNTIFS(Contatos!$B$5:$B$504,A12,Contatos!$G$5:$G$504,"&gt;="&amp;2)</f>
        <v/>
      </c>
      <c r="E12" s="25">
        <f>COUNTIFS(Contatos!$B$5:$B$504,A12,Contatos!$G$5:$G$504,"&gt;="&amp;3)</f>
        <v/>
      </c>
      <c r="F12" s="25">
        <f>COUNTIFS(Contatos!$B$5:$B$504,A12,Contatos!$G$5:$G$504,"&gt;="&amp;4)</f>
        <v/>
      </c>
      <c r="G12" s="25">
        <f>COUNTIFS(Contatos!$B$5:$B$504,A12,Contatos!$G$5:$G$504,"&gt;="&amp;5)</f>
        <v/>
      </c>
      <c r="H12" s="26">
        <f>IF(B12=0,"",D12/B12)</f>
        <v/>
      </c>
      <c r="I12" s="26">
        <f>IF(D12=0,"",E12/D12)</f>
        <v/>
      </c>
      <c r="J12" s="26">
        <f>IF(E12=0,"",F12/E12)</f>
        <v/>
      </c>
      <c r="K12" s="26">
        <f>IF(F12=0,"",G12/F12)</f>
        <v/>
      </c>
      <c r="L12" s="25">
        <f>IF(B12=0,"",IF(D12=0,"Resposta",IF(E12=0,"Conversa",IF(F12=0,"Proposta",IF(G12=0,"Fechamento",INDEX({"Resposta","Conversa","Proposta","Fechamento"},MATCH(MIN(H12:K12),H12:K12,0)))))))</f>
        <v/>
      </c>
      <c r="M12" s="27">
        <f>SUMIF(Tempo!$B$5:$B$124,A12,Tempo!$C$5:$C$124)/60</f>
        <v/>
      </c>
      <c r="N12" s="25">
        <f>IF(B12=0,"",IF(B12&lt;C12,"Atividade abaixo da meta: antes de mudar a oferta, aumente os contatos. ","")&amp;IF(L12="Resposta","Poucas respostas: revise público, canal e personalização da 1ª mensagem.",IF(L12="Conversa","Respondem sem interesse: fale com quem já mostrou o problema e deixe o benefício mais claro.",IF(L12="Proposta","Conversas não viram proposta: conecte a solução ao que a pessoa disse e pergunte o prazo.",IF(L12="Fechamento","Propostas sem venda: mostre demonstração, ofereça garantia simples e facilite o pagamento.","")))))</f>
        <v/>
      </c>
    </row>
    <row r="13" ht="42" customHeight="1">
      <c r="A13" s="6" t="n">
        <v>9</v>
      </c>
      <c r="B13" s="25">
        <f>COUNTIF(Contatos!$B$5:$B$504,A13)</f>
        <v/>
      </c>
      <c r="C13" s="25">
        <f>Configurações!$B$9</f>
        <v/>
      </c>
      <c r="D13" s="25">
        <f>COUNTIFS(Contatos!$B$5:$B$504,A13,Contatos!$G$5:$G$504,"&gt;="&amp;2)</f>
        <v/>
      </c>
      <c r="E13" s="25">
        <f>COUNTIFS(Contatos!$B$5:$B$504,A13,Contatos!$G$5:$G$504,"&gt;="&amp;3)</f>
        <v/>
      </c>
      <c r="F13" s="25">
        <f>COUNTIFS(Contatos!$B$5:$B$504,A13,Contatos!$G$5:$G$504,"&gt;="&amp;4)</f>
        <v/>
      </c>
      <c r="G13" s="25">
        <f>COUNTIFS(Contatos!$B$5:$B$504,A13,Contatos!$G$5:$G$504,"&gt;="&amp;5)</f>
        <v/>
      </c>
      <c r="H13" s="26">
        <f>IF(B13=0,"",D13/B13)</f>
        <v/>
      </c>
      <c r="I13" s="26">
        <f>IF(D13=0,"",E13/D13)</f>
        <v/>
      </c>
      <c r="J13" s="26">
        <f>IF(E13=0,"",F13/E13)</f>
        <v/>
      </c>
      <c r="K13" s="26">
        <f>IF(F13=0,"",G13/F13)</f>
        <v/>
      </c>
      <c r="L13" s="25">
        <f>IF(B13=0,"",IF(D13=0,"Resposta",IF(E13=0,"Conversa",IF(F13=0,"Proposta",IF(G13=0,"Fechamento",INDEX({"Resposta","Conversa","Proposta","Fechamento"},MATCH(MIN(H13:K13),H13:K13,0)))))))</f>
        <v/>
      </c>
      <c r="M13" s="27">
        <f>SUMIF(Tempo!$B$5:$B$124,A13,Tempo!$C$5:$C$124)/60</f>
        <v/>
      </c>
      <c r="N13" s="25">
        <f>IF(B13=0,"",IF(B13&lt;C13,"Atividade abaixo da meta: antes de mudar a oferta, aumente os contatos. ","")&amp;IF(L13="Resposta","Poucas respostas: revise público, canal e personalização da 1ª mensagem.",IF(L13="Conversa","Respondem sem interesse: fale com quem já mostrou o problema e deixe o benefício mais claro.",IF(L13="Proposta","Conversas não viram proposta: conecte a solução ao que a pessoa disse e pergunte o prazo.",IF(L13="Fechamento","Propostas sem venda: mostre demonstração, ofereça garantia simples e facilite o pagamento.","")))))</f>
        <v/>
      </c>
    </row>
    <row r="14" ht="42" customHeight="1">
      <c r="A14" s="6" t="n">
        <v>10</v>
      </c>
      <c r="B14" s="25">
        <f>COUNTIF(Contatos!$B$5:$B$504,A14)</f>
        <v/>
      </c>
      <c r="C14" s="25">
        <f>Configurações!$B$9</f>
        <v/>
      </c>
      <c r="D14" s="25">
        <f>COUNTIFS(Contatos!$B$5:$B$504,A14,Contatos!$G$5:$G$504,"&gt;="&amp;2)</f>
        <v/>
      </c>
      <c r="E14" s="25">
        <f>COUNTIFS(Contatos!$B$5:$B$504,A14,Contatos!$G$5:$G$504,"&gt;="&amp;3)</f>
        <v/>
      </c>
      <c r="F14" s="25">
        <f>COUNTIFS(Contatos!$B$5:$B$504,A14,Contatos!$G$5:$G$504,"&gt;="&amp;4)</f>
        <v/>
      </c>
      <c r="G14" s="25">
        <f>COUNTIFS(Contatos!$B$5:$B$504,A14,Contatos!$G$5:$G$504,"&gt;="&amp;5)</f>
        <v/>
      </c>
      <c r="H14" s="26">
        <f>IF(B14=0,"",D14/B14)</f>
        <v/>
      </c>
      <c r="I14" s="26">
        <f>IF(D14=0,"",E14/D14)</f>
        <v/>
      </c>
      <c r="J14" s="26">
        <f>IF(E14=0,"",F14/E14)</f>
        <v/>
      </c>
      <c r="K14" s="26">
        <f>IF(F14=0,"",G14/F14)</f>
        <v/>
      </c>
      <c r="L14" s="25">
        <f>IF(B14=0,"",IF(D14=0,"Resposta",IF(E14=0,"Conversa",IF(F14=0,"Proposta",IF(G14=0,"Fechamento",INDEX({"Resposta","Conversa","Proposta","Fechamento"},MATCH(MIN(H14:K14),H14:K14,0)))))))</f>
        <v/>
      </c>
      <c r="M14" s="27">
        <f>SUMIF(Tempo!$B$5:$B$124,A14,Tempo!$C$5:$C$124)/60</f>
        <v/>
      </c>
      <c r="N14" s="25">
        <f>IF(B14=0,"",IF(B14&lt;C14,"Atividade abaixo da meta: antes de mudar a oferta, aumente os contatos. ","")&amp;IF(L14="Resposta","Poucas respostas: revise público, canal e personalização da 1ª mensagem.",IF(L14="Conversa","Respondem sem interesse: fale com quem já mostrou o problema e deixe o benefício mais claro.",IF(L14="Proposta","Conversas não viram proposta: conecte a solução ao que a pessoa disse e pergunte o prazo.",IF(L14="Fechamento","Propostas sem venda: mostre demonstração, ofereça garantia simples e facilite o pagamento.","")))))</f>
        <v/>
      </c>
    </row>
    <row r="15" ht="42" customHeight="1">
      <c r="A15" s="6" t="n">
        <v>11</v>
      </c>
      <c r="B15" s="25">
        <f>COUNTIF(Contatos!$B$5:$B$504,A15)</f>
        <v/>
      </c>
      <c r="C15" s="25">
        <f>Configurações!$B$9</f>
        <v/>
      </c>
      <c r="D15" s="25">
        <f>COUNTIFS(Contatos!$B$5:$B$504,A15,Contatos!$G$5:$G$504,"&gt;="&amp;2)</f>
        <v/>
      </c>
      <c r="E15" s="25">
        <f>COUNTIFS(Contatos!$B$5:$B$504,A15,Contatos!$G$5:$G$504,"&gt;="&amp;3)</f>
        <v/>
      </c>
      <c r="F15" s="25">
        <f>COUNTIFS(Contatos!$B$5:$B$504,A15,Contatos!$G$5:$G$504,"&gt;="&amp;4)</f>
        <v/>
      </c>
      <c r="G15" s="25">
        <f>COUNTIFS(Contatos!$B$5:$B$504,A15,Contatos!$G$5:$G$504,"&gt;="&amp;5)</f>
        <v/>
      </c>
      <c r="H15" s="26">
        <f>IF(B15=0,"",D15/B15)</f>
        <v/>
      </c>
      <c r="I15" s="26">
        <f>IF(D15=0,"",E15/D15)</f>
        <v/>
      </c>
      <c r="J15" s="26">
        <f>IF(E15=0,"",F15/E15)</f>
        <v/>
      </c>
      <c r="K15" s="26">
        <f>IF(F15=0,"",G15/F15)</f>
        <v/>
      </c>
      <c r="L15" s="25">
        <f>IF(B15=0,"",IF(D15=0,"Resposta",IF(E15=0,"Conversa",IF(F15=0,"Proposta",IF(G15=0,"Fechamento",INDEX({"Resposta","Conversa","Proposta","Fechamento"},MATCH(MIN(H15:K15),H15:K15,0)))))))</f>
        <v/>
      </c>
      <c r="M15" s="27">
        <f>SUMIF(Tempo!$B$5:$B$124,A15,Tempo!$C$5:$C$124)/60</f>
        <v/>
      </c>
      <c r="N15" s="25">
        <f>IF(B15=0,"",IF(B15&lt;C15,"Atividade abaixo da meta: antes de mudar a oferta, aumente os contatos. ","")&amp;IF(L15="Resposta","Poucas respostas: revise público, canal e personalização da 1ª mensagem.",IF(L15="Conversa","Respondem sem interesse: fale com quem já mostrou o problema e deixe o benefício mais claro.",IF(L15="Proposta","Conversas não viram proposta: conecte a solução ao que a pessoa disse e pergunte o prazo.",IF(L15="Fechamento","Propostas sem venda: mostre demonstração, ofereça garantia simples e facilite o pagamento.","")))))</f>
        <v/>
      </c>
    </row>
    <row r="16" ht="42" customHeight="1">
      <c r="A16" s="6" t="n">
        <v>12</v>
      </c>
      <c r="B16" s="25">
        <f>COUNTIF(Contatos!$B$5:$B$504,A16)</f>
        <v/>
      </c>
      <c r="C16" s="25">
        <f>Configurações!$B$9</f>
        <v/>
      </c>
      <c r="D16" s="25">
        <f>COUNTIFS(Contatos!$B$5:$B$504,A16,Contatos!$G$5:$G$504,"&gt;="&amp;2)</f>
        <v/>
      </c>
      <c r="E16" s="25">
        <f>COUNTIFS(Contatos!$B$5:$B$504,A16,Contatos!$G$5:$G$504,"&gt;="&amp;3)</f>
        <v/>
      </c>
      <c r="F16" s="25">
        <f>COUNTIFS(Contatos!$B$5:$B$504,A16,Contatos!$G$5:$G$504,"&gt;="&amp;4)</f>
        <v/>
      </c>
      <c r="G16" s="25">
        <f>COUNTIFS(Contatos!$B$5:$B$504,A16,Contatos!$G$5:$G$504,"&gt;="&amp;5)</f>
        <v/>
      </c>
      <c r="H16" s="26">
        <f>IF(B16=0,"",D16/B16)</f>
        <v/>
      </c>
      <c r="I16" s="26">
        <f>IF(D16=0,"",E16/D16)</f>
        <v/>
      </c>
      <c r="J16" s="26">
        <f>IF(E16=0,"",F16/E16)</f>
        <v/>
      </c>
      <c r="K16" s="26">
        <f>IF(F16=0,"",G16/F16)</f>
        <v/>
      </c>
      <c r="L16" s="25">
        <f>IF(B16=0,"",IF(D16=0,"Resposta",IF(E16=0,"Conversa",IF(F16=0,"Proposta",IF(G16=0,"Fechamento",INDEX({"Resposta","Conversa","Proposta","Fechamento"},MATCH(MIN(H16:K16),H16:K16,0)))))))</f>
        <v/>
      </c>
      <c r="M16" s="27">
        <f>SUMIF(Tempo!$B$5:$B$124,A16,Tempo!$C$5:$C$124)/60</f>
        <v/>
      </c>
      <c r="N16" s="25">
        <f>IF(B16=0,"",IF(B16&lt;C16,"Atividade abaixo da meta: antes de mudar a oferta, aumente os contatos. ","")&amp;IF(L16="Resposta","Poucas respostas: revise público, canal e personalização da 1ª mensagem.",IF(L16="Conversa","Respondem sem interesse: fale com quem já mostrou o problema e deixe o benefício mais claro.",IF(L16="Proposta","Conversas não viram proposta: conecte a solução ao que a pessoa disse e pergunte o prazo.",IF(L16="Fechamento","Propostas sem venda: mostre demonstração, ofereça garantia simples e facilite o pagamento.","")))))</f>
        <v/>
      </c>
    </row>
    <row r="18" ht="30" customHeight="1">
      <c r="A18" s="5" t="inlineStr">
        <is>
          <t>Funil acumulado</t>
        </is>
      </c>
      <c r="B18" s="5" t="inlineStr">
        <is>
          <t>Pessoas</t>
        </is>
      </c>
      <c r="C18" s="5" t="inlineStr">
        <is>
          <t>% do topo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6" t="inlineStr">
        <is>
          <t>Contatados</t>
        </is>
      </c>
      <c r="B19" s="25">
        <f>COUNTIF(Contatos!$G$5:$G$504,"&gt;="&amp;1)</f>
        <v/>
      </c>
      <c r="C19" s="26">
        <f>IF($B$19=0,"",B19/$B$19)</f>
        <v/>
      </c>
    </row>
    <row r="20">
      <c r="A20" s="6" t="inlineStr">
        <is>
          <t>Responderam</t>
        </is>
      </c>
      <c r="B20" s="25">
        <f>COUNTIF(Contatos!$G$5:$G$504,"&gt;="&amp;2)</f>
        <v/>
      </c>
      <c r="C20" s="26">
        <f>IF($B$19=0,"",B20/$B$19)</f>
        <v/>
      </c>
    </row>
    <row r="21">
      <c r="A21" s="6" t="inlineStr">
        <is>
          <t>Conversa</t>
        </is>
      </c>
      <c r="B21" s="25">
        <f>COUNTIF(Contatos!$G$5:$G$504,"&gt;="&amp;3)</f>
        <v/>
      </c>
      <c r="C21" s="26">
        <f>IF($B$19=0,"",B21/$B$19)</f>
        <v/>
      </c>
    </row>
    <row r="22">
      <c r="A22" s="6" t="inlineStr">
        <is>
          <t>Proposta</t>
        </is>
      </c>
      <c r="B22" s="25">
        <f>COUNTIF(Contatos!$G$5:$G$504,"&gt;="&amp;4)</f>
        <v/>
      </c>
      <c r="C22" s="26">
        <f>IF($B$19=0,"",B22/$B$19)</f>
        <v/>
      </c>
    </row>
    <row r="23">
      <c r="A23" s="6" t="inlineStr">
        <is>
          <t>Venda</t>
        </is>
      </c>
      <c r="B23" s="25">
        <f>COUNTIF(Contatos!$G$5:$G$504,"&gt;="&amp;5)</f>
        <v/>
      </c>
      <c r="C23" s="26">
        <f>IF($B$19=0,"",B23/$B$19)</f>
        <v/>
      </c>
    </row>
    <row r="26" ht="30" customHeight="1">
      <c r="A26" s="5" t="inlineStr">
        <is>
          <t>Canal</t>
        </is>
      </c>
      <c r="B26" s="5" t="inlineStr">
        <is>
          <t>Contatos</t>
        </is>
      </c>
      <c r="C26" s="5" t="inlineStr">
        <is>
          <t>Responderam</t>
        </is>
      </c>
      <c r="D26" s="5" t="inlineStr">
        <is>
          <t>Vendas</t>
        </is>
      </c>
      <c r="E26" s="5" t="inlineStr">
        <is>
          <t>Taxa de resposta</t>
        </is>
      </c>
      <c r="F26" s="5" t="inlineStr">
        <is>
          <t>Receita (R$)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28">
        <f>Configurações!A15</f>
        <v/>
      </c>
      <c r="B27" s="25">
        <f>COUNTIF(Contatos!$D$5:$D$504,A27)</f>
        <v/>
      </c>
      <c r="C27" s="25">
        <f>COUNTIFS(Contatos!$D$5:$D$504,A27,Contatos!$G$5:$G$504,"&gt;=2")</f>
        <v/>
      </c>
      <c r="D27" s="25">
        <f>COUNTIFS(Contatos!$D$5:$D$504,A27,Contatos!$G$5:$G$504,5)</f>
        <v/>
      </c>
      <c r="E27" s="26">
        <f>IF(B27=0,"",C27/B27)</f>
        <v/>
      </c>
      <c r="F27" s="29">
        <f>SUMIFS('Vendas e custos'!$F$5:$F$204,'Vendas e custos'!$D$5:$D$204,A27,'Vendas e custos'!$J$5:$J$204,"&lt;&gt;Sim")</f>
        <v/>
      </c>
    </row>
    <row r="28">
      <c r="A28" s="28">
        <f>Configurações!A16</f>
        <v/>
      </c>
      <c r="B28" s="25">
        <f>COUNTIF(Contatos!$D$5:$D$504,A28)</f>
        <v/>
      </c>
      <c r="C28" s="25">
        <f>COUNTIFS(Contatos!$D$5:$D$504,A28,Contatos!$G$5:$G$504,"&gt;=2")</f>
        <v/>
      </c>
      <c r="D28" s="25">
        <f>COUNTIFS(Contatos!$D$5:$D$504,A28,Contatos!$G$5:$G$504,5)</f>
        <v/>
      </c>
      <c r="E28" s="26">
        <f>IF(B28=0,"",C28/B28)</f>
        <v/>
      </c>
      <c r="F28" s="29">
        <f>SUMIFS('Vendas e custos'!$F$5:$F$204,'Vendas e custos'!$D$5:$D$204,A28,'Vendas e custos'!$J$5:$J$204,"&lt;&gt;Sim")</f>
        <v/>
      </c>
    </row>
    <row r="29">
      <c r="A29" s="28">
        <f>Configurações!A17</f>
        <v/>
      </c>
      <c r="B29" s="25">
        <f>COUNTIF(Contatos!$D$5:$D$504,A29)</f>
        <v/>
      </c>
      <c r="C29" s="25">
        <f>COUNTIFS(Contatos!$D$5:$D$504,A29,Contatos!$G$5:$G$504,"&gt;=2")</f>
        <v/>
      </c>
      <c r="D29" s="25">
        <f>COUNTIFS(Contatos!$D$5:$D$504,A29,Contatos!$G$5:$G$504,5)</f>
        <v/>
      </c>
      <c r="E29" s="26">
        <f>IF(B29=0,"",C29/B29)</f>
        <v/>
      </c>
      <c r="F29" s="29">
        <f>SUMIFS('Vendas e custos'!$F$5:$F$204,'Vendas e custos'!$D$5:$D$204,A29,'Vendas e custos'!$J$5:$J$204,"&lt;&gt;Sim")</f>
        <v/>
      </c>
    </row>
    <row r="30">
      <c r="A30" s="28">
        <f>Configurações!A18</f>
        <v/>
      </c>
      <c r="B30" s="25">
        <f>COUNTIF(Contatos!$D$5:$D$504,A30)</f>
        <v/>
      </c>
      <c r="C30" s="25">
        <f>COUNTIFS(Contatos!$D$5:$D$504,A30,Contatos!$G$5:$G$504,"&gt;=2")</f>
        <v/>
      </c>
      <c r="D30" s="25">
        <f>COUNTIFS(Contatos!$D$5:$D$504,A30,Contatos!$G$5:$G$504,5)</f>
        <v/>
      </c>
      <c r="E30" s="26">
        <f>IF(B30=0,"",C30/B30)</f>
        <v/>
      </c>
      <c r="F30" s="29">
        <f>SUMIFS('Vendas e custos'!$F$5:$F$204,'Vendas e custos'!$D$5:$D$204,A30,'Vendas e custos'!$J$5:$J$204,"&lt;&gt;Sim")</f>
        <v/>
      </c>
    </row>
    <row r="31">
      <c r="A31" s="28">
        <f>Configurações!A19</f>
        <v/>
      </c>
      <c r="B31" s="25">
        <f>COUNTIF(Contatos!$D$5:$D$504,A31)</f>
        <v/>
      </c>
      <c r="C31" s="25">
        <f>COUNTIFS(Contatos!$D$5:$D$504,A31,Contatos!$G$5:$G$504,"&gt;=2")</f>
        <v/>
      </c>
      <c r="D31" s="25">
        <f>COUNTIFS(Contatos!$D$5:$D$504,A31,Contatos!$G$5:$G$504,5)</f>
        <v/>
      </c>
      <c r="E31" s="26">
        <f>IF(B31=0,"",C31/B31)</f>
        <v/>
      </c>
      <c r="F31" s="29">
        <f>SUMIFS('Vendas e custos'!$F$5:$F$204,'Vendas e custos'!$D$5:$D$204,A31,'Vendas e custos'!$J$5:$J$204,"&lt;&gt;Sim")</f>
        <v/>
      </c>
    </row>
    <row r="32">
      <c r="A32" s="28">
        <f>Configurações!A20</f>
        <v/>
      </c>
      <c r="B32" s="25">
        <f>COUNTIF(Contatos!$D$5:$D$504,A32)</f>
        <v/>
      </c>
      <c r="C32" s="25">
        <f>COUNTIFS(Contatos!$D$5:$D$504,A32,Contatos!$G$5:$G$504,"&gt;=2")</f>
        <v/>
      </c>
      <c r="D32" s="25">
        <f>COUNTIFS(Contatos!$D$5:$D$504,A32,Contatos!$G$5:$G$504,5)</f>
        <v/>
      </c>
      <c r="E32" s="26">
        <f>IF(B32=0,"",C32/B32)</f>
        <v/>
      </c>
      <c r="F32" s="29">
        <f>SUMIFS('Vendas e custos'!$F$5:$F$204,'Vendas e custos'!$D$5:$D$204,A32,'Vendas e custos'!$J$5:$J$204,"&lt;&gt;Sim")</f>
        <v/>
      </c>
    </row>
    <row r="33">
      <c r="A33" s="28">
        <f>Configurações!A21</f>
        <v/>
      </c>
      <c r="B33" s="25">
        <f>COUNTIF(Contatos!$D$5:$D$504,A33)</f>
        <v/>
      </c>
      <c r="C33" s="25">
        <f>COUNTIFS(Contatos!$D$5:$D$504,A33,Contatos!$G$5:$G$504,"&gt;=2")</f>
        <v/>
      </c>
      <c r="D33" s="25">
        <f>COUNTIFS(Contatos!$D$5:$D$504,A33,Contatos!$G$5:$G$504,5)</f>
        <v/>
      </c>
      <c r="E33" s="26">
        <f>IF(B33=0,"",C33/B33)</f>
        <v/>
      </c>
      <c r="F33" s="29">
        <f>SUMIFS('Vendas e custos'!$F$5:$F$204,'Vendas e custos'!$D$5:$D$204,A33,'Vendas e custos'!$J$5:$J$204,"&lt;&gt;Sim")</f>
        <v/>
      </c>
    </row>
    <row r="34">
      <c r="A34" s="28">
        <f>Configurações!A22</f>
        <v/>
      </c>
      <c r="B34" s="25">
        <f>COUNTIF(Contatos!$D$5:$D$504,A34)</f>
        <v/>
      </c>
      <c r="C34" s="25">
        <f>COUNTIFS(Contatos!$D$5:$D$504,A34,Contatos!$G$5:$G$504,"&gt;=2")</f>
        <v/>
      </c>
      <c r="D34" s="25">
        <f>COUNTIFS(Contatos!$D$5:$D$504,A34,Contatos!$G$5:$G$504,5)</f>
        <v/>
      </c>
      <c r="E34" s="26">
        <f>IF(B34=0,"",C34/B34)</f>
        <v/>
      </c>
      <c r="F34" s="29">
        <f>SUMIFS('Vendas e custos'!$F$5:$F$204,'Vendas e custos'!$D$5:$D$204,A34,'Vendas e custos'!$J$5:$J$204,"&lt;&gt;Sim")</f>
        <v/>
      </c>
    </row>
    <row r="37" ht="30" customHeight="1">
      <c r="A37" s="5" t="inlineStr">
        <is>
          <t>Dinheiro (acumulado)</t>
        </is>
      </c>
      <c r="B37" s="5" t="inlineStr">
        <is>
          <t>Valor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6" t="inlineStr">
        <is>
          <t>Receita bruta (sem reembolsos)</t>
        </is>
      </c>
      <c r="B38" s="29">
        <f>SUMIFS('Vendas e custos'!$F$5:$F$204,'Vendas e custos'!$J$5:$J$204,"&lt;&gt;Sim")</f>
        <v/>
      </c>
    </row>
    <row r="39">
      <c r="A39" s="6" t="inlineStr">
        <is>
          <t>Custos diretos das vendas</t>
        </is>
      </c>
      <c r="B39" s="29">
        <f>SUM('Vendas e custos'!$G$5:$G$204)</f>
        <v/>
      </c>
    </row>
    <row r="40">
      <c r="A40" s="6" t="inlineStr">
        <is>
          <t>Taxas pagas</t>
        </is>
      </c>
      <c r="B40" s="29">
        <f>SUM('Vendas e custos'!$H$5:$H$204)</f>
        <v/>
      </c>
    </row>
    <row r="41">
      <c r="A41" s="6" t="inlineStr">
        <is>
          <t>Impostos estimados</t>
        </is>
      </c>
      <c r="B41" s="29">
        <f>SUMIFS('Vendas e custos'!$I$5:$I$204,'Vendas e custos'!$J$5:$J$204,"&lt;&gt;Sim")</f>
        <v/>
      </c>
    </row>
    <row r="42">
      <c r="A42" s="6" t="inlineStr">
        <is>
          <t>Gastos gerais</t>
        </is>
      </c>
      <c r="B42" s="29">
        <f>SUM('Vendas e custos'!$Q$5:$Q$104)</f>
        <v/>
      </c>
    </row>
    <row r="43">
      <c r="A43" s="6" t="inlineStr">
        <is>
          <t>Resultado (o que sobrou)</t>
        </is>
      </c>
      <c r="B43" s="29">
        <f>B38-B39-B40-B41-B42</f>
        <v/>
      </c>
    </row>
    <row r="44">
      <c r="A44" s="6" t="inlineStr">
        <is>
          <t>Vendas confirmadas</t>
        </is>
      </c>
      <c r="B44" s="25">
        <f>COUNTIFS('Vendas e custos'!$F$5:$F$204,"&gt;0",'Vendas e custos'!$J$5:$J$204,"&lt;&gt;Sim")</f>
        <v/>
      </c>
    </row>
    <row r="45">
      <c r="A45" s="6" t="inlineStr">
        <is>
          <t>Reembolsos</t>
        </is>
      </c>
      <c r="B45" s="25">
        <f>COUNTIF('Vendas e custos'!$J$5:$J$204,"Sim")</f>
        <v/>
      </c>
    </row>
    <row r="46">
      <c r="A46" s="6" t="inlineStr">
        <is>
          <t>Ticket médio</t>
        </is>
      </c>
      <c r="B46" s="29">
        <f>IF(B44=0,"",B38/B44)</f>
        <v/>
      </c>
    </row>
    <row r="47">
      <c r="A47" s="6" t="inlineStr">
        <is>
          <t>Horas dedicadas</t>
        </is>
      </c>
      <c r="B47" s="27">
        <f>SUM(Tempo!$C$5:$C$124)/60</f>
        <v/>
      </c>
    </row>
    <row r="48">
      <c r="A48" s="6" t="inlineStr">
        <is>
          <t>Quanto você ganhou por hora</t>
        </is>
      </c>
      <c r="B48" s="29">
        <f>IF(B47=0,"",B43/B47)</f>
        <v/>
      </c>
    </row>
    <row r="49">
      <c r="A49" s="6" t="inlineStr">
        <is>
          <t>Comparação com sua hora de referência</t>
        </is>
      </c>
      <c r="B49" s="25">
        <f>IF(OR(B48="",Configurações!$B$11=""),"",IF(B48&gt;=Configurações!$B$11,"Acima da referência","Abaixo da referência"))</f>
        <v/>
      </c>
    </row>
  </sheetData>
  <mergeCells count="1">
    <mergeCell ref="A2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2026-10-23T16:44:45Z</dcterms:created>
  <dcterms:modified xmlns:dcterms="http://purl.org/dc/terms/" xmlns:xsi="http://www.w3.org/2001/XMLSchema-instance" xsi:type="dcterms:W3CDTF">2026-10-23T16:44:45Z</dcterms:modified>
</cp:coreProperties>
</file>