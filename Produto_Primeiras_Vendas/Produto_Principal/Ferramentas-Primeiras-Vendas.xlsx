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ece aqui" sheetId="1" state="visible" r:id="rId1"/>
    <sheet xmlns:r="http://schemas.openxmlformats.org/officeDocument/2006/relationships" name="Ponto de partida" sheetId="2" state="visible" r:id="rId2"/>
    <sheet xmlns:r="http://schemas.openxmlformats.org/officeDocument/2006/relationships" name="Matriz de ideias" sheetId="3" state="visible" r:id="rId3"/>
    <sheet xmlns:r="http://schemas.openxmlformats.org/officeDocument/2006/relationships" name="Ficha de oferta" sheetId="4" state="visible" r:id="rId4"/>
    <sheet xmlns:r="http://schemas.openxmlformats.org/officeDocument/2006/relationships" name="Registro de contatos" sheetId="5" state="visible" r:id="rId5"/>
    <sheet xmlns:r="http://schemas.openxmlformats.org/officeDocument/2006/relationships" name="Plano de 7 dias" sheetId="6" state="visible" r:id="rId6"/>
    <sheet xmlns:r="http://schemas.openxmlformats.org/officeDocument/2006/relationships" name="Revisão seman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&quot;R$&quot; #,##0.00"/>
    <numFmt numFmtId="166" formatCode="0.0"/>
  </numFmts>
  <fonts count="6">
    <font>
      <name val="Calibri"/>
      <family val="2"/>
      <color theme="1"/>
      <sz val="11"/>
      <scheme val="minor"/>
    </font>
    <font>
      <name val="Arial"/>
      <b val="1"/>
      <color rgb="00161A22"/>
      <sz val="16"/>
    </font>
    <font>
      <name val="Arial"/>
      <b val="1"/>
      <sz val="10"/>
    </font>
    <font>
      <name val="Arial"/>
      <sz val="10"/>
    </font>
    <font>
      <name val="Arial"/>
      <color rgb="005E6370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61A22"/>
      </patternFill>
    </fill>
    <fill>
      <patternFill patternType="solid">
        <fgColor rgb="00FFF8EC"/>
      </patternFill>
    </fill>
    <fill>
      <patternFill patternType="solid">
        <fgColor rgb="00EEF0F6"/>
      </patternFill>
    </fill>
  </fills>
  <borders count="6">
    <border>
      <left/>
      <right/>
      <top/>
      <bottom/>
      <diagonal/>
    </border>
    <border>
      <left style="thin">
        <color rgb="00D8D1C2"/>
      </left>
      <right style="thin">
        <color rgb="00D8D1C2"/>
      </right>
      <top style="thin">
        <color rgb="00D8D1C2"/>
      </top>
      <bottom style="thin">
        <color rgb="00D8D1C2"/>
      </bottom>
    </border>
    <border>
      <left/>
      <right/>
      <top style="thin">
        <color rgb="00D8D1C2"/>
      </top>
      <bottom/>
      <diagonal/>
    </border>
    <border>
      <left/>
      <right style="thin">
        <color rgb="00D8D1C2"/>
      </right>
      <top style="thin">
        <color rgb="00D8D1C2"/>
      </top>
      <bottom/>
      <diagonal/>
    </border>
    <border>
      <left/>
      <right style="thin">
        <color rgb="00D8D1C2"/>
      </right>
      <top style="thin">
        <color rgb="00D8D1C2"/>
      </top>
      <bottom style="thin">
        <color rgb="00D8D1C2"/>
      </bottom>
      <diagonal/>
    </border>
    <border>
      <left/>
      <right/>
      <top style="thin">
        <color rgb="00D8D1C2"/>
      </top>
      <bottom style="thin">
        <color rgb="00D8D1C2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164" fontId="3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0" fillId="0" borderId="4" pivotButton="0" quotePrefix="0" xfId="0"/>
    <xf numFmtId="0" fontId="3" fillId="4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5" pivotButton="0" quotePrefix="0" xfId="0"/>
    <xf numFmtId="165" fontId="3" fillId="3" borderId="1" applyAlignment="1" pivotButton="0" quotePrefix="0" xfId="0">
      <alignment vertical="top" wrapText="1"/>
    </xf>
    <xf numFmtId="166" fontId="3" fillId="3" borderId="1" applyAlignment="1" pivotButton="0" quotePrefix="0" xfId="0">
      <alignment vertical="top" wrapText="1"/>
    </xf>
    <xf numFmtId="165" fontId="3" fillId="4" borderId="1" applyAlignment="1" pivotButton="0" quotePrefix="0" xfId="0">
      <alignment vertical="top" wrapText="1"/>
    </xf>
    <xf numFmtId="10" fontId="3" fillId="3" borderId="1" applyAlignment="1" pivotButton="0" quotePrefix="0" xfId="0">
      <alignment vertical="top" wrapText="1"/>
    </xf>
    <xf numFmtId="164" fontId="3" fillId="3" borderId="1" pivotButton="0" quotePrefix="0" xfId="0"/>
    <xf numFmtId="0" fontId="3" fillId="4" borderId="1" pivotButton="0" quotePrefix="0" xfId="0"/>
    <xf numFmtId="0" fontId="3" fillId="3" borderId="1" pivotButton="0" quotePrefix="0" xfId="0"/>
    <xf numFmtId="165" fontId="3" fillId="3" borderId="1" pivotButton="0" quotePrefix="0" xfId="0"/>
    <xf numFmtId="9" fontId="3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Ferramentas · Primeiras Vendas na Prática</t>
        </is>
      </c>
    </row>
    <row r="3" ht="15" customHeight="1">
      <c r="A3" s="2" t="inlineStr">
        <is>
          <t>COMO USAR ESTA PLANILHA</t>
        </is>
      </c>
    </row>
    <row r="4" ht="30" customHeight="1">
      <c r="A4" s="3" t="inlineStr">
        <is>
          <t>Células em bege são para você preencher. Células em azul-claro fazem as contas sozinhas: não digite nelas.</t>
        </is>
      </c>
    </row>
    <row r="5" ht="15" customHeight="1">
      <c r="A5" s="2" t="inlineStr">
        <is>
          <t>Siga as abas da esquerda para a direita, na mesma ordem dos módulos do guia:</t>
        </is>
      </c>
    </row>
    <row r="6" ht="45" customHeight="1">
      <c r="A6" s="3" t="inlineStr">
        <is>
          <t>1. Ponto de partida (Módulo 1) · 2. Matriz de ideias (Módulo 2) · 3. Ficha de oferta (Módulo 3) · 4. Registro de contatos (Módulos 4 e 6) · 5. Plano de 7 dias (Módulo 7) · 6. Revisão semanal (Módulo 7).</t>
        </is>
      </c>
    </row>
    <row r="7" ht="30" customHeight="1">
      <c r="A7" s="3" t="inlineStr">
        <is>
          <t>Funciona no Excel e no Google Planilhas (Arquivo &gt; Importar). Se usar no celular, prefira o app do Google Planilhas.</t>
        </is>
      </c>
    </row>
    <row r="8" ht="30" customHeight="1">
      <c r="A8" s="3" t="inlineStr">
        <is>
          <t>Os exemplos do guia são simulações. Os números desta planilha são os seus: nenhum resultado vem preenchido.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48" customWidth="1" min="3" max="3"/>
  </cols>
  <sheetData>
    <row r="1">
      <c r="A1" s="1" t="inlineStr">
        <is>
          <t>Ponto de partida</t>
        </is>
      </c>
    </row>
    <row r="2">
      <c r="A2" s="4" t="inlineStr">
        <is>
          <t>Módulo 1. Seja conservador: anote o que você tem de verdade hoje.</t>
        </is>
      </c>
    </row>
    <row r="4" ht="30" customHeight="1">
      <c r="A4" s="5" t="inlineStr">
        <is>
          <t>Campo</t>
        </is>
      </c>
      <c r="B4" s="5" t="inlineStr">
        <is>
          <t>Sua resposta</t>
        </is>
      </c>
      <c r="C4" s="5" t="inlineStr">
        <is>
          <t>Dica</t>
        </is>
      </c>
    </row>
    <row r="5" ht="42" customHeight="1">
      <c r="A5" s="6" t="inlineStr">
        <is>
          <t>Data de início do plano</t>
        </is>
      </c>
      <c r="B5" s="7" t="n"/>
      <c r="C5" s="8" t="inlineStr">
        <is>
          <t>Use o formato dd/mm/aaaa. A revisão semanal conta as semanas a partir daqui.</t>
        </is>
      </c>
    </row>
    <row r="6" ht="42" customHeight="1">
      <c r="A6" s="6" t="inlineStr">
        <is>
          <t>Minutos por dia disponíveis</t>
        </is>
      </c>
      <c r="B6" s="9" t="n"/>
      <c r="C6" s="8" t="inlineStr">
        <is>
          <t>Número. Ex.: 45</t>
        </is>
      </c>
    </row>
    <row r="7" ht="42" customHeight="1">
      <c r="A7" s="6" t="inlineStr">
        <is>
          <t>Habilidades que já uso</t>
        </is>
      </c>
      <c r="B7" s="9" t="n"/>
      <c r="C7" s="8" t="inlineStr">
        <is>
          <t>O que fazem você ser chamado para ajudar</t>
        </is>
      </c>
    </row>
    <row r="8" ht="42" customHeight="1">
      <c r="A8" s="6" t="inlineStr">
        <is>
          <t>Acessos (grupos, profissão, bairro, contatos)</t>
        </is>
      </c>
      <c r="B8" s="9" t="n"/>
      <c r="C8" s="8" t="inlineStr">
        <is>
          <t>Onde estão pessoas que posso alcançar</t>
        </is>
      </c>
    </row>
    <row r="9" ht="42" customHeight="1">
      <c r="A9" s="6" t="inlineStr">
        <is>
          <t>Dinheiro que aceito perder num teste (R$)</t>
        </is>
      </c>
      <c r="B9" s="9" t="n"/>
      <c r="C9" s="8" t="inlineStr">
        <is>
          <t>Pode ser zero</t>
        </is>
      </c>
    </row>
    <row r="10" ht="42" customHeight="1">
      <c r="A10" s="6" t="inlineStr">
        <is>
          <t>Restrições</t>
        </is>
      </c>
      <c r="B10" s="9" t="n"/>
      <c r="C10" s="8" t="inlineStr">
        <is>
          <t>Horários, não aparecer em vídeo, não receber em casa...</t>
        </is>
      </c>
    </row>
    <row r="11" ht="42" customHeight="1">
      <c r="A11" s="6" t="inlineStr">
        <is>
          <t>O tipo de venda mais fácil de testar primeiro parece ser...</t>
        </is>
      </c>
      <c r="B11" s="9" t="n"/>
      <c r="C11" s="8" t="inlineStr">
        <is>
          <t>Sua intuição agora; o Módulo 2 testa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7" customWidth="1" min="2" max="2"/>
    <col width="12" customWidth="1" min="3" max="3"/>
    <col width="30" customWidth="1" min="4" max="4"/>
    <col width="12" customWidth="1" min="5" max="5"/>
    <col width="30" customWidth="1" min="6" max="6"/>
    <col width="12" customWidth="1" min="7" max="7"/>
    <col width="30" customWidth="1" min="8" max="8"/>
  </cols>
  <sheetData>
    <row r="1">
      <c r="A1" s="1" t="inlineStr">
        <is>
          <t>Matriz de ideias</t>
        </is>
      </c>
    </row>
    <row r="2" ht="30" customHeight="1">
      <c r="A2" s="4" t="inlineStr">
        <is>
          <t>Módulo 2. Notas de 1 (ruim) a 5 (ótimo). Toda nota 4 ou 5 precisa de uma evidência; sem evidência, a nota máxima é 3.</t>
        </is>
      </c>
    </row>
    <row r="4" ht="30" customHeight="1">
      <c r="A4" s="5" t="inlineStr">
        <is>
          <t>Critério</t>
        </is>
      </c>
      <c r="B4" s="5" t="inlineStr">
        <is>
          <t>Peso</t>
        </is>
      </c>
      <c r="C4" s="5" t="inlineStr">
        <is>
          <t>Ideia A: nota</t>
        </is>
      </c>
      <c r="D4" s="5" t="inlineStr">
        <is>
          <t>Evidência A</t>
        </is>
      </c>
      <c r="E4" s="5" t="inlineStr">
        <is>
          <t>Ideia B: nota</t>
        </is>
      </c>
      <c r="F4" s="5" t="inlineStr">
        <is>
          <t>Evidência B</t>
        </is>
      </c>
      <c r="G4" s="5" t="inlineStr">
        <is>
          <t>Ideia C: nota</t>
        </is>
      </c>
      <c r="H4" s="5" t="inlineStr">
        <is>
          <t>Evidência C</t>
        </is>
      </c>
    </row>
    <row r="5">
      <c r="A5" s="6" t="inlineStr">
        <is>
          <t>Nome da ideia</t>
        </is>
      </c>
      <c r="C5" s="9" t="n"/>
      <c r="D5" s="10" t="n"/>
      <c r="E5" s="9" t="n"/>
      <c r="F5" s="10" t="n"/>
      <c r="G5" s="9" t="n"/>
      <c r="H5" s="10" t="n"/>
    </row>
    <row r="6" ht="32" customHeight="1">
      <c r="A6" s="6" t="inlineStr">
        <is>
          <t>Demanda</t>
        </is>
      </c>
      <c r="B6" s="11" t="n">
        <v>3</v>
      </c>
      <c r="C6" s="9" t="n"/>
      <c r="D6" s="9" t="n"/>
      <c r="E6" s="9" t="n"/>
      <c r="F6" s="9" t="n"/>
      <c r="G6" s="9" t="n"/>
      <c r="H6" s="9" t="n"/>
    </row>
    <row r="7" ht="32" customHeight="1">
      <c r="A7" s="6" t="inlineStr">
        <is>
          <t>Margem</t>
        </is>
      </c>
      <c r="B7" s="11" t="n">
        <v>2</v>
      </c>
      <c r="C7" s="9" t="n"/>
      <c r="D7" s="9" t="n"/>
      <c r="E7" s="9" t="n"/>
      <c r="F7" s="9" t="n"/>
      <c r="G7" s="9" t="n"/>
      <c r="H7" s="9" t="n"/>
    </row>
    <row r="8" ht="32" customHeight="1">
      <c r="A8" s="6" t="inlineStr">
        <is>
          <t>Concorrência</t>
        </is>
      </c>
      <c r="B8" s="11" t="n">
        <v>2</v>
      </c>
      <c r="C8" s="9" t="n"/>
      <c r="D8" s="9" t="n"/>
      <c r="E8" s="9" t="n"/>
      <c r="F8" s="9" t="n"/>
      <c r="G8" s="9" t="n"/>
      <c r="H8" s="9" t="n"/>
    </row>
    <row r="9" ht="32" customHeight="1">
      <c r="A9" s="6" t="inlineStr">
        <is>
          <t>Dificuldade operacional</t>
        </is>
      </c>
      <c r="B9" s="11" t="n">
        <v>2</v>
      </c>
      <c r="C9" s="9" t="n"/>
      <c r="D9" s="9" t="n"/>
      <c r="E9" s="9" t="n"/>
      <c r="F9" s="9" t="n"/>
      <c r="G9" s="9" t="n"/>
      <c r="H9" s="9" t="n"/>
    </row>
    <row r="10" ht="32" customHeight="1">
      <c r="A10" s="6" t="inlineStr">
        <is>
          <t>Investimento inicial</t>
        </is>
      </c>
      <c r="B10" s="11" t="n">
        <v>1</v>
      </c>
      <c r="C10" s="9" t="n"/>
      <c r="D10" s="9" t="n"/>
      <c r="E10" s="9" t="n"/>
      <c r="F10" s="9" t="n"/>
      <c r="G10" s="9" t="n"/>
      <c r="H10" s="9" t="n"/>
    </row>
    <row r="11">
      <c r="A11" s="6" t="inlineStr">
        <is>
          <t>Total (máx. 50)</t>
        </is>
      </c>
      <c r="C11" s="12">
        <f>SUMPRODUCT($B$6:$B$10,C6:C10)</f>
        <v/>
      </c>
      <c r="E11" s="12">
        <f>SUMPRODUCT($B$6:$B$10,E6:E10)</f>
        <v/>
      </c>
      <c r="G11" s="12">
        <f>SUMPRODUCT($B$6:$B$10,G6:G10)</f>
        <v/>
      </c>
    </row>
    <row r="12">
      <c r="A12" s="6" t="inlineStr">
        <is>
          <t>Decisão</t>
        </is>
      </c>
      <c r="C12" s="12">
        <f>IF(COUNT(C6:C10)&lt;5,"Preencha as 5 notas",IF(AND(C11&gt;=35,COUNTIF(C6:C10,1)=0),"Testar","Reformular ou descartar"))</f>
        <v/>
      </c>
      <c r="E12" s="12">
        <f>IF(COUNT(E6:E10)&lt;5,"Preencha as 5 notas",IF(AND(E11&gt;=35,COUNTIF(E6:E10,1)=0),"Testar","Reformular ou descartar"))</f>
        <v/>
      </c>
      <c r="G12" s="12">
        <f>IF(COUNT(G6:G10)&lt;5,"Preencha as 5 notas",IF(AND(G11&gt;=35,COUNTIF(G6:G10,1)=0),"Testar","Reformular ou descartar"))</f>
        <v/>
      </c>
    </row>
    <row r="14" ht="30" customHeight="1">
      <c r="A14" s="8" t="inlineStr">
        <is>
          <t>Regra: testar se o total for 35 ou mais e nenhum critério tiver nota 1. Se duas ideias passarem, comece pela de maior demanda.</t>
        </is>
      </c>
      <c r="B14" s="13" t="n"/>
      <c r="C14" s="13" t="n"/>
      <c r="D14" s="13" t="n"/>
      <c r="E14" s="13" t="n"/>
      <c r="F14" s="13" t="n"/>
      <c r="G14" s="13" t="n"/>
      <c r="H14" s="10" t="n"/>
    </row>
  </sheetData>
  <mergeCells count="8">
    <mergeCell ref="E12:F12"/>
    <mergeCell ref="C12:D12"/>
    <mergeCell ref="G12:H12"/>
    <mergeCell ref="A2:H2"/>
    <mergeCell ref="C5:D5"/>
    <mergeCell ref="G5:H5"/>
    <mergeCell ref="E5:F5"/>
    <mergeCell ref="A14:H14"/>
  </mergeCells>
  <dataValidations count="3">
    <dataValidation sqref="C6:C10" showDropDown="0" showInputMessage="0" showErrorMessage="0" allowBlank="1" type="list">
      <formula1>"1,2,3,4,5"</formula1>
    </dataValidation>
    <dataValidation sqref="E6:E10" showDropDown="0" showInputMessage="0" showErrorMessage="0" allowBlank="1" type="list">
      <formula1>"1,2,3,4,5"</formula1>
    </dataValidation>
    <dataValidation sqref="G6:G10" showDropDown="0" showInputMessage="0" showErrorMessage="0" allowBlank="1" type="list">
      <formula1>"1,2,3,4,5"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80" customWidth="1" min="2" max="2"/>
  </cols>
  <sheetData>
    <row r="1">
      <c r="A1" s="1" t="inlineStr">
        <is>
          <t>Ficha de oferta</t>
        </is>
      </c>
    </row>
    <row r="2">
      <c r="A2" s="4" t="inlineStr">
        <is>
          <t>Módulo 3. Responda às nove perguntas e calcule o preço mínimo.</t>
        </is>
      </c>
    </row>
    <row r="4" ht="30" customHeight="1">
      <c r="A4" s="5" t="inlineStr">
        <is>
          <t>Pergunta</t>
        </is>
      </c>
      <c r="B4" s="5" t="inlineStr">
        <is>
          <t>Sua resposta</t>
        </is>
      </c>
    </row>
    <row r="5" ht="36" customHeight="1">
      <c r="A5" s="6" t="inlineStr">
        <is>
          <t>O que é</t>
        </is>
      </c>
      <c r="B5" s="9" t="n"/>
    </row>
    <row r="6" ht="36" customHeight="1">
      <c r="A6" s="6" t="inlineStr">
        <is>
          <t>Para quem (por situação)</t>
        </is>
      </c>
      <c r="B6" s="9" t="n"/>
    </row>
    <row r="7" ht="36" customHeight="1">
      <c r="A7" s="6" t="inlineStr">
        <is>
          <t>Resolve o quê</t>
        </is>
      </c>
      <c r="B7" s="9" t="n"/>
    </row>
    <row r="8" ht="36" customHeight="1">
      <c r="A8" s="6" t="inlineStr">
        <is>
          <t>O que a pessoa recebe</t>
        </is>
      </c>
      <c r="B8" s="9" t="n"/>
    </row>
    <row r="9" ht="36" customHeight="1">
      <c r="A9" s="6" t="inlineStr">
        <is>
          <t>Como funciona</t>
        </is>
      </c>
      <c r="B9" s="9" t="n"/>
    </row>
    <row r="10" ht="36" customHeight="1">
      <c r="A10" s="6" t="inlineStr">
        <is>
          <t>Prazo</t>
        </is>
      </c>
      <c r="B10" s="9" t="n"/>
    </row>
    <row r="11" ht="36" customHeight="1">
      <c r="A11" s="6" t="inlineStr">
        <is>
          <t>Preço e pagamento</t>
        </is>
      </c>
      <c r="B11" s="9" t="n"/>
    </row>
    <row r="12" ht="36" customHeight="1">
      <c r="A12" s="6" t="inlineStr">
        <is>
          <t>Garantia ou condições</t>
        </is>
      </c>
      <c r="B12" s="9" t="n"/>
    </row>
    <row r="13" ht="36" customHeight="1">
      <c r="A13" s="6" t="inlineStr">
        <is>
          <t>Próximo passo</t>
        </is>
      </c>
      <c r="B13" s="9" t="n"/>
    </row>
    <row r="15" ht="30" customHeight="1">
      <c r="A15" s="5" t="inlineStr">
        <is>
          <t>Cálculo do preço mínimo</t>
        </is>
      </c>
      <c r="B15" s="5" t="inlineStr">
        <is>
          <t>Valor</t>
        </is>
      </c>
    </row>
    <row r="16">
      <c r="A16" s="8" t="inlineStr">
        <is>
          <t>Custo direto por venda (R$)</t>
        </is>
      </c>
      <c r="B16" s="14" t="n"/>
    </row>
    <row r="17">
      <c r="A17" s="8" t="inlineStr">
        <is>
          <t>Horas por entrega</t>
        </is>
      </c>
      <c r="B17" s="15" t="n"/>
    </row>
    <row r="18">
      <c r="A18" s="8" t="inlineStr">
        <is>
          <t>Valor da sua hora (R$)</t>
        </is>
      </c>
      <c r="B18" s="14" t="n"/>
    </row>
    <row r="19">
      <c r="A19" s="6" t="inlineStr">
        <is>
          <t>Custo do tempo (R$)</t>
        </is>
      </c>
      <c r="B19" s="16">
        <f>B17*B18</f>
        <v/>
      </c>
    </row>
    <row r="20">
      <c r="A20" s="8" t="inlineStr">
        <is>
          <t>Taxa fixa do meio de pagamento (R$)</t>
        </is>
      </c>
      <c r="B20" s="14" t="n"/>
    </row>
    <row r="21">
      <c r="A21" s="8" t="inlineStr">
        <is>
          <t>Taxa percentual do meio de pagamento (%)</t>
        </is>
      </c>
      <c r="B21" s="17" t="n"/>
    </row>
    <row r="22">
      <c r="A22" s="6" t="inlineStr">
        <is>
          <t>Preço mínimo (R$)</t>
        </is>
      </c>
      <c r="B22" s="16">
        <f>IFERROR((B16+B19+B20)/(1-B21),"")</f>
        <v/>
      </c>
    </row>
    <row r="23">
      <c r="A23" s="8" t="inlineStr">
        <is>
          <t>Preço que você vai cobrar (R$)</t>
        </is>
      </c>
      <c r="B23" s="14" t="n"/>
    </row>
    <row r="24">
      <c r="A24" s="6" t="inlineStr">
        <is>
          <t>Sobra por venda depois de custos e taxas (R$)</t>
        </is>
      </c>
      <c r="B24" s="16">
        <f>IF(B23="","",B23-B16-B20-B23*B21)</f>
        <v/>
      </c>
    </row>
    <row r="25">
      <c r="A25" s="6" t="inlineStr">
        <is>
          <t>Situação</t>
        </is>
      </c>
      <c r="B25" s="11">
        <f>IF(B23="","Informe o preço",IF(B23&lt;B22,"Abaixo do mínimo: revise","Acima do mínimo"))</f>
        <v/>
      </c>
    </row>
    <row r="27">
      <c r="A27" s="8" t="inlineStr">
        <is>
          <t>A sobra inclui o pagamento do seu tempo dentro do preço. Taxas de plataformas mudam: confira a tabela atual no site oficial.</t>
        </is>
      </c>
      <c r="B27" s="10" t="n"/>
    </row>
  </sheetData>
  <mergeCells count="1">
    <mergeCell ref="A27:B2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0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9" customWidth="1" min="2" max="2"/>
    <col width="22" customWidth="1" min="3" max="3"/>
    <col width="16" customWidth="1" min="4" max="4"/>
    <col width="30" customWidth="1" min="5" max="5"/>
    <col width="11" customWidth="1" min="6" max="6"/>
    <col width="13" customWidth="1" min="7" max="7"/>
    <col width="11" customWidth="1" min="8" max="8"/>
    <col width="9" customWidth="1" min="9" max="9"/>
    <col width="13" customWidth="1" min="10" max="10"/>
    <col width="26" customWidth="1" min="11" max="11"/>
    <col width="30" customWidth="1" min="12" max="12"/>
  </cols>
  <sheetData>
    <row r="1">
      <c r="A1" s="1" t="inlineStr">
        <is>
          <t>Registro de contatos</t>
        </is>
      </c>
    </row>
    <row r="2" ht="30" customHeight="1">
      <c r="A2" s="4" t="inlineStr">
        <is>
          <t>Módulos 4, 6 e 7. Uma linha por pessoa. Marque Sim conforme ela avança. A coluna Semana é calculada a partir da data de início.</t>
        </is>
      </c>
    </row>
    <row r="4" ht="30" customHeight="1">
      <c r="A4" s="5" t="inlineStr">
        <is>
          <t>Data do contato</t>
        </is>
      </c>
      <c r="B4" s="5" t="inlineStr">
        <is>
          <t>Semana</t>
        </is>
      </c>
      <c r="C4" s="5" t="inlineStr">
        <is>
          <t>Nome</t>
        </is>
      </c>
      <c r="D4" s="5" t="inlineStr">
        <is>
          <t>Canal</t>
        </is>
      </c>
      <c r="E4" s="5" t="inlineStr">
        <is>
          <t>Sinal de interesse</t>
        </is>
      </c>
      <c r="F4" s="5" t="inlineStr">
        <is>
          <t>Respondeu?</t>
        </is>
      </c>
      <c r="G4" s="5" t="inlineStr">
        <is>
          <t>Conversa com diagnóstico?</t>
        </is>
      </c>
      <c r="H4" s="5" t="inlineStr">
        <is>
          <t>Proposta?</t>
        </is>
      </c>
      <c r="I4" s="5" t="inlineStr">
        <is>
          <t>Venda?</t>
        </is>
      </c>
      <c r="J4" s="5" t="inlineStr">
        <is>
          <t>Valor da venda (R$)</t>
        </is>
      </c>
      <c r="K4" s="5" t="inlineStr">
        <is>
          <t>Próxima ação</t>
        </is>
      </c>
      <c r="L4" s="5" t="inlineStr">
        <is>
          <t>Observação</t>
        </is>
      </c>
    </row>
    <row r="5">
      <c r="A5" s="18" t="n"/>
      <c r="B5" s="19">
        <f>IF(OR(A5="",'Ponto de partida'!$B$5=""),"",INT((A5-'Ponto de partida'!$B$5)/7)+1)</f>
        <v/>
      </c>
      <c r="C5" s="20" t="n"/>
      <c r="D5" s="20" t="n"/>
      <c r="E5" s="20" t="n"/>
      <c r="F5" s="20" t="n"/>
      <c r="G5" s="20" t="n"/>
      <c r="H5" s="20" t="n"/>
      <c r="I5" s="20" t="n"/>
      <c r="J5" s="21" t="n"/>
      <c r="K5" s="20" t="n"/>
      <c r="L5" s="20" t="n"/>
    </row>
    <row r="6">
      <c r="A6" s="18" t="n"/>
      <c r="B6" s="19">
        <f>IF(OR(A6="",'Ponto de partida'!$B$5=""),"",INT((A6-'Ponto de partida'!$B$5)/7)+1)</f>
        <v/>
      </c>
      <c r="C6" s="20" t="n"/>
      <c r="D6" s="20" t="n"/>
      <c r="E6" s="20" t="n"/>
      <c r="F6" s="20" t="n"/>
      <c r="G6" s="20" t="n"/>
      <c r="H6" s="20" t="n"/>
      <c r="I6" s="20" t="n"/>
      <c r="J6" s="21" t="n"/>
      <c r="K6" s="20" t="n"/>
      <c r="L6" s="20" t="n"/>
    </row>
    <row r="7">
      <c r="A7" s="18" t="n"/>
      <c r="B7" s="19">
        <f>IF(OR(A7="",'Ponto de partida'!$B$5=""),"",INT((A7-'Ponto de partida'!$B$5)/7)+1)</f>
        <v/>
      </c>
      <c r="C7" s="20" t="n"/>
      <c r="D7" s="20" t="n"/>
      <c r="E7" s="20" t="n"/>
      <c r="F7" s="20" t="n"/>
      <c r="G7" s="20" t="n"/>
      <c r="H7" s="20" t="n"/>
      <c r="I7" s="20" t="n"/>
      <c r="J7" s="21" t="n"/>
      <c r="K7" s="20" t="n"/>
      <c r="L7" s="20" t="n"/>
    </row>
    <row r="8">
      <c r="A8" s="18" t="n"/>
      <c r="B8" s="19">
        <f>IF(OR(A8="",'Ponto de partida'!$B$5=""),"",INT((A8-'Ponto de partida'!$B$5)/7)+1)</f>
        <v/>
      </c>
      <c r="C8" s="20" t="n"/>
      <c r="D8" s="20" t="n"/>
      <c r="E8" s="20" t="n"/>
      <c r="F8" s="20" t="n"/>
      <c r="G8" s="20" t="n"/>
      <c r="H8" s="20" t="n"/>
      <c r="I8" s="20" t="n"/>
      <c r="J8" s="21" t="n"/>
      <c r="K8" s="20" t="n"/>
      <c r="L8" s="20" t="n"/>
    </row>
    <row r="9">
      <c r="A9" s="18" t="n"/>
      <c r="B9" s="19">
        <f>IF(OR(A9="",'Ponto de partida'!$B$5=""),"",INT((A9-'Ponto de partida'!$B$5)/7)+1)</f>
        <v/>
      </c>
      <c r="C9" s="20" t="n"/>
      <c r="D9" s="20" t="n"/>
      <c r="E9" s="20" t="n"/>
      <c r="F9" s="20" t="n"/>
      <c r="G9" s="20" t="n"/>
      <c r="H9" s="20" t="n"/>
      <c r="I9" s="20" t="n"/>
      <c r="J9" s="21" t="n"/>
      <c r="K9" s="20" t="n"/>
      <c r="L9" s="20" t="n"/>
    </row>
    <row r="10">
      <c r="A10" s="18" t="n"/>
      <c r="B10" s="19">
        <f>IF(OR(A10="",'Ponto de partida'!$B$5=""),"",INT((A10-'Ponto de partida'!$B$5)/7)+1)</f>
        <v/>
      </c>
      <c r="C10" s="20" t="n"/>
      <c r="D10" s="20" t="n"/>
      <c r="E10" s="20" t="n"/>
      <c r="F10" s="20" t="n"/>
      <c r="G10" s="20" t="n"/>
      <c r="H10" s="20" t="n"/>
      <c r="I10" s="20" t="n"/>
      <c r="J10" s="21" t="n"/>
      <c r="K10" s="20" t="n"/>
      <c r="L10" s="20" t="n"/>
    </row>
    <row r="11">
      <c r="A11" s="18" t="n"/>
      <c r="B11" s="19">
        <f>IF(OR(A11="",'Ponto de partida'!$B$5=""),"",INT((A11-'Ponto de partida'!$B$5)/7)+1)</f>
        <v/>
      </c>
      <c r="C11" s="20" t="n"/>
      <c r="D11" s="20" t="n"/>
      <c r="E11" s="20" t="n"/>
      <c r="F11" s="20" t="n"/>
      <c r="G11" s="20" t="n"/>
      <c r="H11" s="20" t="n"/>
      <c r="I11" s="20" t="n"/>
      <c r="J11" s="21" t="n"/>
      <c r="K11" s="20" t="n"/>
      <c r="L11" s="20" t="n"/>
    </row>
    <row r="12">
      <c r="A12" s="18" t="n"/>
      <c r="B12" s="19">
        <f>IF(OR(A12="",'Ponto de partida'!$B$5=""),"",INT((A12-'Ponto de partida'!$B$5)/7)+1)</f>
        <v/>
      </c>
      <c r="C12" s="20" t="n"/>
      <c r="D12" s="20" t="n"/>
      <c r="E12" s="20" t="n"/>
      <c r="F12" s="20" t="n"/>
      <c r="G12" s="20" t="n"/>
      <c r="H12" s="20" t="n"/>
      <c r="I12" s="20" t="n"/>
      <c r="J12" s="21" t="n"/>
      <c r="K12" s="20" t="n"/>
      <c r="L12" s="20" t="n"/>
    </row>
    <row r="13">
      <c r="A13" s="18" t="n"/>
      <c r="B13" s="19">
        <f>IF(OR(A13="",'Ponto de partida'!$B$5=""),"",INT((A13-'Ponto de partida'!$B$5)/7)+1)</f>
        <v/>
      </c>
      <c r="C13" s="20" t="n"/>
      <c r="D13" s="20" t="n"/>
      <c r="E13" s="20" t="n"/>
      <c r="F13" s="20" t="n"/>
      <c r="G13" s="20" t="n"/>
      <c r="H13" s="20" t="n"/>
      <c r="I13" s="20" t="n"/>
      <c r="J13" s="21" t="n"/>
      <c r="K13" s="20" t="n"/>
      <c r="L13" s="20" t="n"/>
    </row>
    <row r="14">
      <c r="A14" s="18" t="n"/>
      <c r="B14" s="19">
        <f>IF(OR(A14="",'Ponto de partida'!$B$5=""),"",INT((A14-'Ponto de partida'!$B$5)/7)+1)</f>
        <v/>
      </c>
      <c r="C14" s="20" t="n"/>
      <c r="D14" s="20" t="n"/>
      <c r="E14" s="20" t="n"/>
      <c r="F14" s="20" t="n"/>
      <c r="G14" s="20" t="n"/>
      <c r="H14" s="20" t="n"/>
      <c r="I14" s="20" t="n"/>
      <c r="J14" s="21" t="n"/>
      <c r="K14" s="20" t="n"/>
      <c r="L14" s="20" t="n"/>
    </row>
    <row r="15">
      <c r="A15" s="18" t="n"/>
      <c r="B15" s="19">
        <f>IF(OR(A15="",'Ponto de partida'!$B$5=""),"",INT((A15-'Ponto de partida'!$B$5)/7)+1)</f>
        <v/>
      </c>
      <c r="C15" s="20" t="n"/>
      <c r="D15" s="20" t="n"/>
      <c r="E15" s="20" t="n"/>
      <c r="F15" s="20" t="n"/>
      <c r="G15" s="20" t="n"/>
      <c r="H15" s="20" t="n"/>
      <c r="I15" s="20" t="n"/>
      <c r="J15" s="21" t="n"/>
      <c r="K15" s="20" t="n"/>
      <c r="L15" s="20" t="n"/>
    </row>
    <row r="16">
      <c r="A16" s="18" t="n"/>
      <c r="B16" s="19">
        <f>IF(OR(A16="",'Ponto de partida'!$B$5=""),"",INT((A16-'Ponto de partida'!$B$5)/7)+1)</f>
        <v/>
      </c>
      <c r="C16" s="20" t="n"/>
      <c r="D16" s="20" t="n"/>
      <c r="E16" s="20" t="n"/>
      <c r="F16" s="20" t="n"/>
      <c r="G16" s="20" t="n"/>
      <c r="H16" s="20" t="n"/>
      <c r="I16" s="20" t="n"/>
      <c r="J16" s="21" t="n"/>
      <c r="K16" s="20" t="n"/>
      <c r="L16" s="20" t="n"/>
    </row>
    <row r="17">
      <c r="A17" s="18" t="n"/>
      <c r="B17" s="19">
        <f>IF(OR(A17="",'Ponto de partida'!$B$5=""),"",INT((A17-'Ponto de partida'!$B$5)/7)+1)</f>
        <v/>
      </c>
      <c r="C17" s="20" t="n"/>
      <c r="D17" s="20" t="n"/>
      <c r="E17" s="20" t="n"/>
      <c r="F17" s="20" t="n"/>
      <c r="G17" s="20" t="n"/>
      <c r="H17" s="20" t="n"/>
      <c r="I17" s="20" t="n"/>
      <c r="J17" s="21" t="n"/>
      <c r="K17" s="20" t="n"/>
      <c r="L17" s="20" t="n"/>
    </row>
    <row r="18">
      <c r="A18" s="18" t="n"/>
      <c r="B18" s="19">
        <f>IF(OR(A18="",'Ponto de partida'!$B$5=""),"",INT((A18-'Ponto de partida'!$B$5)/7)+1)</f>
        <v/>
      </c>
      <c r="C18" s="20" t="n"/>
      <c r="D18" s="20" t="n"/>
      <c r="E18" s="20" t="n"/>
      <c r="F18" s="20" t="n"/>
      <c r="G18" s="20" t="n"/>
      <c r="H18" s="20" t="n"/>
      <c r="I18" s="20" t="n"/>
      <c r="J18" s="21" t="n"/>
      <c r="K18" s="20" t="n"/>
      <c r="L18" s="20" t="n"/>
    </row>
    <row r="19">
      <c r="A19" s="18" t="n"/>
      <c r="B19" s="19">
        <f>IF(OR(A19="",'Ponto de partida'!$B$5=""),"",INT((A19-'Ponto de partida'!$B$5)/7)+1)</f>
        <v/>
      </c>
      <c r="C19" s="20" t="n"/>
      <c r="D19" s="20" t="n"/>
      <c r="E19" s="20" t="n"/>
      <c r="F19" s="20" t="n"/>
      <c r="G19" s="20" t="n"/>
      <c r="H19" s="20" t="n"/>
      <c r="I19" s="20" t="n"/>
      <c r="J19" s="21" t="n"/>
      <c r="K19" s="20" t="n"/>
      <c r="L19" s="20" t="n"/>
    </row>
    <row r="20">
      <c r="A20" s="18" t="n"/>
      <c r="B20" s="19">
        <f>IF(OR(A20="",'Ponto de partida'!$B$5=""),"",INT((A20-'Ponto de partida'!$B$5)/7)+1)</f>
        <v/>
      </c>
      <c r="C20" s="20" t="n"/>
      <c r="D20" s="20" t="n"/>
      <c r="E20" s="20" t="n"/>
      <c r="F20" s="20" t="n"/>
      <c r="G20" s="20" t="n"/>
      <c r="H20" s="20" t="n"/>
      <c r="I20" s="20" t="n"/>
      <c r="J20" s="21" t="n"/>
      <c r="K20" s="20" t="n"/>
      <c r="L20" s="20" t="n"/>
    </row>
    <row r="21">
      <c r="A21" s="18" t="n"/>
      <c r="B21" s="19">
        <f>IF(OR(A21="",'Ponto de partida'!$B$5=""),"",INT((A21-'Ponto de partida'!$B$5)/7)+1)</f>
        <v/>
      </c>
      <c r="C21" s="20" t="n"/>
      <c r="D21" s="20" t="n"/>
      <c r="E21" s="20" t="n"/>
      <c r="F21" s="20" t="n"/>
      <c r="G21" s="20" t="n"/>
      <c r="H21" s="20" t="n"/>
      <c r="I21" s="20" t="n"/>
      <c r="J21" s="21" t="n"/>
      <c r="K21" s="20" t="n"/>
      <c r="L21" s="20" t="n"/>
    </row>
    <row r="22">
      <c r="A22" s="18" t="n"/>
      <c r="B22" s="19">
        <f>IF(OR(A22="",'Ponto de partida'!$B$5=""),"",INT((A22-'Ponto de partida'!$B$5)/7)+1)</f>
        <v/>
      </c>
      <c r="C22" s="20" t="n"/>
      <c r="D22" s="20" t="n"/>
      <c r="E22" s="20" t="n"/>
      <c r="F22" s="20" t="n"/>
      <c r="G22" s="20" t="n"/>
      <c r="H22" s="20" t="n"/>
      <c r="I22" s="20" t="n"/>
      <c r="J22" s="21" t="n"/>
      <c r="K22" s="20" t="n"/>
      <c r="L22" s="20" t="n"/>
    </row>
    <row r="23">
      <c r="A23" s="18" t="n"/>
      <c r="B23" s="19">
        <f>IF(OR(A23="",'Ponto de partida'!$B$5=""),"",INT((A23-'Ponto de partida'!$B$5)/7)+1)</f>
        <v/>
      </c>
      <c r="C23" s="20" t="n"/>
      <c r="D23" s="20" t="n"/>
      <c r="E23" s="20" t="n"/>
      <c r="F23" s="20" t="n"/>
      <c r="G23" s="20" t="n"/>
      <c r="H23" s="20" t="n"/>
      <c r="I23" s="20" t="n"/>
      <c r="J23" s="21" t="n"/>
      <c r="K23" s="20" t="n"/>
      <c r="L23" s="20" t="n"/>
    </row>
    <row r="24">
      <c r="A24" s="18" t="n"/>
      <c r="B24" s="19">
        <f>IF(OR(A24="",'Ponto de partida'!$B$5=""),"",INT((A24-'Ponto de partida'!$B$5)/7)+1)</f>
        <v/>
      </c>
      <c r="C24" s="20" t="n"/>
      <c r="D24" s="20" t="n"/>
      <c r="E24" s="20" t="n"/>
      <c r="F24" s="20" t="n"/>
      <c r="G24" s="20" t="n"/>
      <c r="H24" s="20" t="n"/>
      <c r="I24" s="20" t="n"/>
      <c r="J24" s="21" t="n"/>
      <c r="K24" s="20" t="n"/>
      <c r="L24" s="20" t="n"/>
    </row>
    <row r="25">
      <c r="A25" s="18" t="n"/>
      <c r="B25" s="19">
        <f>IF(OR(A25="",'Ponto de partida'!$B$5=""),"",INT((A25-'Ponto de partida'!$B$5)/7)+1)</f>
        <v/>
      </c>
      <c r="C25" s="20" t="n"/>
      <c r="D25" s="20" t="n"/>
      <c r="E25" s="20" t="n"/>
      <c r="F25" s="20" t="n"/>
      <c r="G25" s="20" t="n"/>
      <c r="H25" s="20" t="n"/>
      <c r="I25" s="20" t="n"/>
      <c r="J25" s="21" t="n"/>
      <c r="K25" s="20" t="n"/>
      <c r="L25" s="20" t="n"/>
    </row>
    <row r="26">
      <c r="A26" s="18" t="n"/>
      <c r="B26" s="19">
        <f>IF(OR(A26="",'Ponto de partida'!$B$5=""),"",INT((A26-'Ponto de partida'!$B$5)/7)+1)</f>
        <v/>
      </c>
      <c r="C26" s="20" t="n"/>
      <c r="D26" s="20" t="n"/>
      <c r="E26" s="20" t="n"/>
      <c r="F26" s="20" t="n"/>
      <c r="G26" s="20" t="n"/>
      <c r="H26" s="20" t="n"/>
      <c r="I26" s="20" t="n"/>
      <c r="J26" s="21" t="n"/>
      <c r="K26" s="20" t="n"/>
      <c r="L26" s="20" t="n"/>
    </row>
    <row r="27">
      <c r="A27" s="18" t="n"/>
      <c r="B27" s="19">
        <f>IF(OR(A27="",'Ponto de partida'!$B$5=""),"",INT((A27-'Ponto de partida'!$B$5)/7)+1)</f>
        <v/>
      </c>
      <c r="C27" s="20" t="n"/>
      <c r="D27" s="20" t="n"/>
      <c r="E27" s="20" t="n"/>
      <c r="F27" s="20" t="n"/>
      <c r="G27" s="20" t="n"/>
      <c r="H27" s="20" t="n"/>
      <c r="I27" s="20" t="n"/>
      <c r="J27" s="21" t="n"/>
      <c r="K27" s="20" t="n"/>
      <c r="L27" s="20" t="n"/>
    </row>
    <row r="28">
      <c r="A28" s="18" t="n"/>
      <c r="B28" s="19">
        <f>IF(OR(A28="",'Ponto de partida'!$B$5=""),"",INT((A28-'Ponto de partida'!$B$5)/7)+1)</f>
        <v/>
      </c>
      <c r="C28" s="20" t="n"/>
      <c r="D28" s="20" t="n"/>
      <c r="E28" s="20" t="n"/>
      <c r="F28" s="20" t="n"/>
      <c r="G28" s="20" t="n"/>
      <c r="H28" s="20" t="n"/>
      <c r="I28" s="20" t="n"/>
      <c r="J28" s="21" t="n"/>
      <c r="K28" s="20" t="n"/>
      <c r="L28" s="20" t="n"/>
    </row>
    <row r="29">
      <c r="A29" s="18" t="n"/>
      <c r="B29" s="19">
        <f>IF(OR(A29="",'Ponto de partida'!$B$5=""),"",INT((A29-'Ponto de partida'!$B$5)/7)+1)</f>
        <v/>
      </c>
      <c r="C29" s="20" t="n"/>
      <c r="D29" s="20" t="n"/>
      <c r="E29" s="20" t="n"/>
      <c r="F29" s="20" t="n"/>
      <c r="G29" s="20" t="n"/>
      <c r="H29" s="20" t="n"/>
      <c r="I29" s="20" t="n"/>
      <c r="J29" s="21" t="n"/>
      <c r="K29" s="20" t="n"/>
      <c r="L29" s="20" t="n"/>
    </row>
    <row r="30">
      <c r="A30" s="18" t="n"/>
      <c r="B30" s="19">
        <f>IF(OR(A30="",'Ponto de partida'!$B$5=""),"",INT((A30-'Ponto de partida'!$B$5)/7)+1)</f>
        <v/>
      </c>
      <c r="C30" s="20" t="n"/>
      <c r="D30" s="20" t="n"/>
      <c r="E30" s="20" t="n"/>
      <c r="F30" s="20" t="n"/>
      <c r="G30" s="20" t="n"/>
      <c r="H30" s="20" t="n"/>
      <c r="I30" s="20" t="n"/>
      <c r="J30" s="21" t="n"/>
      <c r="K30" s="20" t="n"/>
      <c r="L30" s="20" t="n"/>
    </row>
    <row r="31">
      <c r="A31" s="18" t="n"/>
      <c r="B31" s="19">
        <f>IF(OR(A31="",'Ponto de partida'!$B$5=""),"",INT((A31-'Ponto de partida'!$B$5)/7)+1)</f>
        <v/>
      </c>
      <c r="C31" s="20" t="n"/>
      <c r="D31" s="20" t="n"/>
      <c r="E31" s="20" t="n"/>
      <c r="F31" s="20" t="n"/>
      <c r="G31" s="20" t="n"/>
      <c r="H31" s="20" t="n"/>
      <c r="I31" s="20" t="n"/>
      <c r="J31" s="21" t="n"/>
      <c r="K31" s="20" t="n"/>
      <c r="L31" s="20" t="n"/>
    </row>
    <row r="32">
      <c r="A32" s="18" t="n"/>
      <c r="B32" s="19">
        <f>IF(OR(A32="",'Ponto de partida'!$B$5=""),"",INT((A32-'Ponto de partida'!$B$5)/7)+1)</f>
        <v/>
      </c>
      <c r="C32" s="20" t="n"/>
      <c r="D32" s="20" t="n"/>
      <c r="E32" s="20" t="n"/>
      <c r="F32" s="20" t="n"/>
      <c r="G32" s="20" t="n"/>
      <c r="H32" s="20" t="n"/>
      <c r="I32" s="20" t="n"/>
      <c r="J32" s="21" t="n"/>
      <c r="K32" s="20" t="n"/>
      <c r="L32" s="20" t="n"/>
    </row>
    <row r="33">
      <c r="A33" s="18" t="n"/>
      <c r="B33" s="19">
        <f>IF(OR(A33="",'Ponto de partida'!$B$5=""),"",INT((A33-'Ponto de partida'!$B$5)/7)+1)</f>
        <v/>
      </c>
      <c r="C33" s="20" t="n"/>
      <c r="D33" s="20" t="n"/>
      <c r="E33" s="20" t="n"/>
      <c r="F33" s="20" t="n"/>
      <c r="G33" s="20" t="n"/>
      <c r="H33" s="20" t="n"/>
      <c r="I33" s="20" t="n"/>
      <c r="J33" s="21" t="n"/>
      <c r="K33" s="20" t="n"/>
      <c r="L33" s="20" t="n"/>
    </row>
    <row r="34">
      <c r="A34" s="18" t="n"/>
      <c r="B34" s="19">
        <f>IF(OR(A34="",'Ponto de partida'!$B$5=""),"",INT((A34-'Ponto de partida'!$B$5)/7)+1)</f>
        <v/>
      </c>
      <c r="C34" s="20" t="n"/>
      <c r="D34" s="20" t="n"/>
      <c r="E34" s="20" t="n"/>
      <c r="F34" s="20" t="n"/>
      <c r="G34" s="20" t="n"/>
      <c r="H34" s="20" t="n"/>
      <c r="I34" s="20" t="n"/>
      <c r="J34" s="21" t="n"/>
      <c r="K34" s="20" t="n"/>
      <c r="L34" s="20" t="n"/>
    </row>
    <row r="35">
      <c r="A35" s="18" t="n"/>
      <c r="B35" s="19">
        <f>IF(OR(A35="",'Ponto de partida'!$B$5=""),"",INT((A35-'Ponto de partida'!$B$5)/7)+1)</f>
        <v/>
      </c>
      <c r="C35" s="20" t="n"/>
      <c r="D35" s="20" t="n"/>
      <c r="E35" s="20" t="n"/>
      <c r="F35" s="20" t="n"/>
      <c r="G35" s="20" t="n"/>
      <c r="H35" s="20" t="n"/>
      <c r="I35" s="20" t="n"/>
      <c r="J35" s="21" t="n"/>
      <c r="K35" s="20" t="n"/>
      <c r="L35" s="20" t="n"/>
    </row>
    <row r="36">
      <c r="A36" s="18" t="n"/>
      <c r="B36" s="19">
        <f>IF(OR(A36="",'Ponto de partida'!$B$5=""),"",INT((A36-'Ponto de partida'!$B$5)/7)+1)</f>
        <v/>
      </c>
      <c r="C36" s="20" t="n"/>
      <c r="D36" s="20" t="n"/>
      <c r="E36" s="20" t="n"/>
      <c r="F36" s="20" t="n"/>
      <c r="G36" s="20" t="n"/>
      <c r="H36" s="20" t="n"/>
      <c r="I36" s="20" t="n"/>
      <c r="J36" s="21" t="n"/>
      <c r="K36" s="20" t="n"/>
      <c r="L36" s="20" t="n"/>
    </row>
    <row r="37">
      <c r="A37" s="18" t="n"/>
      <c r="B37" s="19">
        <f>IF(OR(A37="",'Ponto de partida'!$B$5=""),"",INT((A37-'Ponto de partida'!$B$5)/7)+1)</f>
        <v/>
      </c>
      <c r="C37" s="20" t="n"/>
      <c r="D37" s="20" t="n"/>
      <c r="E37" s="20" t="n"/>
      <c r="F37" s="20" t="n"/>
      <c r="G37" s="20" t="n"/>
      <c r="H37" s="20" t="n"/>
      <c r="I37" s="20" t="n"/>
      <c r="J37" s="21" t="n"/>
      <c r="K37" s="20" t="n"/>
      <c r="L37" s="20" t="n"/>
    </row>
    <row r="38">
      <c r="A38" s="18" t="n"/>
      <c r="B38" s="19">
        <f>IF(OR(A38="",'Ponto de partida'!$B$5=""),"",INT((A38-'Ponto de partida'!$B$5)/7)+1)</f>
        <v/>
      </c>
      <c r="C38" s="20" t="n"/>
      <c r="D38" s="20" t="n"/>
      <c r="E38" s="20" t="n"/>
      <c r="F38" s="20" t="n"/>
      <c r="G38" s="20" t="n"/>
      <c r="H38" s="20" t="n"/>
      <c r="I38" s="20" t="n"/>
      <c r="J38" s="21" t="n"/>
      <c r="K38" s="20" t="n"/>
      <c r="L38" s="20" t="n"/>
    </row>
    <row r="39">
      <c r="A39" s="18" t="n"/>
      <c r="B39" s="19">
        <f>IF(OR(A39="",'Ponto de partida'!$B$5=""),"",INT((A39-'Ponto de partida'!$B$5)/7)+1)</f>
        <v/>
      </c>
      <c r="C39" s="20" t="n"/>
      <c r="D39" s="20" t="n"/>
      <c r="E39" s="20" t="n"/>
      <c r="F39" s="20" t="n"/>
      <c r="G39" s="20" t="n"/>
      <c r="H39" s="20" t="n"/>
      <c r="I39" s="20" t="n"/>
      <c r="J39" s="21" t="n"/>
      <c r="K39" s="20" t="n"/>
      <c r="L39" s="20" t="n"/>
    </row>
    <row r="40">
      <c r="A40" s="18" t="n"/>
      <c r="B40" s="19">
        <f>IF(OR(A40="",'Ponto de partida'!$B$5=""),"",INT((A40-'Ponto de partida'!$B$5)/7)+1)</f>
        <v/>
      </c>
      <c r="C40" s="20" t="n"/>
      <c r="D40" s="20" t="n"/>
      <c r="E40" s="20" t="n"/>
      <c r="F40" s="20" t="n"/>
      <c r="G40" s="20" t="n"/>
      <c r="H40" s="20" t="n"/>
      <c r="I40" s="20" t="n"/>
      <c r="J40" s="21" t="n"/>
      <c r="K40" s="20" t="n"/>
      <c r="L40" s="20" t="n"/>
    </row>
    <row r="41">
      <c r="A41" s="18" t="n"/>
      <c r="B41" s="19">
        <f>IF(OR(A41="",'Ponto de partida'!$B$5=""),"",INT((A41-'Ponto de partida'!$B$5)/7)+1)</f>
        <v/>
      </c>
      <c r="C41" s="20" t="n"/>
      <c r="D41" s="20" t="n"/>
      <c r="E41" s="20" t="n"/>
      <c r="F41" s="20" t="n"/>
      <c r="G41" s="20" t="n"/>
      <c r="H41" s="20" t="n"/>
      <c r="I41" s="20" t="n"/>
      <c r="J41" s="21" t="n"/>
      <c r="K41" s="20" t="n"/>
      <c r="L41" s="20" t="n"/>
    </row>
    <row r="42">
      <c r="A42" s="18" t="n"/>
      <c r="B42" s="19">
        <f>IF(OR(A42="",'Ponto de partida'!$B$5=""),"",INT((A42-'Ponto de partida'!$B$5)/7)+1)</f>
        <v/>
      </c>
      <c r="C42" s="20" t="n"/>
      <c r="D42" s="20" t="n"/>
      <c r="E42" s="20" t="n"/>
      <c r="F42" s="20" t="n"/>
      <c r="G42" s="20" t="n"/>
      <c r="H42" s="20" t="n"/>
      <c r="I42" s="20" t="n"/>
      <c r="J42" s="21" t="n"/>
      <c r="K42" s="20" t="n"/>
      <c r="L42" s="20" t="n"/>
    </row>
    <row r="43">
      <c r="A43" s="18" t="n"/>
      <c r="B43" s="19">
        <f>IF(OR(A43="",'Ponto de partida'!$B$5=""),"",INT((A43-'Ponto de partida'!$B$5)/7)+1)</f>
        <v/>
      </c>
      <c r="C43" s="20" t="n"/>
      <c r="D43" s="20" t="n"/>
      <c r="E43" s="20" t="n"/>
      <c r="F43" s="20" t="n"/>
      <c r="G43" s="20" t="n"/>
      <c r="H43" s="20" t="n"/>
      <c r="I43" s="20" t="n"/>
      <c r="J43" s="21" t="n"/>
      <c r="K43" s="20" t="n"/>
      <c r="L43" s="20" t="n"/>
    </row>
    <row r="44">
      <c r="A44" s="18" t="n"/>
      <c r="B44" s="19">
        <f>IF(OR(A44="",'Ponto de partida'!$B$5=""),"",INT((A44-'Ponto de partida'!$B$5)/7)+1)</f>
        <v/>
      </c>
      <c r="C44" s="20" t="n"/>
      <c r="D44" s="20" t="n"/>
      <c r="E44" s="20" t="n"/>
      <c r="F44" s="20" t="n"/>
      <c r="G44" s="20" t="n"/>
      <c r="H44" s="20" t="n"/>
      <c r="I44" s="20" t="n"/>
      <c r="J44" s="21" t="n"/>
      <c r="K44" s="20" t="n"/>
      <c r="L44" s="20" t="n"/>
    </row>
    <row r="45">
      <c r="A45" s="18" t="n"/>
      <c r="B45" s="19">
        <f>IF(OR(A45="",'Ponto de partida'!$B$5=""),"",INT((A45-'Ponto de partida'!$B$5)/7)+1)</f>
        <v/>
      </c>
      <c r="C45" s="20" t="n"/>
      <c r="D45" s="20" t="n"/>
      <c r="E45" s="20" t="n"/>
      <c r="F45" s="20" t="n"/>
      <c r="G45" s="20" t="n"/>
      <c r="H45" s="20" t="n"/>
      <c r="I45" s="20" t="n"/>
      <c r="J45" s="21" t="n"/>
      <c r="K45" s="20" t="n"/>
      <c r="L45" s="20" t="n"/>
    </row>
    <row r="46">
      <c r="A46" s="18" t="n"/>
      <c r="B46" s="19">
        <f>IF(OR(A46="",'Ponto de partida'!$B$5=""),"",INT((A46-'Ponto de partida'!$B$5)/7)+1)</f>
        <v/>
      </c>
      <c r="C46" s="20" t="n"/>
      <c r="D46" s="20" t="n"/>
      <c r="E46" s="20" t="n"/>
      <c r="F46" s="20" t="n"/>
      <c r="G46" s="20" t="n"/>
      <c r="H46" s="20" t="n"/>
      <c r="I46" s="20" t="n"/>
      <c r="J46" s="21" t="n"/>
      <c r="K46" s="20" t="n"/>
      <c r="L46" s="20" t="n"/>
    </row>
    <row r="47">
      <c r="A47" s="18" t="n"/>
      <c r="B47" s="19">
        <f>IF(OR(A47="",'Ponto de partida'!$B$5=""),"",INT((A47-'Ponto de partida'!$B$5)/7)+1)</f>
        <v/>
      </c>
      <c r="C47" s="20" t="n"/>
      <c r="D47" s="20" t="n"/>
      <c r="E47" s="20" t="n"/>
      <c r="F47" s="20" t="n"/>
      <c r="G47" s="20" t="n"/>
      <c r="H47" s="20" t="n"/>
      <c r="I47" s="20" t="n"/>
      <c r="J47" s="21" t="n"/>
      <c r="K47" s="20" t="n"/>
      <c r="L47" s="20" t="n"/>
    </row>
    <row r="48">
      <c r="A48" s="18" t="n"/>
      <c r="B48" s="19">
        <f>IF(OR(A48="",'Ponto de partida'!$B$5=""),"",INT((A48-'Ponto de partida'!$B$5)/7)+1)</f>
        <v/>
      </c>
      <c r="C48" s="20" t="n"/>
      <c r="D48" s="20" t="n"/>
      <c r="E48" s="20" t="n"/>
      <c r="F48" s="20" t="n"/>
      <c r="G48" s="20" t="n"/>
      <c r="H48" s="20" t="n"/>
      <c r="I48" s="20" t="n"/>
      <c r="J48" s="21" t="n"/>
      <c r="K48" s="20" t="n"/>
      <c r="L48" s="20" t="n"/>
    </row>
    <row r="49">
      <c r="A49" s="18" t="n"/>
      <c r="B49" s="19">
        <f>IF(OR(A49="",'Ponto de partida'!$B$5=""),"",INT((A49-'Ponto de partida'!$B$5)/7)+1)</f>
        <v/>
      </c>
      <c r="C49" s="20" t="n"/>
      <c r="D49" s="20" t="n"/>
      <c r="E49" s="20" t="n"/>
      <c r="F49" s="20" t="n"/>
      <c r="G49" s="20" t="n"/>
      <c r="H49" s="20" t="n"/>
      <c r="I49" s="20" t="n"/>
      <c r="J49" s="21" t="n"/>
      <c r="K49" s="20" t="n"/>
      <c r="L49" s="20" t="n"/>
    </row>
    <row r="50">
      <c r="A50" s="18" t="n"/>
      <c r="B50" s="19">
        <f>IF(OR(A50="",'Ponto de partida'!$B$5=""),"",INT((A50-'Ponto de partida'!$B$5)/7)+1)</f>
        <v/>
      </c>
      <c r="C50" s="20" t="n"/>
      <c r="D50" s="20" t="n"/>
      <c r="E50" s="20" t="n"/>
      <c r="F50" s="20" t="n"/>
      <c r="G50" s="20" t="n"/>
      <c r="H50" s="20" t="n"/>
      <c r="I50" s="20" t="n"/>
      <c r="J50" s="21" t="n"/>
      <c r="K50" s="20" t="n"/>
      <c r="L50" s="20" t="n"/>
    </row>
    <row r="51">
      <c r="A51" s="18" t="n"/>
      <c r="B51" s="19">
        <f>IF(OR(A51="",'Ponto de partida'!$B$5=""),"",INT((A51-'Ponto de partida'!$B$5)/7)+1)</f>
        <v/>
      </c>
      <c r="C51" s="20" t="n"/>
      <c r="D51" s="20" t="n"/>
      <c r="E51" s="20" t="n"/>
      <c r="F51" s="20" t="n"/>
      <c r="G51" s="20" t="n"/>
      <c r="H51" s="20" t="n"/>
      <c r="I51" s="20" t="n"/>
      <c r="J51" s="21" t="n"/>
      <c r="K51" s="20" t="n"/>
      <c r="L51" s="20" t="n"/>
    </row>
    <row r="52">
      <c r="A52" s="18" t="n"/>
      <c r="B52" s="19">
        <f>IF(OR(A52="",'Ponto de partida'!$B$5=""),"",INT((A52-'Ponto de partida'!$B$5)/7)+1)</f>
        <v/>
      </c>
      <c r="C52" s="20" t="n"/>
      <c r="D52" s="20" t="n"/>
      <c r="E52" s="20" t="n"/>
      <c r="F52" s="20" t="n"/>
      <c r="G52" s="20" t="n"/>
      <c r="H52" s="20" t="n"/>
      <c r="I52" s="20" t="n"/>
      <c r="J52" s="21" t="n"/>
      <c r="K52" s="20" t="n"/>
      <c r="L52" s="20" t="n"/>
    </row>
    <row r="53">
      <c r="A53" s="18" t="n"/>
      <c r="B53" s="19">
        <f>IF(OR(A53="",'Ponto de partida'!$B$5=""),"",INT((A53-'Ponto de partida'!$B$5)/7)+1)</f>
        <v/>
      </c>
      <c r="C53" s="20" t="n"/>
      <c r="D53" s="20" t="n"/>
      <c r="E53" s="20" t="n"/>
      <c r="F53" s="20" t="n"/>
      <c r="G53" s="20" t="n"/>
      <c r="H53" s="20" t="n"/>
      <c r="I53" s="20" t="n"/>
      <c r="J53" s="21" t="n"/>
      <c r="K53" s="20" t="n"/>
      <c r="L53" s="20" t="n"/>
    </row>
    <row r="54">
      <c r="A54" s="18" t="n"/>
      <c r="B54" s="19">
        <f>IF(OR(A54="",'Ponto de partida'!$B$5=""),"",INT((A54-'Ponto de partida'!$B$5)/7)+1)</f>
        <v/>
      </c>
      <c r="C54" s="20" t="n"/>
      <c r="D54" s="20" t="n"/>
      <c r="E54" s="20" t="n"/>
      <c r="F54" s="20" t="n"/>
      <c r="G54" s="20" t="n"/>
      <c r="H54" s="20" t="n"/>
      <c r="I54" s="20" t="n"/>
      <c r="J54" s="21" t="n"/>
      <c r="K54" s="20" t="n"/>
      <c r="L54" s="20" t="n"/>
    </row>
    <row r="55">
      <c r="A55" s="18" t="n"/>
      <c r="B55" s="19">
        <f>IF(OR(A55="",'Ponto de partida'!$B$5=""),"",INT((A55-'Ponto de partida'!$B$5)/7)+1)</f>
        <v/>
      </c>
      <c r="C55" s="20" t="n"/>
      <c r="D55" s="20" t="n"/>
      <c r="E55" s="20" t="n"/>
      <c r="F55" s="20" t="n"/>
      <c r="G55" s="20" t="n"/>
      <c r="H55" s="20" t="n"/>
      <c r="I55" s="20" t="n"/>
      <c r="J55" s="21" t="n"/>
      <c r="K55" s="20" t="n"/>
      <c r="L55" s="20" t="n"/>
    </row>
    <row r="56">
      <c r="A56" s="18" t="n"/>
      <c r="B56" s="19">
        <f>IF(OR(A56="",'Ponto de partida'!$B$5=""),"",INT((A56-'Ponto de partida'!$B$5)/7)+1)</f>
        <v/>
      </c>
      <c r="C56" s="20" t="n"/>
      <c r="D56" s="20" t="n"/>
      <c r="E56" s="20" t="n"/>
      <c r="F56" s="20" t="n"/>
      <c r="G56" s="20" t="n"/>
      <c r="H56" s="20" t="n"/>
      <c r="I56" s="20" t="n"/>
      <c r="J56" s="21" t="n"/>
      <c r="K56" s="20" t="n"/>
      <c r="L56" s="20" t="n"/>
    </row>
    <row r="57">
      <c r="A57" s="18" t="n"/>
      <c r="B57" s="19">
        <f>IF(OR(A57="",'Ponto de partida'!$B$5=""),"",INT((A57-'Ponto de partida'!$B$5)/7)+1)</f>
        <v/>
      </c>
      <c r="C57" s="20" t="n"/>
      <c r="D57" s="20" t="n"/>
      <c r="E57" s="20" t="n"/>
      <c r="F57" s="20" t="n"/>
      <c r="G57" s="20" t="n"/>
      <c r="H57" s="20" t="n"/>
      <c r="I57" s="20" t="n"/>
      <c r="J57" s="21" t="n"/>
      <c r="K57" s="20" t="n"/>
      <c r="L57" s="20" t="n"/>
    </row>
    <row r="58">
      <c r="A58" s="18" t="n"/>
      <c r="B58" s="19">
        <f>IF(OR(A58="",'Ponto de partida'!$B$5=""),"",INT((A58-'Ponto de partida'!$B$5)/7)+1)</f>
        <v/>
      </c>
      <c r="C58" s="20" t="n"/>
      <c r="D58" s="20" t="n"/>
      <c r="E58" s="20" t="n"/>
      <c r="F58" s="20" t="n"/>
      <c r="G58" s="20" t="n"/>
      <c r="H58" s="20" t="n"/>
      <c r="I58" s="20" t="n"/>
      <c r="J58" s="21" t="n"/>
      <c r="K58" s="20" t="n"/>
      <c r="L58" s="20" t="n"/>
    </row>
    <row r="59">
      <c r="A59" s="18" t="n"/>
      <c r="B59" s="19">
        <f>IF(OR(A59="",'Ponto de partida'!$B$5=""),"",INT((A59-'Ponto de partida'!$B$5)/7)+1)</f>
        <v/>
      </c>
      <c r="C59" s="20" t="n"/>
      <c r="D59" s="20" t="n"/>
      <c r="E59" s="20" t="n"/>
      <c r="F59" s="20" t="n"/>
      <c r="G59" s="20" t="n"/>
      <c r="H59" s="20" t="n"/>
      <c r="I59" s="20" t="n"/>
      <c r="J59" s="21" t="n"/>
      <c r="K59" s="20" t="n"/>
      <c r="L59" s="20" t="n"/>
    </row>
    <row r="60">
      <c r="A60" s="18" t="n"/>
      <c r="B60" s="19">
        <f>IF(OR(A60="",'Ponto de partida'!$B$5=""),"",INT((A60-'Ponto de partida'!$B$5)/7)+1)</f>
        <v/>
      </c>
      <c r="C60" s="20" t="n"/>
      <c r="D60" s="20" t="n"/>
      <c r="E60" s="20" t="n"/>
      <c r="F60" s="20" t="n"/>
      <c r="G60" s="20" t="n"/>
      <c r="H60" s="20" t="n"/>
      <c r="I60" s="20" t="n"/>
      <c r="J60" s="21" t="n"/>
      <c r="K60" s="20" t="n"/>
      <c r="L60" s="20" t="n"/>
    </row>
    <row r="61">
      <c r="A61" s="18" t="n"/>
      <c r="B61" s="19">
        <f>IF(OR(A61="",'Ponto de partida'!$B$5=""),"",INT((A61-'Ponto de partida'!$B$5)/7)+1)</f>
        <v/>
      </c>
      <c r="C61" s="20" t="n"/>
      <c r="D61" s="20" t="n"/>
      <c r="E61" s="20" t="n"/>
      <c r="F61" s="20" t="n"/>
      <c r="G61" s="20" t="n"/>
      <c r="H61" s="20" t="n"/>
      <c r="I61" s="20" t="n"/>
      <c r="J61" s="21" t="n"/>
      <c r="K61" s="20" t="n"/>
      <c r="L61" s="20" t="n"/>
    </row>
    <row r="62">
      <c r="A62" s="18" t="n"/>
      <c r="B62" s="19">
        <f>IF(OR(A62="",'Ponto de partida'!$B$5=""),"",INT((A62-'Ponto de partida'!$B$5)/7)+1)</f>
        <v/>
      </c>
      <c r="C62" s="20" t="n"/>
      <c r="D62" s="20" t="n"/>
      <c r="E62" s="20" t="n"/>
      <c r="F62" s="20" t="n"/>
      <c r="G62" s="20" t="n"/>
      <c r="H62" s="20" t="n"/>
      <c r="I62" s="20" t="n"/>
      <c r="J62" s="21" t="n"/>
      <c r="K62" s="20" t="n"/>
      <c r="L62" s="20" t="n"/>
    </row>
    <row r="63">
      <c r="A63" s="18" t="n"/>
      <c r="B63" s="19">
        <f>IF(OR(A63="",'Ponto de partida'!$B$5=""),"",INT((A63-'Ponto de partida'!$B$5)/7)+1)</f>
        <v/>
      </c>
      <c r="C63" s="20" t="n"/>
      <c r="D63" s="20" t="n"/>
      <c r="E63" s="20" t="n"/>
      <c r="F63" s="20" t="n"/>
      <c r="G63" s="20" t="n"/>
      <c r="H63" s="20" t="n"/>
      <c r="I63" s="20" t="n"/>
      <c r="J63" s="21" t="n"/>
      <c r="K63" s="20" t="n"/>
      <c r="L63" s="20" t="n"/>
    </row>
    <row r="64">
      <c r="A64" s="18" t="n"/>
      <c r="B64" s="19">
        <f>IF(OR(A64="",'Ponto de partida'!$B$5=""),"",INT((A64-'Ponto de partida'!$B$5)/7)+1)</f>
        <v/>
      </c>
      <c r="C64" s="20" t="n"/>
      <c r="D64" s="20" t="n"/>
      <c r="E64" s="20" t="n"/>
      <c r="F64" s="20" t="n"/>
      <c r="G64" s="20" t="n"/>
      <c r="H64" s="20" t="n"/>
      <c r="I64" s="20" t="n"/>
      <c r="J64" s="21" t="n"/>
      <c r="K64" s="20" t="n"/>
      <c r="L64" s="20" t="n"/>
    </row>
    <row r="65">
      <c r="A65" s="18" t="n"/>
      <c r="B65" s="19">
        <f>IF(OR(A65="",'Ponto de partida'!$B$5=""),"",INT((A65-'Ponto de partida'!$B$5)/7)+1)</f>
        <v/>
      </c>
      <c r="C65" s="20" t="n"/>
      <c r="D65" s="20" t="n"/>
      <c r="E65" s="20" t="n"/>
      <c r="F65" s="20" t="n"/>
      <c r="G65" s="20" t="n"/>
      <c r="H65" s="20" t="n"/>
      <c r="I65" s="20" t="n"/>
      <c r="J65" s="21" t="n"/>
      <c r="K65" s="20" t="n"/>
      <c r="L65" s="20" t="n"/>
    </row>
    <row r="66">
      <c r="A66" s="18" t="n"/>
      <c r="B66" s="19">
        <f>IF(OR(A66="",'Ponto de partida'!$B$5=""),"",INT((A66-'Ponto de partida'!$B$5)/7)+1)</f>
        <v/>
      </c>
      <c r="C66" s="20" t="n"/>
      <c r="D66" s="20" t="n"/>
      <c r="E66" s="20" t="n"/>
      <c r="F66" s="20" t="n"/>
      <c r="G66" s="20" t="n"/>
      <c r="H66" s="20" t="n"/>
      <c r="I66" s="20" t="n"/>
      <c r="J66" s="21" t="n"/>
      <c r="K66" s="20" t="n"/>
      <c r="L66" s="20" t="n"/>
    </row>
    <row r="67">
      <c r="A67" s="18" t="n"/>
      <c r="B67" s="19">
        <f>IF(OR(A67="",'Ponto de partida'!$B$5=""),"",INT((A67-'Ponto de partida'!$B$5)/7)+1)</f>
        <v/>
      </c>
      <c r="C67" s="20" t="n"/>
      <c r="D67" s="20" t="n"/>
      <c r="E67" s="20" t="n"/>
      <c r="F67" s="20" t="n"/>
      <c r="G67" s="20" t="n"/>
      <c r="H67" s="20" t="n"/>
      <c r="I67" s="20" t="n"/>
      <c r="J67" s="21" t="n"/>
      <c r="K67" s="20" t="n"/>
      <c r="L67" s="20" t="n"/>
    </row>
    <row r="68">
      <c r="A68" s="18" t="n"/>
      <c r="B68" s="19">
        <f>IF(OR(A68="",'Ponto de partida'!$B$5=""),"",INT((A68-'Ponto de partida'!$B$5)/7)+1)</f>
        <v/>
      </c>
      <c r="C68" s="20" t="n"/>
      <c r="D68" s="20" t="n"/>
      <c r="E68" s="20" t="n"/>
      <c r="F68" s="20" t="n"/>
      <c r="G68" s="20" t="n"/>
      <c r="H68" s="20" t="n"/>
      <c r="I68" s="20" t="n"/>
      <c r="J68" s="21" t="n"/>
      <c r="K68" s="20" t="n"/>
      <c r="L68" s="20" t="n"/>
    </row>
    <row r="69">
      <c r="A69" s="18" t="n"/>
      <c r="B69" s="19">
        <f>IF(OR(A69="",'Ponto de partida'!$B$5=""),"",INT((A69-'Ponto de partida'!$B$5)/7)+1)</f>
        <v/>
      </c>
      <c r="C69" s="20" t="n"/>
      <c r="D69" s="20" t="n"/>
      <c r="E69" s="20" t="n"/>
      <c r="F69" s="20" t="n"/>
      <c r="G69" s="20" t="n"/>
      <c r="H69" s="20" t="n"/>
      <c r="I69" s="20" t="n"/>
      <c r="J69" s="21" t="n"/>
      <c r="K69" s="20" t="n"/>
      <c r="L69" s="20" t="n"/>
    </row>
    <row r="70">
      <c r="A70" s="18" t="n"/>
      <c r="B70" s="19">
        <f>IF(OR(A70="",'Ponto de partida'!$B$5=""),"",INT((A70-'Ponto de partida'!$B$5)/7)+1)</f>
        <v/>
      </c>
      <c r="C70" s="20" t="n"/>
      <c r="D70" s="20" t="n"/>
      <c r="E70" s="20" t="n"/>
      <c r="F70" s="20" t="n"/>
      <c r="G70" s="20" t="n"/>
      <c r="H70" s="20" t="n"/>
      <c r="I70" s="20" t="n"/>
      <c r="J70" s="21" t="n"/>
      <c r="K70" s="20" t="n"/>
      <c r="L70" s="20" t="n"/>
    </row>
    <row r="71">
      <c r="A71" s="18" t="n"/>
      <c r="B71" s="19">
        <f>IF(OR(A71="",'Ponto de partida'!$B$5=""),"",INT((A71-'Ponto de partida'!$B$5)/7)+1)</f>
        <v/>
      </c>
      <c r="C71" s="20" t="n"/>
      <c r="D71" s="20" t="n"/>
      <c r="E71" s="20" t="n"/>
      <c r="F71" s="20" t="n"/>
      <c r="G71" s="20" t="n"/>
      <c r="H71" s="20" t="n"/>
      <c r="I71" s="20" t="n"/>
      <c r="J71" s="21" t="n"/>
      <c r="K71" s="20" t="n"/>
      <c r="L71" s="20" t="n"/>
    </row>
    <row r="72">
      <c r="A72" s="18" t="n"/>
      <c r="B72" s="19">
        <f>IF(OR(A72="",'Ponto de partida'!$B$5=""),"",INT((A72-'Ponto de partida'!$B$5)/7)+1)</f>
        <v/>
      </c>
      <c r="C72" s="20" t="n"/>
      <c r="D72" s="20" t="n"/>
      <c r="E72" s="20" t="n"/>
      <c r="F72" s="20" t="n"/>
      <c r="G72" s="20" t="n"/>
      <c r="H72" s="20" t="n"/>
      <c r="I72" s="20" t="n"/>
      <c r="J72" s="21" t="n"/>
      <c r="K72" s="20" t="n"/>
      <c r="L72" s="20" t="n"/>
    </row>
    <row r="73">
      <c r="A73" s="18" t="n"/>
      <c r="B73" s="19">
        <f>IF(OR(A73="",'Ponto de partida'!$B$5=""),"",INT((A73-'Ponto de partida'!$B$5)/7)+1)</f>
        <v/>
      </c>
      <c r="C73" s="20" t="n"/>
      <c r="D73" s="20" t="n"/>
      <c r="E73" s="20" t="n"/>
      <c r="F73" s="20" t="n"/>
      <c r="G73" s="20" t="n"/>
      <c r="H73" s="20" t="n"/>
      <c r="I73" s="20" t="n"/>
      <c r="J73" s="21" t="n"/>
      <c r="K73" s="20" t="n"/>
      <c r="L73" s="20" t="n"/>
    </row>
    <row r="74">
      <c r="A74" s="18" t="n"/>
      <c r="B74" s="19">
        <f>IF(OR(A74="",'Ponto de partida'!$B$5=""),"",INT((A74-'Ponto de partida'!$B$5)/7)+1)</f>
        <v/>
      </c>
      <c r="C74" s="20" t="n"/>
      <c r="D74" s="20" t="n"/>
      <c r="E74" s="20" t="n"/>
      <c r="F74" s="20" t="n"/>
      <c r="G74" s="20" t="n"/>
      <c r="H74" s="20" t="n"/>
      <c r="I74" s="20" t="n"/>
      <c r="J74" s="21" t="n"/>
      <c r="K74" s="20" t="n"/>
      <c r="L74" s="20" t="n"/>
    </row>
    <row r="75">
      <c r="A75" s="18" t="n"/>
      <c r="B75" s="19">
        <f>IF(OR(A75="",'Ponto de partida'!$B$5=""),"",INT((A75-'Ponto de partida'!$B$5)/7)+1)</f>
        <v/>
      </c>
      <c r="C75" s="20" t="n"/>
      <c r="D75" s="20" t="n"/>
      <c r="E75" s="20" t="n"/>
      <c r="F75" s="20" t="n"/>
      <c r="G75" s="20" t="n"/>
      <c r="H75" s="20" t="n"/>
      <c r="I75" s="20" t="n"/>
      <c r="J75" s="21" t="n"/>
      <c r="K75" s="20" t="n"/>
      <c r="L75" s="20" t="n"/>
    </row>
    <row r="76">
      <c r="A76" s="18" t="n"/>
      <c r="B76" s="19">
        <f>IF(OR(A76="",'Ponto de partida'!$B$5=""),"",INT((A76-'Ponto de partida'!$B$5)/7)+1)</f>
        <v/>
      </c>
      <c r="C76" s="20" t="n"/>
      <c r="D76" s="20" t="n"/>
      <c r="E76" s="20" t="n"/>
      <c r="F76" s="20" t="n"/>
      <c r="G76" s="20" t="n"/>
      <c r="H76" s="20" t="n"/>
      <c r="I76" s="20" t="n"/>
      <c r="J76" s="21" t="n"/>
      <c r="K76" s="20" t="n"/>
      <c r="L76" s="20" t="n"/>
    </row>
    <row r="77">
      <c r="A77" s="18" t="n"/>
      <c r="B77" s="19">
        <f>IF(OR(A77="",'Ponto de partida'!$B$5=""),"",INT((A77-'Ponto de partida'!$B$5)/7)+1)</f>
        <v/>
      </c>
      <c r="C77" s="20" t="n"/>
      <c r="D77" s="20" t="n"/>
      <c r="E77" s="20" t="n"/>
      <c r="F77" s="20" t="n"/>
      <c r="G77" s="20" t="n"/>
      <c r="H77" s="20" t="n"/>
      <c r="I77" s="20" t="n"/>
      <c r="J77" s="21" t="n"/>
      <c r="K77" s="20" t="n"/>
      <c r="L77" s="20" t="n"/>
    </row>
    <row r="78">
      <c r="A78" s="18" t="n"/>
      <c r="B78" s="19">
        <f>IF(OR(A78="",'Ponto de partida'!$B$5=""),"",INT((A78-'Ponto de partida'!$B$5)/7)+1)</f>
        <v/>
      </c>
      <c r="C78" s="20" t="n"/>
      <c r="D78" s="20" t="n"/>
      <c r="E78" s="20" t="n"/>
      <c r="F78" s="20" t="n"/>
      <c r="G78" s="20" t="n"/>
      <c r="H78" s="20" t="n"/>
      <c r="I78" s="20" t="n"/>
      <c r="J78" s="21" t="n"/>
      <c r="K78" s="20" t="n"/>
      <c r="L78" s="20" t="n"/>
    </row>
    <row r="79">
      <c r="A79" s="18" t="n"/>
      <c r="B79" s="19">
        <f>IF(OR(A79="",'Ponto de partida'!$B$5=""),"",INT((A79-'Ponto de partida'!$B$5)/7)+1)</f>
        <v/>
      </c>
      <c r="C79" s="20" t="n"/>
      <c r="D79" s="20" t="n"/>
      <c r="E79" s="20" t="n"/>
      <c r="F79" s="20" t="n"/>
      <c r="G79" s="20" t="n"/>
      <c r="H79" s="20" t="n"/>
      <c r="I79" s="20" t="n"/>
      <c r="J79" s="21" t="n"/>
      <c r="K79" s="20" t="n"/>
      <c r="L79" s="20" t="n"/>
    </row>
    <row r="80">
      <c r="A80" s="18" t="n"/>
      <c r="B80" s="19">
        <f>IF(OR(A80="",'Ponto de partida'!$B$5=""),"",INT((A80-'Ponto de partida'!$B$5)/7)+1)</f>
        <v/>
      </c>
      <c r="C80" s="20" t="n"/>
      <c r="D80" s="20" t="n"/>
      <c r="E80" s="20" t="n"/>
      <c r="F80" s="20" t="n"/>
      <c r="G80" s="20" t="n"/>
      <c r="H80" s="20" t="n"/>
      <c r="I80" s="20" t="n"/>
      <c r="J80" s="21" t="n"/>
      <c r="K80" s="20" t="n"/>
      <c r="L80" s="20" t="n"/>
    </row>
    <row r="81">
      <c r="A81" s="18" t="n"/>
      <c r="B81" s="19">
        <f>IF(OR(A81="",'Ponto de partida'!$B$5=""),"",INT((A81-'Ponto de partida'!$B$5)/7)+1)</f>
        <v/>
      </c>
      <c r="C81" s="20" t="n"/>
      <c r="D81" s="20" t="n"/>
      <c r="E81" s="20" t="n"/>
      <c r="F81" s="20" t="n"/>
      <c r="G81" s="20" t="n"/>
      <c r="H81" s="20" t="n"/>
      <c r="I81" s="20" t="n"/>
      <c r="J81" s="21" t="n"/>
      <c r="K81" s="20" t="n"/>
      <c r="L81" s="20" t="n"/>
    </row>
    <row r="82">
      <c r="A82" s="18" t="n"/>
      <c r="B82" s="19">
        <f>IF(OR(A82="",'Ponto de partida'!$B$5=""),"",INT((A82-'Ponto de partida'!$B$5)/7)+1)</f>
        <v/>
      </c>
      <c r="C82" s="20" t="n"/>
      <c r="D82" s="20" t="n"/>
      <c r="E82" s="20" t="n"/>
      <c r="F82" s="20" t="n"/>
      <c r="G82" s="20" t="n"/>
      <c r="H82" s="20" t="n"/>
      <c r="I82" s="20" t="n"/>
      <c r="J82" s="21" t="n"/>
      <c r="K82" s="20" t="n"/>
      <c r="L82" s="20" t="n"/>
    </row>
    <row r="83">
      <c r="A83" s="18" t="n"/>
      <c r="B83" s="19">
        <f>IF(OR(A83="",'Ponto de partida'!$B$5=""),"",INT((A83-'Ponto de partida'!$B$5)/7)+1)</f>
        <v/>
      </c>
      <c r="C83" s="20" t="n"/>
      <c r="D83" s="20" t="n"/>
      <c r="E83" s="20" t="n"/>
      <c r="F83" s="20" t="n"/>
      <c r="G83" s="20" t="n"/>
      <c r="H83" s="20" t="n"/>
      <c r="I83" s="20" t="n"/>
      <c r="J83" s="21" t="n"/>
      <c r="K83" s="20" t="n"/>
      <c r="L83" s="20" t="n"/>
    </row>
    <row r="84">
      <c r="A84" s="18" t="n"/>
      <c r="B84" s="19">
        <f>IF(OR(A84="",'Ponto de partida'!$B$5=""),"",INT((A84-'Ponto de partida'!$B$5)/7)+1)</f>
        <v/>
      </c>
      <c r="C84" s="20" t="n"/>
      <c r="D84" s="20" t="n"/>
      <c r="E84" s="20" t="n"/>
      <c r="F84" s="20" t="n"/>
      <c r="G84" s="20" t="n"/>
      <c r="H84" s="20" t="n"/>
      <c r="I84" s="20" t="n"/>
      <c r="J84" s="21" t="n"/>
      <c r="K84" s="20" t="n"/>
      <c r="L84" s="20" t="n"/>
    </row>
    <row r="85">
      <c r="A85" s="18" t="n"/>
      <c r="B85" s="19">
        <f>IF(OR(A85="",'Ponto de partida'!$B$5=""),"",INT((A85-'Ponto de partida'!$B$5)/7)+1)</f>
        <v/>
      </c>
      <c r="C85" s="20" t="n"/>
      <c r="D85" s="20" t="n"/>
      <c r="E85" s="20" t="n"/>
      <c r="F85" s="20" t="n"/>
      <c r="G85" s="20" t="n"/>
      <c r="H85" s="20" t="n"/>
      <c r="I85" s="20" t="n"/>
      <c r="J85" s="21" t="n"/>
      <c r="K85" s="20" t="n"/>
      <c r="L85" s="20" t="n"/>
    </row>
    <row r="86">
      <c r="A86" s="18" t="n"/>
      <c r="B86" s="19">
        <f>IF(OR(A86="",'Ponto de partida'!$B$5=""),"",INT((A86-'Ponto de partida'!$B$5)/7)+1)</f>
        <v/>
      </c>
      <c r="C86" s="20" t="n"/>
      <c r="D86" s="20" t="n"/>
      <c r="E86" s="20" t="n"/>
      <c r="F86" s="20" t="n"/>
      <c r="G86" s="20" t="n"/>
      <c r="H86" s="20" t="n"/>
      <c r="I86" s="20" t="n"/>
      <c r="J86" s="21" t="n"/>
      <c r="K86" s="20" t="n"/>
      <c r="L86" s="20" t="n"/>
    </row>
    <row r="87">
      <c r="A87" s="18" t="n"/>
      <c r="B87" s="19">
        <f>IF(OR(A87="",'Ponto de partida'!$B$5=""),"",INT((A87-'Ponto de partida'!$B$5)/7)+1)</f>
        <v/>
      </c>
      <c r="C87" s="20" t="n"/>
      <c r="D87" s="20" t="n"/>
      <c r="E87" s="20" t="n"/>
      <c r="F87" s="20" t="n"/>
      <c r="G87" s="20" t="n"/>
      <c r="H87" s="20" t="n"/>
      <c r="I87" s="20" t="n"/>
      <c r="J87" s="21" t="n"/>
      <c r="K87" s="20" t="n"/>
      <c r="L87" s="20" t="n"/>
    </row>
    <row r="88">
      <c r="A88" s="18" t="n"/>
      <c r="B88" s="19">
        <f>IF(OR(A88="",'Ponto de partida'!$B$5=""),"",INT((A88-'Ponto de partida'!$B$5)/7)+1)</f>
        <v/>
      </c>
      <c r="C88" s="20" t="n"/>
      <c r="D88" s="20" t="n"/>
      <c r="E88" s="20" t="n"/>
      <c r="F88" s="20" t="n"/>
      <c r="G88" s="20" t="n"/>
      <c r="H88" s="20" t="n"/>
      <c r="I88" s="20" t="n"/>
      <c r="J88" s="21" t="n"/>
      <c r="K88" s="20" t="n"/>
      <c r="L88" s="20" t="n"/>
    </row>
    <row r="89">
      <c r="A89" s="18" t="n"/>
      <c r="B89" s="19">
        <f>IF(OR(A89="",'Ponto de partida'!$B$5=""),"",INT((A89-'Ponto de partida'!$B$5)/7)+1)</f>
        <v/>
      </c>
      <c r="C89" s="20" t="n"/>
      <c r="D89" s="20" t="n"/>
      <c r="E89" s="20" t="n"/>
      <c r="F89" s="20" t="n"/>
      <c r="G89" s="20" t="n"/>
      <c r="H89" s="20" t="n"/>
      <c r="I89" s="20" t="n"/>
      <c r="J89" s="21" t="n"/>
      <c r="K89" s="20" t="n"/>
      <c r="L89" s="20" t="n"/>
    </row>
    <row r="90">
      <c r="A90" s="18" t="n"/>
      <c r="B90" s="19">
        <f>IF(OR(A90="",'Ponto de partida'!$B$5=""),"",INT((A90-'Ponto de partida'!$B$5)/7)+1)</f>
        <v/>
      </c>
      <c r="C90" s="20" t="n"/>
      <c r="D90" s="20" t="n"/>
      <c r="E90" s="20" t="n"/>
      <c r="F90" s="20" t="n"/>
      <c r="G90" s="20" t="n"/>
      <c r="H90" s="20" t="n"/>
      <c r="I90" s="20" t="n"/>
      <c r="J90" s="21" t="n"/>
      <c r="K90" s="20" t="n"/>
      <c r="L90" s="20" t="n"/>
    </row>
    <row r="91">
      <c r="A91" s="18" t="n"/>
      <c r="B91" s="19">
        <f>IF(OR(A91="",'Ponto de partida'!$B$5=""),"",INT((A91-'Ponto de partida'!$B$5)/7)+1)</f>
        <v/>
      </c>
      <c r="C91" s="20" t="n"/>
      <c r="D91" s="20" t="n"/>
      <c r="E91" s="20" t="n"/>
      <c r="F91" s="20" t="n"/>
      <c r="G91" s="20" t="n"/>
      <c r="H91" s="20" t="n"/>
      <c r="I91" s="20" t="n"/>
      <c r="J91" s="21" t="n"/>
      <c r="K91" s="20" t="n"/>
      <c r="L91" s="20" t="n"/>
    </row>
    <row r="92">
      <c r="A92" s="18" t="n"/>
      <c r="B92" s="19">
        <f>IF(OR(A92="",'Ponto de partida'!$B$5=""),"",INT((A92-'Ponto de partida'!$B$5)/7)+1)</f>
        <v/>
      </c>
      <c r="C92" s="20" t="n"/>
      <c r="D92" s="20" t="n"/>
      <c r="E92" s="20" t="n"/>
      <c r="F92" s="20" t="n"/>
      <c r="G92" s="20" t="n"/>
      <c r="H92" s="20" t="n"/>
      <c r="I92" s="20" t="n"/>
      <c r="J92" s="21" t="n"/>
      <c r="K92" s="20" t="n"/>
      <c r="L92" s="20" t="n"/>
    </row>
    <row r="93">
      <c r="A93" s="18" t="n"/>
      <c r="B93" s="19">
        <f>IF(OR(A93="",'Ponto de partida'!$B$5=""),"",INT((A93-'Ponto de partida'!$B$5)/7)+1)</f>
        <v/>
      </c>
      <c r="C93" s="20" t="n"/>
      <c r="D93" s="20" t="n"/>
      <c r="E93" s="20" t="n"/>
      <c r="F93" s="20" t="n"/>
      <c r="G93" s="20" t="n"/>
      <c r="H93" s="20" t="n"/>
      <c r="I93" s="20" t="n"/>
      <c r="J93" s="21" t="n"/>
      <c r="K93" s="20" t="n"/>
      <c r="L93" s="20" t="n"/>
    </row>
    <row r="94">
      <c r="A94" s="18" t="n"/>
      <c r="B94" s="19">
        <f>IF(OR(A94="",'Ponto de partida'!$B$5=""),"",INT((A94-'Ponto de partida'!$B$5)/7)+1)</f>
        <v/>
      </c>
      <c r="C94" s="20" t="n"/>
      <c r="D94" s="20" t="n"/>
      <c r="E94" s="20" t="n"/>
      <c r="F94" s="20" t="n"/>
      <c r="G94" s="20" t="n"/>
      <c r="H94" s="20" t="n"/>
      <c r="I94" s="20" t="n"/>
      <c r="J94" s="21" t="n"/>
      <c r="K94" s="20" t="n"/>
      <c r="L94" s="20" t="n"/>
    </row>
    <row r="95">
      <c r="A95" s="18" t="n"/>
      <c r="B95" s="19">
        <f>IF(OR(A95="",'Ponto de partida'!$B$5=""),"",INT((A95-'Ponto de partida'!$B$5)/7)+1)</f>
        <v/>
      </c>
      <c r="C95" s="20" t="n"/>
      <c r="D95" s="20" t="n"/>
      <c r="E95" s="20" t="n"/>
      <c r="F95" s="20" t="n"/>
      <c r="G95" s="20" t="n"/>
      <c r="H95" s="20" t="n"/>
      <c r="I95" s="20" t="n"/>
      <c r="J95" s="21" t="n"/>
      <c r="K95" s="20" t="n"/>
      <c r="L95" s="20" t="n"/>
    </row>
    <row r="96">
      <c r="A96" s="18" t="n"/>
      <c r="B96" s="19">
        <f>IF(OR(A96="",'Ponto de partida'!$B$5=""),"",INT((A96-'Ponto de partida'!$B$5)/7)+1)</f>
        <v/>
      </c>
      <c r="C96" s="20" t="n"/>
      <c r="D96" s="20" t="n"/>
      <c r="E96" s="20" t="n"/>
      <c r="F96" s="20" t="n"/>
      <c r="G96" s="20" t="n"/>
      <c r="H96" s="20" t="n"/>
      <c r="I96" s="20" t="n"/>
      <c r="J96" s="21" t="n"/>
      <c r="K96" s="20" t="n"/>
      <c r="L96" s="20" t="n"/>
    </row>
    <row r="97">
      <c r="A97" s="18" t="n"/>
      <c r="B97" s="19">
        <f>IF(OR(A97="",'Ponto de partida'!$B$5=""),"",INT((A97-'Ponto de partida'!$B$5)/7)+1)</f>
        <v/>
      </c>
      <c r="C97" s="20" t="n"/>
      <c r="D97" s="20" t="n"/>
      <c r="E97" s="20" t="n"/>
      <c r="F97" s="20" t="n"/>
      <c r="G97" s="20" t="n"/>
      <c r="H97" s="20" t="n"/>
      <c r="I97" s="20" t="n"/>
      <c r="J97" s="21" t="n"/>
      <c r="K97" s="20" t="n"/>
      <c r="L97" s="20" t="n"/>
    </row>
    <row r="98">
      <c r="A98" s="18" t="n"/>
      <c r="B98" s="19">
        <f>IF(OR(A98="",'Ponto de partida'!$B$5=""),"",INT((A98-'Ponto de partida'!$B$5)/7)+1)</f>
        <v/>
      </c>
      <c r="C98" s="20" t="n"/>
      <c r="D98" s="20" t="n"/>
      <c r="E98" s="20" t="n"/>
      <c r="F98" s="20" t="n"/>
      <c r="G98" s="20" t="n"/>
      <c r="H98" s="20" t="n"/>
      <c r="I98" s="20" t="n"/>
      <c r="J98" s="21" t="n"/>
      <c r="K98" s="20" t="n"/>
      <c r="L98" s="20" t="n"/>
    </row>
    <row r="99">
      <c r="A99" s="18" t="n"/>
      <c r="B99" s="19">
        <f>IF(OR(A99="",'Ponto de partida'!$B$5=""),"",INT((A99-'Ponto de partida'!$B$5)/7)+1)</f>
        <v/>
      </c>
      <c r="C99" s="20" t="n"/>
      <c r="D99" s="20" t="n"/>
      <c r="E99" s="20" t="n"/>
      <c r="F99" s="20" t="n"/>
      <c r="G99" s="20" t="n"/>
      <c r="H99" s="20" t="n"/>
      <c r="I99" s="20" t="n"/>
      <c r="J99" s="21" t="n"/>
      <c r="K99" s="20" t="n"/>
      <c r="L99" s="20" t="n"/>
    </row>
    <row r="100">
      <c r="A100" s="18" t="n"/>
      <c r="B100" s="19">
        <f>IF(OR(A100="",'Ponto de partida'!$B$5=""),"",INT((A100-'Ponto de partida'!$B$5)/7)+1)</f>
        <v/>
      </c>
      <c r="C100" s="20" t="n"/>
      <c r="D100" s="20" t="n"/>
      <c r="E100" s="20" t="n"/>
      <c r="F100" s="20" t="n"/>
      <c r="G100" s="20" t="n"/>
      <c r="H100" s="20" t="n"/>
      <c r="I100" s="20" t="n"/>
      <c r="J100" s="21" t="n"/>
      <c r="K100" s="20" t="n"/>
      <c r="L100" s="20" t="n"/>
    </row>
    <row r="101">
      <c r="A101" s="18" t="n"/>
      <c r="B101" s="19">
        <f>IF(OR(A101="",'Ponto de partida'!$B$5=""),"",INT((A101-'Ponto de partida'!$B$5)/7)+1)</f>
        <v/>
      </c>
      <c r="C101" s="20" t="n"/>
      <c r="D101" s="20" t="n"/>
      <c r="E101" s="20" t="n"/>
      <c r="F101" s="20" t="n"/>
      <c r="G101" s="20" t="n"/>
      <c r="H101" s="20" t="n"/>
      <c r="I101" s="20" t="n"/>
      <c r="J101" s="21" t="n"/>
      <c r="K101" s="20" t="n"/>
      <c r="L101" s="20" t="n"/>
    </row>
    <row r="102">
      <c r="A102" s="18" t="n"/>
      <c r="B102" s="19">
        <f>IF(OR(A102="",'Ponto de partida'!$B$5=""),"",INT((A102-'Ponto de partida'!$B$5)/7)+1)</f>
        <v/>
      </c>
      <c r="C102" s="20" t="n"/>
      <c r="D102" s="20" t="n"/>
      <c r="E102" s="20" t="n"/>
      <c r="F102" s="20" t="n"/>
      <c r="G102" s="20" t="n"/>
      <c r="H102" s="20" t="n"/>
      <c r="I102" s="20" t="n"/>
      <c r="J102" s="21" t="n"/>
      <c r="K102" s="20" t="n"/>
      <c r="L102" s="20" t="n"/>
    </row>
    <row r="103">
      <c r="A103" s="18" t="n"/>
      <c r="B103" s="19">
        <f>IF(OR(A103="",'Ponto de partida'!$B$5=""),"",INT((A103-'Ponto de partida'!$B$5)/7)+1)</f>
        <v/>
      </c>
      <c r="C103" s="20" t="n"/>
      <c r="D103" s="20" t="n"/>
      <c r="E103" s="20" t="n"/>
      <c r="F103" s="20" t="n"/>
      <c r="G103" s="20" t="n"/>
      <c r="H103" s="20" t="n"/>
      <c r="I103" s="20" t="n"/>
      <c r="J103" s="21" t="n"/>
      <c r="K103" s="20" t="n"/>
      <c r="L103" s="20" t="n"/>
    </row>
    <row r="104">
      <c r="A104" s="18" t="n"/>
      <c r="B104" s="19">
        <f>IF(OR(A104="",'Ponto de partida'!$B$5=""),"",INT((A104-'Ponto de partida'!$B$5)/7)+1)</f>
        <v/>
      </c>
      <c r="C104" s="20" t="n"/>
      <c r="D104" s="20" t="n"/>
      <c r="E104" s="20" t="n"/>
      <c r="F104" s="20" t="n"/>
      <c r="G104" s="20" t="n"/>
      <c r="H104" s="20" t="n"/>
      <c r="I104" s="20" t="n"/>
      <c r="J104" s="21" t="n"/>
      <c r="K104" s="20" t="n"/>
      <c r="L104" s="20" t="n"/>
    </row>
    <row r="105">
      <c r="A105" s="18" t="n"/>
      <c r="B105" s="19">
        <f>IF(OR(A105="",'Ponto de partida'!$B$5=""),"",INT((A105-'Ponto de partida'!$B$5)/7)+1)</f>
        <v/>
      </c>
      <c r="C105" s="20" t="n"/>
      <c r="D105" s="20" t="n"/>
      <c r="E105" s="20" t="n"/>
      <c r="F105" s="20" t="n"/>
      <c r="G105" s="20" t="n"/>
      <c r="H105" s="20" t="n"/>
      <c r="I105" s="20" t="n"/>
      <c r="J105" s="21" t="n"/>
      <c r="K105" s="20" t="n"/>
      <c r="L105" s="20" t="n"/>
    </row>
    <row r="106">
      <c r="A106" s="18" t="n"/>
      <c r="B106" s="19">
        <f>IF(OR(A106="",'Ponto de partida'!$B$5=""),"",INT((A106-'Ponto de partida'!$B$5)/7)+1)</f>
        <v/>
      </c>
      <c r="C106" s="20" t="n"/>
      <c r="D106" s="20" t="n"/>
      <c r="E106" s="20" t="n"/>
      <c r="F106" s="20" t="n"/>
      <c r="G106" s="20" t="n"/>
      <c r="H106" s="20" t="n"/>
      <c r="I106" s="20" t="n"/>
      <c r="J106" s="21" t="n"/>
      <c r="K106" s="20" t="n"/>
      <c r="L106" s="20" t="n"/>
    </row>
    <row r="107">
      <c r="A107" s="18" t="n"/>
      <c r="B107" s="19">
        <f>IF(OR(A107="",'Ponto de partida'!$B$5=""),"",INT((A107-'Ponto de partida'!$B$5)/7)+1)</f>
        <v/>
      </c>
      <c r="C107" s="20" t="n"/>
      <c r="D107" s="20" t="n"/>
      <c r="E107" s="20" t="n"/>
      <c r="F107" s="20" t="n"/>
      <c r="G107" s="20" t="n"/>
      <c r="H107" s="20" t="n"/>
      <c r="I107" s="20" t="n"/>
      <c r="J107" s="21" t="n"/>
      <c r="K107" s="20" t="n"/>
      <c r="L107" s="20" t="n"/>
    </row>
    <row r="108">
      <c r="A108" s="18" t="n"/>
      <c r="B108" s="19">
        <f>IF(OR(A108="",'Ponto de partida'!$B$5=""),"",INT((A108-'Ponto de partida'!$B$5)/7)+1)</f>
        <v/>
      </c>
      <c r="C108" s="20" t="n"/>
      <c r="D108" s="20" t="n"/>
      <c r="E108" s="20" t="n"/>
      <c r="F108" s="20" t="n"/>
      <c r="G108" s="20" t="n"/>
      <c r="H108" s="20" t="n"/>
      <c r="I108" s="20" t="n"/>
      <c r="J108" s="21" t="n"/>
      <c r="K108" s="20" t="n"/>
      <c r="L108" s="20" t="n"/>
    </row>
    <row r="109">
      <c r="A109" s="18" t="n"/>
      <c r="B109" s="19">
        <f>IF(OR(A109="",'Ponto de partida'!$B$5=""),"",INT((A109-'Ponto de partida'!$B$5)/7)+1)</f>
        <v/>
      </c>
      <c r="C109" s="20" t="n"/>
      <c r="D109" s="20" t="n"/>
      <c r="E109" s="20" t="n"/>
      <c r="F109" s="20" t="n"/>
      <c r="G109" s="20" t="n"/>
      <c r="H109" s="20" t="n"/>
      <c r="I109" s="20" t="n"/>
      <c r="J109" s="21" t="n"/>
      <c r="K109" s="20" t="n"/>
      <c r="L109" s="20" t="n"/>
    </row>
    <row r="110">
      <c r="A110" s="18" t="n"/>
      <c r="B110" s="19">
        <f>IF(OR(A110="",'Ponto de partida'!$B$5=""),"",INT((A110-'Ponto de partida'!$B$5)/7)+1)</f>
        <v/>
      </c>
      <c r="C110" s="20" t="n"/>
      <c r="D110" s="20" t="n"/>
      <c r="E110" s="20" t="n"/>
      <c r="F110" s="20" t="n"/>
      <c r="G110" s="20" t="n"/>
      <c r="H110" s="20" t="n"/>
      <c r="I110" s="20" t="n"/>
      <c r="J110" s="21" t="n"/>
      <c r="K110" s="20" t="n"/>
      <c r="L110" s="20" t="n"/>
    </row>
    <row r="111">
      <c r="A111" s="18" t="n"/>
      <c r="B111" s="19">
        <f>IF(OR(A111="",'Ponto de partida'!$B$5=""),"",INT((A111-'Ponto de partida'!$B$5)/7)+1)</f>
        <v/>
      </c>
      <c r="C111" s="20" t="n"/>
      <c r="D111" s="20" t="n"/>
      <c r="E111" s="20" t="n"/>
      <c r="F111" s="20" t="n"/>
      <c r="G111" s="20" t="n"/>
      <c r="H111" s="20" t="n"/>
      <c r="I111" s="20" t="n"/>
      <c r="J111" s="21" t="n"/>
      <c r="K111" s="20" t="n"/>
      <c r="L111" s="20" t="n"/>
    </row>
    <row r="112">
      <c r="A112" s="18" t="n"/>
      <c r="B112" s="19">
        <f>IF(OR(A112="",'Ponto de partida'!$B$5=""),"",INT((A112-'Ponto de partida'!$B$5)/7)+1)</f>
        <v/>
      </c>
      <c r="C112" s="20" t="n"/>
      <c r="D112" s="20" t="n"/>
      <c r="E112" s="20" t="n"/>
      <c r="F112" s="20" t="n"/>
      <c r="G112" s="20" t="n"/>
      <c r="H112" s="20" t="n"/>
      <c r="I112" s="20" t="n"/>
      <c r="J112" s="21" t="n"/>
      <c r="K112" s="20" t="n"/>
      <c r="L112" s="20" t="n"/>
    </row>
    <row r="113">
      <c r="A113" s="18" t="n"/>
      <c r="B113" s="19">
        <f>IF(OR(A113="",'Ponto de partida'!$B$5=""),"",INT((A113-'Ponto de partida'!$B$5)/7)+1)</f>
        <v/>
      </c>
      <c r="C113" s="20" t="n"/>
      <c r="D113" s="20" t="n"/>
      <c r="E113" s="20" t="n"/>
      <c r="F113" s="20" t="n"/>
      <c r="G113" s="20" t="n"/>
      <c r="H113" s="20" t="n"/>
      <c r="I113" s="20" t="n"/>
      <c r="J113" s="21" t="n"/>
      <c r="K113" s="20" t="n"/>
      <c r="L113" s="20" t="n"/>
    </row>
    <row r="114">
      <c r="A114" s="18" t="n"/>
      <c r="B114" s="19">
        <f>IF(OR(A114="",'Ponto de partida'!$B$5=""),"",INT((A114-'Ponto de partida'!$B$5)/7)+1)</f>
        <v/>
      </c>
      <c r="C114" s="20" t="n"/>
      <c r="D114" s="20" t="n"/>
      <c r="E114" s="20" t="n"/>
      <c r="F114" s="20" t="n"/>
      <c r="G114" s="20" t="n"/>
      <c r="H114" s="20" t="n"/>
      <c r="I114" s="20" t="n"/>
      <c r="J114" s="21" t="n"/>
      <c r="K114" s="20" t="n"/>
      <c r="L114" s="20" t="n"/>
    </row>
    <row r="115">
      <c r="A115" s="18" t="n"/>
      <c r="B115" s="19">
        <f>IF(OR(A115="",'Ponto de partida'!$B$5=""),"",INT((A115-'Ponto de partida'!$B$5)/7)+1)</f>
        <v/>
      </c>
      <c r="C115" s="20" t="n"/>
      <c r="D115" s="20" t="n"/>
      <c r="E115" s="20" t="n"/>
      <c r="F115" s="20" t="n"/>
      <c r="G115" s="20" t="n"/>
      <c r="H115" s="20" t="n"/>
      <c r="I115" s="20" t="n"/>
      <c r="J115" s="21" t="n"/>
      <c r="K115" s="20" t="n"/>
      <c r="L115" s="20" t="n"/>
    </row>
    <row r="116">
      <c r="A116" s="18" t="n"/>
      <c r="B116" s="19">
        <f>IF(OR(A116="",'Ponto de partida'!$B$5=""),"",INT((A116-'Ponto de partida'!$B$5)/7)+1)</f>
        <v/>
      </c>
      <c r="C116" s="20" t="n"/>
      <c r="D116" s="20" t="n"/>
      <c r="E116" s="20" t="n"/>
      <c r="F116" s="20" t="n"/>
      <c r="G116" s="20" t="n"/>
      <c r="H116" s="20" t="n"/>
      <c r="I116" s="20" t="n"/>
      <c r="J116" s="21" t="n"/>
      <c r="K116" s="20" t="n"/>
      <c r="L116" s="20" t="n"/>
    </row>
    <row r="117">
      <c r="A117" s="18" t="n"/>
      <c r="B117" s="19">
        <f>IF(OR(A117="",'Ponto de partida'!$B$5=""),"",INT((A117-'Ponto de partida'!$B$5)/7)+1)</f>
        <v/>
      </c>
      <c r="C117" s="20" t="n"/>
      <c r="D117" s="20" t="n"/>
      <c r="E117" s="20" t="n"/>
      <c r="F117" s="20" t="n"/>
      <c r="G117" s="20" t="n"/>
      <c r="H117" s="20" t="n"/>
      <c r="I117" s="20" t="n"/>
      <c r="J117" s="21" t="n"/>
      <c r="K117" s="20" t="n"/>
      <c r="L117" s="20" t="n"/>
    </row>
    <row r="118">
      <c r="A118" s="18" t="n"/>
      <c r="B118" s="19">
        <f>IF(OR(A118="",'Ponto de partida'!$B$5=""),"",INT((A118-'Ponto de partida'!$B$5)/7)+1)</f>
        <v/>
      </c>
      <c r="C118" s="20" t="n"/>
      <c r="D118" s="20" t="n"/>
      <c r="E118" s="20" t="n"/>
      <c r="F118" s="20" t="n"/>
      <c r="G118" s="20" t="n"/>
      <c r="H118" s="20" t="n"/>
      <c r="I118" s="20" t="n"/>
      <c r="J118" s="21" t="n"/>
      <c r="K118" s="20" t="n"/>
      <c r="L118" s="20" t="n"/>
    </row>
    <row r="119">
      <c r="A119" s="18" t="n"/>
      <c r="B119" s="19">
        <f>IF(OR(A119="",'Ponto de partida'!$B$5=""),"",INT((A119-'Ponto de partida'!$B$5)/7)+1)</f>
        <v/>
      </c>
      <c r="C119" s="20" t="n"/>
      <c r="D119" s="20" t="n"/>
      <c r="E119" s="20" t="n"/>
      <c r="F119" s="20" t="n"/>
      <c r="G119" s="20" t="n"/>
      <c r="H119" s="20" t="n"/>
      <c r="I119" s="20" t="n"/>
      <c r="J119" s="21" t="n"/>
      <c r="K119" s="20" t="n"/>
      <c r="L119" s="20" t="n"/>
    </row>
    <row r="120">
      <c r="A120" s="18" t="n"/>
      <c r="B120" s="19">
        <f>IF(OR(A120="",'Ponto de partida'!$B$5=""),"",INT((A120-'Ponto de partida'!$B$5)/7)+1)</f>
        <v/>
      </c>
      <c r="C120" s="20" t="n"/>
      <c r="D120" s="20" t="n"/>
      <c r="E120" s="20" t="n"/>
      <c r="F120" s="20" t="n"/>
      <c r="G120" s="20" t="n"/>
      <c r="H120" s="20" t="n"/>
      <c r="I120" s="20" t="n"/>
      <c r="J120" s="21" t="n"/>
      <c r="K120" s="20" t="n"/>
      <c r="L120" s="20" t="n"/>
    </row>
    <row r="121">
      <c r="A121" s="18" t="n"/>
      <c r="B121" s="19">
        <f>IF(OR(A121="",'Ponto de partida'!$B$5=""),"",INT((A121-'Ponto de partida'!$B$5)/7)+1)</f>
        <v/>
      </c>
      <c r="C121" s="20" t="n"/>
      <c r="D121" s="20" t="n"/>
      <c r="E121" s="20" t="n"/>
      <c r="F121" s="20" t="n"/>
      <c r="G121" s="20" t="n"/>
      <c r="H121" s="20" t="n"/>
      <c r="I121" s="20" t="n"/>
      <c r="J121" s="21" t="n"/>
      <c r="K121" s="20" t="n"/>
      <c r="L121" s="20" t="n"/>
    </row>
    <row r="122">
      <c r="A122" s="18" t="n"/>
      <c r="B122" s="19">
        <f>IF(OR(A122="",'Ponto de partida'!$B$5=""),"",INT((A122-'Ponto de partida'!$B$5)/7)+1)</f>
        <v/>
      </c>
      <c r="C122" s="20" t="n"/>
      <c r="D122" s="20" t="n"/>
      <c r="E122" s="20" t="n"/>
      <c r="F122" s="20" t="n"/>
      <c r="G122" s="20" t="n"/>
      <c r="H122" s="20" t="n"/>
      <c r="I122" s="20" t="n"/>
      <c r="J122" s="21" t="n"/>
      <c r="K122" s="20" t="n"/>
      <c r="L122" s="20" t="n"/>
    </row>
    <row r="123">
      <c r="A123" s="18" t="n"/>
      <c r="B123" s="19">
        <f>IF(OR(A123="",'Ponto de partida'!$B$5=""),"",INT((A123-'Ponto de partida'!$B$5)/7)+1)</f>
        <v/>
      </c>
      <c r="C123" s="20" t="n"/>
      <c r="D123" s="20" t="n"/>
      <c r="E123" s="20" t="n"/>
      <c r="F123" s="20" t="n"/>
      <c r="G123" s="20" t="n"/>
      <c r="H123" s="20" t="n"/>
      <c r="I123" s="20" t="n"/>
      <c r="J123" s="21" t="n"/>
      <c r="K123" s="20" t="n"/>
      <c r="L123" s="20" t="n"/>
    </row>
    <row r="124">
      <c r="A124" s="18" t="n"/>
      <c r="B124" s="19">
        <f>IF(OR(A124="",'Ponto de partida'!$B$5=""),"",INT((A124-'Ponto de partida'!$B$5)/7)+1)</f>
        <v/>
      </c>
      <c r="C124" s="20" t="n"/>
      <c r="D124" s="20" t="n"/>
      <c r="E124" s="20" t="n"/>
      <c r="F124" s="20" t="n"/>
      <c r="G124" s="20" t="n"/>
      <c r="H124" s="20" t="n"/>
      <c r="I124" s="20" t="n"/>
      <c r="J124" s="21" t="n"/>
      <c r="K124" s="20" t="n"/>
      <c r="L124" s="20" t="n"/>
    </row>
    <row r="125">
      <c r="A125" s="18" t="n"/>
      <c r="B125" s="19">
        <f>IF(OR(A125="",'Ponto de partida'!$B$5=""),"",INT((A125-'Ponto de partida'!$B$5)/7)+1)</f>
        <v/>
      </c>
      <c r="C125" s="20" t="n"/>
      <c r="D125" s="20" t="n"/>
      <c r="E125" s="20" t="n"/>
      <c r="F125" s="20" t="n"/>
      <c r="G125" s="20" t="n"/>
      <c r="H125" s="20" t="n"/>
      <c r="I125" s="20" t="n"/>
      <c r="J125" s="21" t="n"/>
      <c r="K125" s="20" t="n"/>
      <c r="L125" s="20" t="n"/>
    </row>
    <row r="126">
      <c r="A126" s="18" t="n"/>
      <c r="B126" s="19">
        <f>IF(OR(A126="",'Ponto de partida'!$B$5=""),"",INT((A126-'Ponto de partida'!$B$5)/7)+1)</f>
        <v/>
      </c>
      <c r="C126" s="20" t="n"/>
      <c r="D126" s="20" t="n"/>
      <c r="E126" s="20" t="n"/>
      <c r="F126" s="20" t="n"/>
      <c r="G126" s="20" t="n"/>
      <c r="H126" s="20" t="n"/>
      <c r="I126" s="20" t="n"/>
      <c r="J126" s="21" t="n"/>
      <c r="K126" s="20" t="n"/>
      <c r="L126" s="20" t="n"/>
    </row>
    <row r="127">
      <c r="A127" s="18" t="n"/>
      <c r="B127" s="19">
        <f>IF(OR(A127="",'Ponto de partida'!$B$5=""),"",INT((A127-'Ponto de partida'!$B$5)/7)+1)</f>
        <v/>
      </c>
      <c r="C127" s="20" t="n"/>
      <c r="D127" s="20" t="n"/>
      <c r="E127" s="20" t="n"/>
      <c r="F127" s="20" t="n"/>
      <c r="G127" s="20" t="n"/>
      <c r="H127" s="20" t="n"/>
      <c r="I127" s="20" t="n"/>
      <c r="J127" s="21" t="n"/>
      <c r="K127" s="20" t="n"/>
      <c r="L127" s="20" t="n"/>
    </row>
    <row r="128">
      <c r="A128" s="18" t="n"/>
      <c r="B128" s="19">
        <f>IF(OR(A128="",'Ponto de partida'!$B$5=""),"",INT((A128-'Ponto de partida'!$B$5)/7)+1)</f>
        <v/>
      </c>
      <c r="C128" s="20" t="n"/>
      <c r="D128" s="20" t="n"/>
      <c r="E128" s="20" t="n"/>
      <c r="F128" s="20" t="n"/>
      <c r="G128" s="20" t="n"/>
      <c r="H128" s="20" t="n"/>
      <c r="I128" s="20" t="n"/>
      <c r="J128" s="21" t="n"/>
      <c r="K128" s="20" t="n"/>
      <c r="L128" s="20" t="n"/>
    </row>
    <row r="129">
      <c r="A129" s="18" t="n"/>
      <c r="B129" s="19">
        <f>IF(OR(A129="",'Ponto de partida'!$B$5=""),"",INT((A129-'Ponto de partida'!$B$5)/7)+1)</f>
        <v/>
      </c>
      <c r="C129" s="20" t="n"/>
      <c r="D129" s="20" t="n"/>
      <c r="E129" s="20" t="n"/>
      <c r="F129" s="20" t="n"/>
      <c r="G129" s="20" t="n"/>
      <c r="H129" s="20" t="n"/>
      <c r="I129" s="20" t="n"/>
      <c r="J129" s="21" t="n"/>
      <c r="K129" s="20" t="n"/>
      <c r="L129" s="20" t="n"/>
    </row>
    <row r="130">
      <c r="A130" s="18" t="n"/>
      <c r="B130" s="19">
        <f>IF(OR(A130="",'Ponto de partida'!$B$5=""),"",INT((A130-'Ponto de partida'!$B$5)/7)+1)</f>
        <v/>
      </c>
      <c r="C130" s="20" t="n"/>
      <c r="D130" s="20" t="n"/>
      <c r="E130" s="20" t="n"/>
      <c r="F130" s="20" t="n"/>
      <c r="G130" s="20" t="n"/>
      <c r="H130" s="20" t="n"/>
      <c r="I130" s="20" t="n"/>
      <c r="J130" s="21" t="n"/>
      <c r="K130" s="20" t="n"/>
      <c r="L130" s="20" t="n"/>
    </row>
    <row r="131">
      <c r="A131" s="18" t="n"/>
      <c r="B131" s="19">
        <f>IF(OR(A131="",'Ponto de partida'!$B$5=""),"",INT((A131-'Ponto de partida'!$B$5)/7)+1)</f>
        <v/>
      </c>
      <c r="C131" s="20" t="n"/>
      <c r="D131" s="20" t="n"/>
      <c r="E131" s="20" t="n"/>
      <c r="F131" s="20" t="n"/>
      <c r="G131" s="20" t="n"/>
      <c r="H131" s="20" t="n"/>
      <c r="I131" s="20" t="n"/>
      <c r="J131" s="21" t="n"/>
      <c r="K131" s="20" t="n"/>
      <c r="L131" s="20" t="n"/>
    </row>
    <row r="132">
      <c r="A132" s="18" t="n"/>
      <c r="B132" s="19">
        <f>IF(OR(A132="",'Ponto de partida'!$B$5=""),"",INT((A132-'Ponto de partida'!$B$5)/7)+1)</f>
        <v/>
      </c>
      <c r="C132" s="20" t="n"/>
      <c r="D132" s="20" t="n"/>
      <c r="E132" s="20" t="n"/>
      <c r="F132" s="20" t="n"/>
      <c r="G132" s="20" t="n"/>
      <c r="H132" s="20" t="n"/>
      <c r="I132" s="20" t="n"/>
      <c r="J132" s="21" t="n"/>
      <c r="K132" s="20" t="n"/>
      <c r="L132" s="20" t="n"/>
    </row>
    <row r="133">
      <c r="A133" s="18" t="n"/>
      <c r="B133" s="19">
        <f>IF(OR(A133="",'Ponto de partida'!$B$5=""),"",INT((A133-'Ponto de partida'!$B$5)/7)+1)</f>
        <v/>
      </c>
      <c r="C133" s="20" t="n"/>
      <c r="D133" s="20" t="n"/>
      <c r="E133" s="20" t="n"/>
      <c r="F133" s="20" t="n"/>
      <c r="G133" s="20" t="n"/>
      <c r="H133" s="20" t="n"/>
      <c r="I133" s="20" t="n"/>
      <c r="J133" s="21" t="n"/>
      <c r="K133" s="20" t="n"/>
      <c r="L133" s="20" t="n"/>
    </row>
    <row r="134">
      <c r="A134" s="18" t="n"/>
      <c r="B134" s="19">
        <f>IF(OR(A134="",'Ponto de partida'!$B$5=""),"",INT((A134-'Ponto de partida'!$B$5)/7)+1)</f>
        <v/>
      </c>
      <c r="C134" s="20" t="n"/>
      <c r="D134" s="20" t="n"/>
      <c r="E134" s="20" t="n"/>
      <c r="F134" s="20" t="n"/>
      <c r="G134" s="20" t="n"/>
      <c r="H134" s="20" t="n"/>
      <c r="I134" s="20" t="n"/>
      <c r="J134" s="21" t="n"/>
      <c r="K134" s="20" t="n"/>
      <c r="L134" s="20" t="n"/>
    </row>
    <row r="135">
      <c r="A135" s="18" t="n"/>
      <c r="B135" s="19">
        <f>IF(OR(A135="",'Ponto de partida'!$B$5=""),"",INT((A135-'Ponto de partida'!$B$5)/7)+1)</f>
        <v/>
      </c>
      <c r="C135" s="20" t="n"/>
      <c r="D135" s="20" t="n"/>
      <c r="E135" s="20" t="n"/>
      <c r="F135" s="20" t="n"/>
      <c r="G135" s="20" t="n"/>
      <c r="H135" s="20" t="n"/>
      <c r="I135" s="20" t="n"/>
      <c r="J135" s="21" t="n"/>
      <c r="K135" s="20" t="n"/>
      <c r="L135" s="20" t="n"/>
    </row>
    <row r="136">
      <c r="A136" s="18" t="n"/>
      <c r="B136" s="19">
        <f>IF(OR(A136="",'Ponto de partida'!$B$5=""),"",INT((A136-'Ponto de partida'!$B$5)/7)+1)</f>
        <v/>
      </c>
      <c r="C136" s="20" t="n"/>
      <c r="D136" s="20" t="n"/>
      <c r="E136" s="20" t="n"/>
      <c r="F136" s="20" t="n"/>
      <c r="G136" s="20" t="n"/>
      <c r="H136" s="20" t="n"/>
      <c r="I136" s="20" t="n"/>
      <c r="J136" s="21" t="n"/>
      <c r="K136" s="20" t="n"/>
      <c r="L136" s="20" t="n"/>
    </row>
    <row r="137">
      <c r="A137" s="18" t="n"/>
      <c r="B137" s="19">
        <f>IF(OR(A137="",'Ponto de partida'!$B$5=""),"",INT((A137-'Ponto de partida'!$B$5)/7)+1)</f>
        <v/>
      </c>
      <c r="C137" s="20" t="n"/>
      <c r="D137" s="20" t="n"/>
      <c r="E137" s="20" t="n"/>
      <c r="F137" s="20" t="n"/>
      <c r="G137" s="20" t="n"/>
      <c r="H137" s="20" t="n"/>
      <c r="I137" s="20" t="n"/>
      <c r="J137" s="21" t="n"/>
      <c r="K137" s="20" t="n"/>
      <c r="L137" s="20" t="n"/>
    </row>
    <row r="138">
      <c r="A138" s="18" t="n"/>
      <c r="B138" s="19">
        <f>IF(OR(A138="",'Ponto de partida'!$B$5=""),"",INT((A138-'Ponto de partida'!$B$5)/7)+1)</f>
        <v/>
      </c>
      <c r="C138" s="20" t="n"/>
      <c r="D138" s="20" t="n"/>
      <c r="E138" s="20" t="n"/>
      <c r="F138" s="20" t="n"/>
      <c r="G138" s="20" t="n"/>
      <c r="H138" s="20" t="n"/>
      <c r="I138" s="20" t="n"/>
      <c r="J138" s="21" t="n"/>
      <c r="K138" s="20" t="n"/>
      <c r="L138" s="20" t="n"/>
    </row>
    <row r="139">
      <c r="A139" s="18" t="n"/>
      <c r="B139" s="19">
        <f>IF(OR(A139="",'Ponto de partida'!$B$5=""),"",INT((A139-'Ponto de partida'!$B$5)/7)+1)</f>
        <v/>
      </c>
      <c r="C139" s="20" t="n"/>
      <c r="D139" s="20" t="n"/>
      <c r="E139" s="20" t="n"/>
      <c r="F139" s="20" t="n"/>
      <c r="G139" s="20" t="n"/>
      <c r="H139" s="20" t="n"/>
      <c r="I139" s="20" t="n"/>
      <c r="J139" s="21" t="n"/>
      <c r="K139" s="20" t="n"/>
      <c r="L139" s="20" t="n"/>
    </row>
    <row r="140">
      <c r="A140" s="18" t="n"/>
      <c r="B140" s="19">
        <f>IF(OR(A140="",'Ponto de partida'!$B$5=""),"",INT((A140-'Ponto de partida'!$B$5)/7)+1)</f>
        <v/>
      </c>
      <c r="C140" s="20" t="n"/>
      <c r="D140" s="20" t="n"/>
      <c r="E140" s="20" t="n"/>
      <c r="F140" s="20" t="n"/>
      <c r="G140" s="20" t="n"/>
      <c r="H140" s="20" t="n"/>
      <c r="I140" s="20" t="n"/>
      <c r="J140" s="21" t="n"/>
      <c r="K140" s="20" t="n"/>
      <c r="L140" s="20" t="n"/>
    </row>
    <row r="141">
      <c r="A141" s="18" t="n"/>
      <c r="B141" s="19">
        <f>IF(OR(A141="",'Ponto de partida'!$B$5=""),"",INT((A141-'Ponto de partida'!$B$5)/7)+1)</f>
        <v/>
      </c>
      <c r="C141" s="20" t="n"/>
      <c r="D141" s="20" t="n"/>
      <c r="E141" s="20" t="n"/>
      <c r="F141" s="20" t="n"/>
      <c r="G141" s="20" t="n"/>
      <c r="H141" s="20" t="n"/>
      <c r="I141" s="20" t="n"/>
      <c r="J141" s="21" t="n"/>
      <c r="K141" s="20" t="n"/>
      <c r="L141" s="20" t="n"/>
    </row>
    <row r="142">
      <c r="A142" s="18" t="n"/>
      <c r="B142" s="19">
        <f>IF(OR(A142="",'Ponto de partida'!$B$5=""),"",INT((A142-'Ponto de partida'!$B$5)/7)+1)</f>
        <v/>
      </c>
      <c r="C142" s="20" t="n"/>
      <c r="D142" s="20" t="n"/>
      <c r="E142" s="20" t="n"/>
      <c r="F142" s="20" t="n"/>
      <c r="G142" s="20" t="n"/>
      <c r="H142" s="20" t="n"/>
      <c r="I142" s="20" t="n"/>
      <c r="J142" s="21" t="n"/>
      <c r="K142" s="20" t="n"/>
      <c r="L142" s="20" t="n"/>
    </row>
    <row r="143">
      <c r="A143" s="18" t="n"/>
      <c r="B143" s="19">
        <f>IF(OR(A143="",'Ponto de partida'!$B$5=""),"",INT((A143-'Ponto de partida'!$B$5)/7)+1)</f>
        <v/>
      </c>
      <c r="C143" s="20" t="n"/>
      <c r="D143" s="20" t="n"/>
      <c r="E143" s="20" t="n"/>
      <c r="F143" s="20" t="n"/>
      <c r="G143" s="20" t="n"/>
      <c r="H143" s="20" t="n"/>
      <c r="I143" s="20" t="n"/>
      <c r="J143" s="21" t="n"/>
      <c r="K143" s="20" t="n"/>
      <c r="L143" s="20" t="n"/>
    </row>
    <row r="144">
      <c r="A144" s="18" t="n"/>
      <c r="B144" s="19">
        <f>IF(OR(A144="",'Ponto de partida'!$B$5=""),"",INT((A144-'Ponto de partida'!$B$5)/7)+1)</f>
        <v/>
      </c>
      <c r="C144" s="20" t="n"/>
      <c r="D144" s="20" t="n"/>
      <c r="E144" s="20" t="n"/>
      <c r="F144" s="20" t="n"/>
      <c r="G144" s="20" t="n"/>
      <c r="H144" s="20" t="n"/>
      <c r="I144" s="20" t="n"/>
      <c r="J144" s="21" t="n"/>
      <c r="K144" s="20" t="n"/>
      <c r="L144" s="20" t="n"/>
    </row>
    <row r="145">
      <c r="A145" s="18" t="n"/>
      <c r="B145" s="19">
        <f>IF(OR(A145="",'Ponto de partida'!$B$5=""),"",INT((A145-'Ponto de partida'!$B$5)/7)+1)</f>
        <v/>
      </c>
      <c r="C145" s="20" t="n"/>
      <c r="D145" s="20" t="n"/>
      <c r="E145" s="20" t="n"/>
      <c r="F145" s="20" t="n"/>
      <c r="G145" s="20" t="n"/>
      <c r="H145" s="20" t="n"/>
      <c r="I145" s="20" t="n"/>
      <c r="J145" s="21" t="n"/>
      <c r="K145" s="20" t="n"/>
      <c r="L145" s="20" t="n"/>
    </row>
    <row r="146">
      <c r="A146" s="18" t="n"/>
      <c r="B146" s="19">
        <f>IF(OR(A146="",'Ponto de partida'!$B$5=""),"",INT((A146-'Ponto de partida'!$B$5)/7)+1)</f>
        <v/>
      </c>
      <c r="C146" s="20" t="n"/>
      <c r="D146" s="20" t="n"/>
      <c r="E146" s="20" t="n"/>
      <c r="F146" s="20" t="n"/>
      <c r="G146" s="20" t="n"/>
      <c r="H146" s="20" t="n"/>
      <c r="I146" s="20" t="n"/>
      <c r="J146" s="21" t="n"/>
      <c r="K146" s="20" t="n"/>
      <c r="L146" s="20" t="n"/>
    </row>
    <row r="147">
      <c r="A147" s="18" t="n"/>
      <c r="B147" s="19">
        <f>IF(OR(A147="",'Ponto de partida'!$B$5=""),"",INT((A147-'Ponto de partida'!$B$5)/7)+1)</f>
        <v/>
      </c>
      <c r="C147" s="20" t="n"/>
      <c r="D147" s="20" t="n"/>
      <c r="E147" s="20" t="n"/>
      <c r="F147" s="20" t="n"/>
      <c r="G147" s="20" t="n"/>
      <c r="H147" s="20" t="n"/>
      <c r="I147" s="20" t="n"/>
      <c r="J147" s="21" t="n"/>
      <c r="K147" s="20" t="n"/>
      <c r="L147" s="20" t="n"/>
    </row>
    <row r="148">
      <c r="A148" s="18" t="n"/>
      <c r="B148" s="19">
        <f>IF(OR(A148="",'Ponto de partida'!$B$5=""),"",INT((A148-'Ponto de partida'!$B$5)/7)+1)</f>
        <v/>
      </c>
      <c r="C148" s="20" t="n"/>
      <c r="D148" s="20" t="n"/>
      <c r="E148" s="20" t="n"/>
      <c r="F148" s="20" t="n"/>
      <c r="G148" s="20" t="n"/>
      <c r="H148" s="20" t="n"/>
      <c r="I148" s="20" t="n"/>
      <c r="J148" s="21" t="n"/>
      <c r="K148" s="20" t="n"/>
      <c r="L148" s="20" t="n"/>
    </row>
    <row r="149">
      <c r="A149" s="18" t="n"/>
      <c r="B149" s="19">
        <f>IF(OR(A149="",'Ponto de partida'!$B$5=""),"",INT((A149-'Ponto de partida'!$B$5)/7)+1)</f>
        <v/>
      </c>
      <c r="C149" s="20" t="n"/>
      <c r="D149" s="20" t="n"/>
      <c r="E149" s="20" t="n"/>
      <c r="F149" s="20" t="n"/>
      <c r="G149" s="20" t="n"/>
      <c r="H149" s="20" t="n"/>
      <c r="I149" s="20" t="n"/>
      <c r="J149" s="21" t="n"/>
      <c r="K149" s="20" t="n"/>
      <c r="L149" s="20" t="n"/>
    </row>
    <row r="150">
      <c r="A150" s="18" t="n"/>
      <c r="B150" s="19">
        <f>IF(OR(A150="",'Ponto de partida'!$B$5=""),"",INT((A150-'Ponto de partida'!$B$5)/7)+1)</f>
        <v/>
      </c>
      <c r="C150" s="20" t="n"/>
      <c r="D150" s="20" t="n"/>
      <c r="E150" s="20" t="n"/>
      <c r="F150" s="20" t="n"/>
      <c r="G150" s="20" t="n"/>
      <c r="H150" s="20" t="n"/>
      <c r="I150" s="20" t="n"/>
      <c r="J150" s="21" t="n"/>
      <c r="K150" s="20" t="n"/>
      <c r="L150" s="20" t="n"/>
    </row>
    <row r="151">
      <c r="A151" s="18" t="n"/>
      <c r="B151" s="19">
        <f>IF(OR(A151="",'Ponto de partida'!$B$5=""),"",INT((A151-'Ponto de partida'!$B$5)/7)+1)</f>
        <v/>
      </c>
      <c r="C151" s="20" t="n"/>
      <c r="D151" s="20" t="n"/>
      <c r="E151" s="20" t="n"/>
      <c r="F151" s="20" t="n"/>
      <c r="G151" s="20" t="n"/>
      <c r="H151" s="20" t="n"/>
      <c r="I151" s="20" t="n"/>
      <c r="J151" s="21" t="n"/>
      <c r="K151" s="20" t="n"/>
      <c r="L151" s="20" t="n"/>
    </row>
    <row r="152">
      <c r="A152" s="18" t="n"/>
      <c r="B152" s="19">
        <f>IF(OR(A152="",'Ponto de partida'!$B$5=""),"",INT((A152-'Ponto de partida'!$B$5)/7)+1)</f>
        <v/>
      </c>
      <c r="C152" s="20" t="n"/>
      <c r="D152" s="20" t="n"/>
      <c r="E152" s="20" t="n"/>
      <c r="F152" s="20" t="n"/>
      <c r="G152" s="20" t="n"/>
      <c r="H152" s="20" t="n"/>
      <c r="I152" s="20" t="n"/>
      <c r="J152" s="21" t="n"/>
      <c r="K152" s="20" t="n"/>
      <c r="L152" s="20" t="n"/>
    </row>
    <row r="153">
      <c r="A153" s="18" t="n"/>
      <c r="B153" s="19">
        <f>IF(OR(A153="",'Ponto de partida'!$B$5=""),"",INT((A153-'Ponto de partida'!$B$5)/7)+1)</f>
        <v/>
      </c>
      <c r="C153" s="20" t="n"/>
      <c r="D153" s="20" t="n"/>
      <c r="E153" s="20" t="n"/>
      <c r="F153" s="20" t="n"/>
      <c r="G153" s="20" t="n"/>
      <c r="H153" s="20" t="n"/>
      <c r="I153" s="20" t="n"/>
      <c r="J153" s="21" t="n"/>
      <c r="K153" s="20" t="n"/>
      <c r="L153" s="20" t="n"/>
    </row>
    <row r="154">
      <c r="A154" s="18" t="n"/>
      <c r="B154" s="19">
        <f>IF(OR(A154="",'Ponto de partida'!$B$5=""),"",INT((A154-'Ponto de partida'!$B$5)/7)+1)</f>
        <v/>
      </c>
      <c r="C154" s="20" t="n"/>
      <c r="D154" s="20" t="n"/>
      <c r="E154" s="20" t="n"/>
      <c r="F154" s="20" t="n"/>
      <c r="G154" s="20" t="n"/>
      <c r="H154" s="20" t="n"/>
      <c r="I154" s="20" t="n"/>
      <c r="J154" s="21" t="n"/>
      <c r="K154" s="20" t="n"/>
      <c r="L154" s="20" t="n"/>
    </row>
    <row r="155">
      <c r="A155" s="18" t="n"/>
      <c r="B155" s="19">
        <f>IF(OR(A155="",'Ponto de partida'!$B$5=""),"",INT((A155-'Ponto de partida'!$B$5)/7)+1)</f>
        <v/>
      </c>
      <c r="C155" s="20" t="n"/>
      <c r="D155" s="20" t="n"/>
      <c r="E155" s="20" t="n"/>
      <c r="F155" s="20" t="n"/>
      <c r="G155" s="20" t="n"/>
      <c r="H155" s="20" t="n"/>
      <c r="I155" s="20" t="n"/>
      <c r="J155" s="21" t="n"/>
      <c r="K155" s="20" t="n"/>
      <c r="L155" s="20" t="n"/>
    </row>
    <row r="156">
      <c r="A156" s="18" t="n"/>
      <c r="B156" s="19">
        <f>IF(OR(A156="",'Ponto de partida'!$B$5=""),"",INT((A156-'Ponto de partida'!$B$5)/7)+1)</f>
        <v/>
      </c>
      <c r="C156" s="20" t="n"/>
      <c r="D156" s="20" t="n"/>
      <c r="E156" s="20" t="n"/>
      <c r="F156" s="20" t="n"/>
      <c r="G156" s="20" t="n"/>
      <c r="H156" s="20" t="n"/>
      <c r="I156" s="20" t="n"/>
      <c r="J156" s="21" t="n"/>
      <c r="K156" s="20" t="n"/>
      <c r="L156" s="20" t="n"/>
    </row>
    <row r="157">
      <c r="A157" s="18" t="n"/>
      <c r="B157" s="19">
        <f>IF(OR(A157="",'Ponto de partida'!$B$5=""),"",INT((A157-'Ponto de partida'!$B$5)/7)+1)</f>
        <v/>
      </c>
      <c r="C157" s="20" t="n"/>
      <c r="D157" s="20" t="n"/>
      <c r="E157" s="20" t="n"/>
      <c r="F157" s="20" t="n"/>
      <c r="G157" s="20" t="n"/>
      <c r="H157" s="20" t="n"/>
      <c r="I157" s="20" t="n"/>
      <c r="J157" s="21" t="n"/>
      <c r="K157" s="20" t="n"/>
      <c r="L157" s="20" t="n"/>
    </row>
    <row r="158">
      <c r="A158" s="18" t="n"/>
      <c r="B158" s="19">
        <f>IF(OR(A158="",'Ponto de partida'!$B$5=""),"",INT((A158-'Ponto de partida'!$B$5)/7)+1)</f>
        <v/>
      </c>
      <c r="C158" s="20" t="n"/>
      <c r="D158" s="20" t="n"/>
      <c r="E158" s="20" t="n"/>
      <c r="F158" s="20" t="n"/>
      <c r="G158" s="20" t="n"/>
      <c r="H158" s="20" t="n"/>
      <c r="I158" s="20" t="n"/>
      <c r="J158" s="21" t="n"/>
      <c r="K158" s="20" t="n"/>
      <c r="L158" s="20" t="n"/>
    </row>
    <row r="159">
      <c r="A159" s="18" t="n"/>
      <c r="B159" s="19">
        <f>IF(OR(A159="",'Ponto de partida'!$B$5=""),"",INT((A159-'Ponto de partida'!$B$5)/7)+1)</f>
        <v/>
      </c>
      <c r="C159" s="20" t="n"/>
      <c r="D159" s="20" t="n"/>
      <c r="E159" s="20" t="n"/>
      <c r="F159" s="20" t="n"/>
      <c r="G159" s="20" t="n"/>
      <c r="H159" s="20" t="n"/>
      <c r="I159" s="20" t="n"/>
      <c r="J159" s="21" t="n"/>
      <c r="K159" s="20" t="n"/>
      <c r="L159" s="20" t="n"/>
    </row>
    <row r="160">
      <c r="A160" s="18" t="n"/>
      <c r="B160" s="19">
        <f>IF(OR(A160="",'Ponto de partida'!$B$5=""),"",INT((A160-'Ponto de partida'!$B$5)/7)+1)</f>
        <v/>
      </c>
      <c r="C160" s="20" t="n"/>
      <c r="D160" s="20" t="n"/>
      <c r="E160" s="20" t="n"/>
      <c r="F160" s="20" t="n"/>
      <c r="G160" s="20" t="n"/>
      <c r="H160" s="20" t="n"/>
      <c r="I160" s="20" t="n"/>
      <c r="J160" s="21" t="n"/>
      <c r="K160" s="20" t="n"/>
      <c r="L160" s="20" t="n"/>
    </row>
    <row r="161">
      <c r="A161" s="18" t="n"/>
      <c r="B161" s="19">
        <f>IF(OR(A161="",'Ponto de partida'!$B$5=""),"",INT((A161-'Ponto de partida'!$B$5)/7)+1)</f>
        <v/>
      </c>
      <c r="C161" s="20" t="n"/>
      <c r="D161" s="20" t="n"/>
      <c r="E161" s="20" t="n"/>
      <c r="F161" s="20" t="n"/>
      <c r="G161" s="20" t="n"/>
      <c r="H161" s="20" t="n"/>
      <c r="I161" s="20" t="n"/>
      <c r="J161" s="21" t="n"/>
      <c r="K161" s="20" t="n"/>
      <c r="L161" s="20" t="n"/>
    </row>
    <row r="162">
      <c r="A162" s="18" t="n"/>
      <c r="B162" s="19">
        <f>IF(OR(A162="",'Ponto de partida'!$B$5=""),"",INT((A162-'Ponto de partida'!$B$5)/7)+1)</f>
        <v/>
      </c>
      <c r="C162" s="20" t="n"/>
      <c r="D162" s="20" t="n"/>
      <c r="E162" s="20" t="n"/>
      <c r="F162" s="20" t="n"/>
      <c r="G162" s="20" t="n"/>
      <c r="H162" s="20" t="n"/>
      <c r="I162" s="20" t="n"/>
      <c r="J162" s="21" t="n"/>
      <c r="K162" s="20" t="n"/>
      <c r="L162" s="20" t="n"/>
    </row>
    <row r="163">
      <c r="A163" s="18" t="n"/>
      <c r="B163" s="19">
        <f>IF(OR(A163="",'Ponto de partida'!$B$5=""),"",INT((A163-'Ponto de partida'!$B$5)/7)+1)</f>
        <v/>
      </c>
      <c r="C163" s="20" t="n"/>
      <c r="D163" s="20" t="n"/>
      <c r="E163" s="20" t="n"/>
      <c r="F163" s="20" t="n"/>
      <c r="G163" s="20" t="n"/>
      <c r="H163" s="20" t="n"/>
      <c r="I163" s="20" t="n"/>
      <c r="J163" s="21" t="n"/>
      <c r="K163" s="20" t="n"/>
      <c r="L163" s="20" t="n"/>
    </row>
    <row r="164">
      <c r="A164" s="18" t="n"/>
      <c r="B164" s="19">
        <f>IF(OR(A164="",'Ponto de partida'!$B$5=""),"",INT((A164-'Ponto de partida'!$B$5)/7)+1)</f>
        <v/>
      </c>
      <c r="C164" s="20" t="n"/>
      <c r="D164" s="20" t="n"/>
      <c r="E164" s="20" t="n"/>
      <c r="F164" s="20" t="n"/>
      <c r="G164" s="20" t="n"/>
      <c r="H164" s="20" t="n"/>
      <c r="I164" s="20" t="n"/>
      <c r="J164" s="21" t="n"/>
      <c r="K164" s="20" t="n"/>
      <c r="L164" s="20" t="n"/>
    </row>
    <row r="165">
      <c r="A165" s="18" t="n"/>
      <c r="B165" s="19">
        <f>IF(OR(A165="",'Ponto de partida'!$B$5=""),"",INT((A165-'Ponto de partida'!$B$5)/7)+1)</f>
        <v/>
      </c>
      <c r="C165" s="20" t="n"/>
      <c r="D165" s="20" t="n"/>
      <c r="E165" s="20" t="n"/>
      <c r="F165" s="20" t="n"/>
      <c r="G165" s="20" t="n"/>
      <c r="H165" s="20" t="n"/>
      <c r="I165" s="20" t="n"/>
      <c r="J165" s="21" t="n"/>
      <c r="K165" s="20" t="n"/>
      <c r="L165" s="20" t="n"/>
    </row>
    <row r="166">
      <c r="A166" s="18" t="n"/>
      <c r="B166" s="19">
        <f>IF(OR(A166="",'Ponto de partida'!$B$5=""),"",INT((A166-'Ponto de partida'!$B$5)/7)+1)</f>
        <v/>
      </c>
      <c r="C166" s="20" t="n"/>
      <c r="D166" s="20" t="n"/>
      <c r="E166" s="20" t="n"/>
      <c r="F166" s="20" t="n"/>
      <c r="G166" s="20" t="n"/>
      <c r="H166" s="20" t="n"/>
      <c r="I166" s="20" t="n"/>
      <c r="J166" s="21" t="n"/>
      <c r="K166" s="20" t="n"/>
      <c r="L166" s="20" t="n"/>
    </row>
    <row r="167">
      <c r="A167" s="18" t="n"/>
      <c r="B167" s="19">
        <f>IF(OR(A167="",'Ponto de partida'!$B$5=""),"",INT((A167-'Ponto de partida'!$B$5)/7)+1)</f>
        <v/>
      </c>
      <c r="C167" s="20" t="n"/>
      <c r="D167" s="20" t="n"/>
      <c r="E167" s="20" t="n"/>
      <c r="F167" s="20" t="n"/>
      <c r="G167" s="20" t="n"/>
      <c r="H167" s="20" t="n"/>
      <c r="I167" s="20" t="n"/>
      <c r="J167" s="21" t="n"/>
      <c r="K167" s="20" t="n"/>
      <c r="L167" s="20" t="n"/>
    </row>
    <row r="168">
      <c r="A168" s="18" t="n"/>
      <c r="B168" s="19">
        <f>IF(OR(A168="",'Ponto de partida'!$B$5=""),"",INT((A168-'Ponto de partida'!$B$5)/7)+1)</f>
        <v/>
      </c>
      <c r="C168" s="20" t="n"/>
      <c r="D168" s="20" t="n"/>
      <c r="E168" s="20" t="n"/>
      <c r="F168" s="20" t="n"/>
      <c r="G168" s="20" t="n"/>
      <c r="H168" s="20" t="n"/>
      <c r="I168" s="20" t="n"/>
      <c r="J168" s="21" t="n"/>
      <c r="K168" s="20" t="n"/>
      <c r="L168" s="20" t="n"/>
    </row>
    <row r="169">
      <c r="A169" s="18" t="n"/>
      <c r="B169" s="19">
        <f>IF(OR(A169="",'Ponto de partida'!$B$5=""),"",INT((A169-'Ponto de partida'!$B$5)/7)+1)</f>
        <v/>
      </c>
      <c r="C169" s="20" t="n"/>
      <c r="D169" s="20" t="n"/>
      <c r="E169" s="20" t="n"/>
      <c r="F169" s="20" t="n"/>
      <c r="G169" s="20" t="n"/>
      <c r="H169" s="20" t="n"/>
      <c r="I169" s="20" t="n"/>
      <c r="J169" s="21" t="n"/>
      <c r="K169" s="20" t="n"/>
      <c r="L169" s="20" t="n"/>
    </row>
    <row r="170">
      <c r="A170" s="18" t="n"/>
      <c r="B170" s="19">
        <f>IF(OR(A170="",'Ponto de partida'!$B$5=""),"",INT((A170-'Ponto de partida'!$B$5)/7)+1)</f>
        <v/>
      </c>
      <c r="C170" s="20" t="n"/>
      <c r="D170" s="20" t="n"/>
      <c r="E170" s="20" t="n"/>
      <c r="F170" s="20" t="n"/>
      <c r="G170" s="20" t="n"/>
      <c r="H170" s="20" t="n"/>
      <c r="I170" s="20" t="n"/>
      <c r="J170" s="21" t="n"/>
      <c r="K170" s="20" t="n"/>
      <c r="L170" s="20" t="n"/>
    </row>
    <row r="171">
      <c r="A171" s="18" t="n"/>
      <c r="B171" s="19">
        <f>IF(OR(A171="",'Ponto de partida'!$B$5=""),"",INT((A171-'Ponto de partida'!$B$5)/7)+1)</f>
        <v/>
      </c>
      <c r="C171" s="20" t="n"/>
      <c r="D171" s="20" t="n"/>
      <c r="E171" s="20" t="n"/>
      <c r="F171" s="20" t="n"/>
      <c r="G171" s="20" t="n"/>
      <c r="H171" s="20" t="n"/>
      <c r="I171" s="20" t="n"/>
      <c r="J171" s="21" t="n"/>
      <c r="K171" s="20" t="n"/>
      <c r="L171" s="20" t="n"/>
    </row>
    <row r="172">
      <c r="A172" s="18" t="n"/>
      <c r="B172" s="19">
        <f>IF(OR(A172="",'Ponto de partida'!$B$5=""),"",INT((A172-'Ponto de partida'!$B$5)/7)+1)</f>
        <v/>
      </c>
      <c r="C172" s="20" t="n"/>
      <c r="D172" s="20" t="n"/>
      <c r="E172" s="20" t="n"/>
      <c r="F172" s="20" t="n"/>
      <c r="G172" s="20" t="n"/>
      <c r="H172" s="20" t="n"/>
      <c r="I172" s="20" t="n"/>
      <c r="J172" s="21" t="n"/>
      <c r="K172" s="20" t="n"/>
      <c r="L172" s="20" t="n"/>
    </row>
    <row r="173">
      <c r="A173" s="18" t="n"/>
      <c r="B173" s="19">
        <f>IF(OR(A173="",'Ponto de partida'!$B$5=""),"",INT((A173-'Ponto de partida'!$B$5)/7)+1)</f>
        <v/>
      </c>
      <c r="C173" s="20" t="n"/>
      <c r="D173" s="20" t="n"/>
      <c r="E173" s="20" t="n"/>
      <c r="F173" s="20" t="n"/>
      <c r="G173" s="20" t="n"/>
      <c r="H173" s="20" t="n"/>
      <c r="I173" s="20" t="n"/>
      <c r="J173" s="21" t="n"/>
      <c r="K173" s="20" t="n"/>
      <c r="L173" s="20" t="n"/>
    </row>
    <row r="174">
      <c r="A174" s="18" t="n"/>
      <c r="B174" s="19">
        <f>IF(OR(A174="",'Ponto de partida'!$B$5=""),"",INT((A174-'Ponto de partida'!$B$5)/7)+1)</f>
        <v/>
      </c>
      <c r="C174" s="20" t="n"/>
      <c r="D174" s="20" t="n"/>
      <c r="E174" s="20" t="n"/>
      <c r="F174" s="20" t="n"/>
      <c r="G174" s="20" t="n"/>
      <c r="H174" s="20" t="n"/>
      <c r="I174" s="20" t="n"/>
      <c r="J174" s="21" t="n"/>
      <c r="K174" s="20" t="n"/>
      <c r="L174" s="20" t="n"/>
    </row>
    <row r="175">
      <c r="A175" s="18" t="n"/>
      <c r="B175" s="19">
        <f>IF(OR(A175="",'Ponto de partida'!$B$5=""),"",INT((A175-'Ponto de partida'!$B$5)/7)+1)</f>
        <v/>
      </c>
      <c r="C175" s="20" t="n"/>
      <c r="D175" s="20" t="n"/>
      <c r="E175" s="20" t="n"/>
      <c r="F175" s="20" t="n"/>
      <c r="G175" s="20" t="n"/>
      <c r="H175" s="20" t="n"/>
      <c r="I175" s="20" t="n"/>
      <c r="J175" s="21" t="n"/>
      <c r="K175" s="20" t="n"/>
      <c r="L175" s="20" t="n"/>
    </row>
    <row r="176">
      <c r="A176" s="18" t="n"/>
      <c r="B176" s="19">
        <f>IF(OR(A176="",'Ponto de partida'!$B$5=""),"",INT((A176-'Ponto de partida'!$B$5)/7)+1)</f>
        <v/>
      </c>
      <c r="C176" s="20" t="n"/>
      <c r="D176" s="20" t="n"/>
      <c r="E176" s="20" t="n"/>
      <c r="F176" s="20" t="n"/>
      <c r="G176" s="20" t="n"/>
      <c r="H176" s="20" t="n"/>
      <c r="I176" s="20" t="n"/>
      <c r="J176" s="21" t="n"/>
      <c r="K176" s="20" t="n"/>
      <c r="L176" s="20" t="n"/>
    </row>
    <row r="177">
      <c r="A177" s="18" t="n"/>
      <c r="B177" s="19">
        <f>IF(OR(A177="",'Ponto de partida'!$B$5=""),"",INT((A177-'Ponto de partida'!$B$5)/7)+1)</f>
        <v/>
      </c>
      <c r="C177" s="20" t="n"/>
      <c r="D177" s="20" t="n"/>
      <c r="E177" s="20" t="n"/>
      <c r="F177" s="20" t="n"/>
      <c r="G177" s="20" t="n"/>
      <c r="H177" s="20" t="n"/>
      <c r="I177" s="20" t="n"/>
      <c r="J177" s="21" t="n"/>
      <c r="K177" s="20" t="n"/>
      <c r="L177" s="20" t="n"/>
    </row>
    <row r="178">
      <c r="A178" s="18" t="n"/>
      <c r="B178" s="19">
        <f>IF(OR(A178="",'Ponto de partida'!$B$5=""),"",INT((A178-'Ponto de partida'!$B$5)/7)+1)</f>
        <v/>
      </c>
      <c r="C178" s="20" t="n"/>
      <c r="D178" s="20" t="n"/>
      <c r="E178" s="20" t="n"/>
      <c r="F178" s="20" t="n"/>
      <c r="G178" s="20" t="n"/>
      <c r="H178" s="20" t="n"/>
      <c r="I178" s="20" t="n"/>
      <c r="J178" s="21" t="n"/>
      <c r="K178" s="20" t="n"/>
      <c r="L178" s="20" t="n"/>
    </row>
    <row r="179">
      <c r="A179" s="18" t="n"/>
      <c r="B179" s="19">
        <f>IF(OR(A179="",'Ponto de partida'!$B$5=""),"",INT((A179-'Ponto de partida'!$B$5)/7)+1)</f>
        <v/>
      </c>
      <c r="C179" s="20" t="n"/>
      <c r="D179" s="20" t="n"/>
      <c r="E179" s="20" t="n"/>
      <c r="F179" s="20" t="n"/>
      <c r="G179" s="20" t="n"/>
      <c r="H179" s="20" t="n"/>
      <c r="I179" s="20" t="n"/>
      <c r="J179" s="21" t="n"/>
      <c r="K179" s="20" t="n"/>
      <c r="L179" s="20" t="n"/>
    </row>
    <row r="180">
      <c r="A180" s="18" t="n"/>
      <c r="B180" s="19">
        <f>IF(OR(A180="",'Ponto de partida'!$B$5=""),"",INT((A180-'Ponto de partida'!$B$5)/7)+1)</f>
        <v/>
      </c>
      <c r="C180" s="20" t="n"/>
      <c r="D180" s="20" t="n"/>
      <c r="E180" s="20" t="n"/>
      <c r="F180" s="20" t="n"/>
      <c r="G180" s="20" t="n"/>
      <c r="H180" s="20" t="n"/>
      <c r="I180" s="20" t="n"/>
      <c r="J180" s="21" t="n"/>
      <c r="K180" s="20" t="n"/>
      <c r="L180" s="20" t="n"/>
    </row>
    <row r="181">
      <c r="A181" s="18" t="n"/>
      <c r="B181" s="19">
        <f>IF(OR(A181="",'Ponto de partida'!$B$5=""),"",INT((A181-'Ponto de partida'!$B$5)/7)+1)</f>
        <v/>
      </c>
      <c r="C181" s="20" t="n"/>
      <c r="D181" s="20" t="n"/>
      <c r="E181" s="20" t="n"/>
      <c r="F181" s="20" t="n"/>
      <c r="G181" s="20" t="n"/>
      <c r="H181" s="20" t="n"/>
      <c r="I181" s="20" t="n"/>
      <c r="J181" s="21" t="n"/>
      <c r="K181" s="20" t="n"/>
      <c r="L181" s="20" t="n"/>
    </row>
    <row r="182">
      <c r="A182" s="18" t="n"/>
      <c r="B182" s="19">
        <f>IF(OR(A182="",'Ponto de partida'!$B$5=""),"",INT((A182-'Ponto de partida'!$B$5)/7)+1)</f>
        <v/>
      </c>
      <c r="C182" s="20" t="n"/>
      <c r="D182" s="20" t="n"/>
      <c r="E182" s="20" t="n"/>
      <c r="F182" s="20" t="n"/>
      <c r="G182" s="20" t="n"/>
      <c r="H182" s="20" t="n"/>
      <c r="I182" s="20" t="n"/>
      <c r="J182" s="21" t="n"/>
      <c r="K182" s="20" t="n"/>
      <c r="L182" s="20" t="n"/>
    </row>
    <row r="183">
      <c r="A183" s="18" t="n"/>
      <c r="B183" s="19">
        <f>IF(OR(A183="",'Ponto de partida'!$B$5=""),"",INT((A183-'Ponto de partida'!$B$5)/7)+1)</f>
        <v/>
      </c>
      <c r="C183" s="20" t="n"/>
      <c r="D183" s="20" t="n"/>
      <c r="E183" s="20" t="n"/>
      <c r="F183" s="20" t="n"/>
      <c r="G183" s="20" t="n"/>
      <c r="H183" s="20" t="n"/>
      <c r="I183" s="20" t="n"/>
      <c r="J183" s="21" t="n"/>
      <c r="K183" s="20" t="n"/>
      <c r="L183" s="20" t="n"/>
    </row>
    <row r="184">
      <c r="A184" s="18" t="n"/>
      <c r="B184" s="19">
        <f>IF(OR(A184="",'Ponto de partida'!$B$5=""),"",INT((A184-'Ponto de partida'!$B$5)/7)+1)</f>
        <v/>
      </c>
      <c r="C184" s="20" t="n"/>
      <c r="D184" s="20" t="n"/>
      <c r="E184" s="20" t="n"/>
      <c r="F184" s="20" t="n"/>
      <c r="G184" s="20" t="n"/>
      <c r="H184" s="20" t="n"/>
      <c r="I184" s="20" t="n"/>
      <c r="J184" s="21" t="n"/>
      <c r="K184" s="20" t="n"/>
      <c r="L184" s="20" t="n"/>
    </row>
    <row r="185">
      <c r="A185" s="18" t="n"/>
      <c r="B185" s="19">
        <f>IF(OR(A185="",'Ponto de partida'!$B$5=""),"",INT((A185-'Ponto de partida'!$B$5)/7)+1)</f>
        <v/>
      </c>
      <c r="C185" s="20" t="n"/>
      <c r="D185" s="20" t="n"/>
      <c r="E185" s="20" t="n"/>
      <c r="F185" s="20" t="n"/>
      <c r="G185" s="20" t="n"/>
      <c r="H185" s="20" t="n"/>
      <c r="I185" s="20" t="n"/>
      <c r="J185" s="21" t="n"/>
      <c r="K185" s="20" t="n"/>
      <c r="L185" s="20" t="n"/>
    </row>
    <row r="186">
      <c r="A186" s="18" t="n"/>
      <c r="B186" s="19">
        <f>IF(OR(A186="",'Ponto de partida'!$B$5=""),"",INT((A186-'Ponto de partida'!$B$5)/7)+1)</f>
        <v/>
      </c>
      <c r="C186" s="20" t="n"/>
      <c r="D186" s="20" t="n"/>
      <c r="E186" s="20" t="n"/>
      <c r="F186" s="20" t="n"/>
      <c r="G186" s="20" t="n"/>
      <c r="H186" s="20" t="n"/>
      <c r="I186" s="20" t="n"/>
      <c r="J186" s="21" t="n"/>
      <c r="K186" s="20" t="n"/>
      <c r="L186" s="20" t="n"/>
    </row>
    <row r="187">
      <c r="A187" s="18" t="n"/>
      <c r="B187" s="19">
        <f>IF(OR(A187="",'Ponto de partida'!$B$5=""),"",INT((A187-'Ponto de partida'!$B$5)/7)+1)</f>
        <v/>
      </c>
      <c r="C187" s="20" t="n"/>
      <c r="D187" s="20" t="n"/>
      <c r="E187" s="20" t="n"/>
      <c r="F187" s="20" t="n"/>
      <c r="G187" s="20" t="n"/>
      <c r="H187" s="20" t="n"/>
      <c r="I187" s="20" t="n"/>
      <c r="J187" s="21" t="n"/>
      <c r="K187" s="20" t="n"/>
      <c r="L187" s="20" t="n"/>
    </row>
    <row r="188">
      <c r="A188" s="18" t="n"/>
      <c r="B188" s="19">
        <f>IF(OR(A188="",'Ponto de partida'!$B$5=""),"",INT((A188-'Ponto de partida'!$B$5)/7)+1)</f>
        <v/>
      </c>
      <c r="C188" s="20" t="n"/>
      <c r="D188" s="20" t="n"/>
      <c r="E188" s="20" t="n"/>
      <c r="F188" s="20" t="n"/>
      <c r="G188" s="20" t="n"/>
      <c r="H188" s="20" t="n"/>
      <c r="I188" s="20" t="n"/>
      <c r="J188" s="21" t="n"/>
      <c r="K188" s="20" t="n"/>
      <c r="L188" s="20" t="n"/>
    </row>
    <row r="189">
      <c r="A189" s="18" t="n"/>
      <c r="B189" s="19">
        <f>IF(OR(A189="",'Ponto de partida'!$B$5=""),"",INT((A189-'Ponto de partida'!$B$5)/7)+1)</f>
        <v/>
      </c>
      <c r="C189" s="20" t="n"/>
      <c r="D189" s="20" t="n"/>
      <c r="E189" s="20" t="n"/>
      <c r="F189" s="20" t="n"/>
      <c r="G189" s="20" t="n"/>
      <c r="H189" s="20" t="n"/>
      <c r="I189" s="20" t="n"/>
      <c r="J189" s="21" t="n"/>
      <c r="K189" s="20" t="n"/>
      <c r="L189" s="20" t="n"/>
    </row>
    <row r="190">
      <c r="A190" s="18" t="n"/>
      <c r="B190" s="19">
        <f>IF(OR(A190="",'Ponto de partida'!$B$5=""),"",INT((A190-'Ponto de partida'!$B$5)/7)+1)</f>
        <v/>
      </c>
      <c r="C190" s="20" t="n"/>
      <c r="D190" s="20" t="n"/>
      <c r="E190" s="20" t="n"/>
      <c r="F190" s="20" t="n"/>
      <c r="G190" s="20" t="n"/>
      <c r="H190" s="20" t="n"/>
      <c r="I190" s="20" t="n"/>
      <c r="J190" s="21" t="n"/>
      <c r="K190" s="20" t="n"/>
      <c r="L190" s="20" t="n"/>
    </row>
    <row r="191">
      <c r="A191" s="18" t="n"/>
      <c r="B191" s="19">
        <f>IF(OR(A191="",'Ponto de partida'!$B$5=""),"",INT((A191-'Ponto de partida'!$B$5)/7)+1)</f>
        <v/>
      </c>
      <c r="C191" s="20" t="n"/>
      <c r="D191" s="20" t="n"/>
      <c r="E191" s="20" t="n"/>
      <c r="F191" s="20" t="n"/>
      <c r="G191" s="20" t="n"/>
      <c r="H191" s="20" t="n"/>
      <c r="I191" s="20" t="n"/>
      <c r="J191" s="21" t="n"/>
      <c r="K191" s="20" t="n"/>
      <c r="L191" s="20" t="n"/>
    </row>
    <row r="192">
      <c r="A192" s="18" t="n"/>
      <c r="B192" s="19">
        <f>IF(OR(A192="",'Ponto de partida'!$B$5=""),"",INT((A192-'Ponto de partida'!$B$5)/7)+1)</f>
        <v/>
      </c>
      <c r="C192" s="20" t="n"/>
      <c r="D192" s="20" t="n"/>
      <c r="E192" s="20" t="n"/>
      <c r="F192" s="20" t="n"/>
      <c r="G192" s="20" t="n"/>
      <c r="H192" s="20" t="n"/>
      <c r="I192" s="20" t="n"/>
      <c r="J192" s="21" t="n"/>
      <c r="K192" s="20" t="n"/>
      <c r="L192" s="20" t="n"/>
    </row>
    <row r="193">
      <c r="A193" s="18" t="n"/>
      <c r="B193" s="19">
        <f>IF(OR(A193="",'Ponto de partida'!$B$5=""),"",INT((A193-'Ponto de partida'!$B$5)/7)+1)</f>
        <v/>
      </c>
      <c r="C193" s="20" t="n"/>
      <c r="D193" s="20" t="n"/>
      <c r="E193" s="20" t="n"/>
      <c r="F193" s="20" t="n"/>
      <c r="G193" s="20" t="n"/>
      <c r="H193" s="20" t="n"/>
      <c r="I193" s="20" t="n"/>
      <c r="J193" s="21" t="n"/>
      <c r="K193" s="20" t="n"/>
      <c r="L193" s="20" t="n"/>
    </row>
    <row r="194">
      <c r="A194" s="18" t="n"/>
      <c r="B194" s="19">
        <f>IF(OR(A194="",'Ponto de partida'!$B$5=""),"",INT((A194-'Ponto de partida'!$B$5)/7)+1)</f>
        <v/>
      </c>
      <c r="C194" s="20" t="n"/>
      <c r="D194" s="20" t="n"/>
      <c r="E194" s="20" t="n"/>
      <c r="F194" s="20" t="n"/>
      <c r="G194" s="20" t="n"/>
      <c r="H194" s="20" t="n"/>
      <c r="I194" s="20" t="n"/>
      <c r="J194" s="21" t="n"/>
      <c r="K194" s="20" t="n"/>
      <c r="L194" s="20" t="n"/>
    </row>
    <row r="195">
      <c r="A195" s="18" t="n"/>
      <c r="B195" s="19">
        <f>IF(OR(A195="",'Ponto de partida'!$B$5=""),"",INT((A195-'Ponto de partida'!$B$5)/7)+1)</f>
        <v/>
      </c>
      <c r="C195" s="20" t="n"/>
      <c r="D195" s="20" t="n"/>
      <c r="E195" s="20" t="n"/>
      <c r="F195" s="20" t="n"/>
      <c r="G195" s="20" t="n"/>
      <c r="H195" s="20" t="n"/>
      <c r="I195" s="20" t="n"/>
      <c r="J195" s="21" t="n"/>
      <c r="K195" s="20" t="n"/>
      <c r="L195" s="20" t="n"/>
    </row>
    <row r="196">
      <c r="A196" s="18" t="n"/>
      <c r="B196" s="19">
        <f>IF(OR(A196="",'Ponto de partida'!$B$5=""),"",INT((A196-'Ponto de partida'!$B$5)/7)+1)</f>
        <v/>
      </c>
      <c r="C196" s="20" t="n"/>
      <c r="D196" s="20" t="n"/>
      <c r="E196" s="20" t="n"/>
      <c r="F196" s="20" t="n"/>
      <c r="G196" s="20" t="n"/>
      <c r="H196" s="20" t="n"/>
      <c r="I196" s="20" t="n"/>
      <c r="J196" s="21" t="n"/>
      <c r="K196" s="20" t="n"/>
      <c r="L196" s="20" t="n"/>
    </row>
    <row r="197">
      <c r="A197" s="18" t="n"/>
      <c r="B197" s="19">
        <f>IF(OR(A197="",'Ponto de partida'!$B$5=""),"",INT((A197-'Ponto de partida'!$B$5)/7)+1)</f>
        <v/>
      </c>
      <c r="C197" s="20" t="n"/>
      <c r="D197" s="20" t="n"/>
      <c r="E197" s="20" t="n"/>
      <c r="F197" s="20" t="n"/>
      <c r="G197" s="20" t="n"/>
      <c r="H197" s="20" t="n"/>
      <c r="I197" s="20" t="n"/>
      <c r="J197" s="21" t="n"/>
      <c r="K197" s="20" t="n"/>
      <c r="L197" s="20" t="n"/>
    </row>
    <row r="198">
      <c r="A198" s="18" t="n"/>
      <c r="B198" s="19">
        <f>IF(OR(A198="",'Ponto de partida'!$B$5=""),"",INT((A198-'Ponto de partida'!$B$5)/7)+1)</f>
        <v/>
      </c>
      <c r="C198" s="20" t="n"/>
      <c r="D198" s="20" t="n"/>
      <c r="E198" s="20" t="n"/>
      <c r="F198" s="20" t="n"/>
      <c r="G198" s="20" t="n"/>
      <c r="H198" s="20" t="n"/>
      <c r="I198" s="20" t="n"/>
      <c r="J198" s="21" t="n"/>
      <c r="K198" s="20" t="n"/>
      <c r="L198" s="20" t="n"/>
    </row>
    <row r="199">
      <c r="A199" s="18" t="n"/>
      <c r="B199" s="19">
        <f>IF(OR(A199="",'Ponto de partida'!$B$5=""),"",INT((A199-'Ponto de partida'!$B$5)/7)+1)</f>
        <v/>
      </c>
      <c r="C199" s="20" t="n"/>
      <c r="D199" s="20" t="n"/>
      <c r="E199" s="20" t="n"/>
      <c r="F199" s="20" t="n"/>
      <c r="G199" s="20" t="n"/>
      <c r="H199" s="20" t="n"/>
      <c r="I199" s="20" t="n"/>
      <c r="J199" s="21" t="n"/>
      <c r="K199" s="20" t="n"/>
      <c r="L199" s="20" t="n"/>
    </row>
    <row r="200">
      <c r="A200" s="18" t="n"/>
      <c r="B200" s="19">
        <f>IF(OR(A200="",'Ponto de partida'!$B$5=""),"",INT((A200-'Ponto de partida'!$B$5)/7)+1)</f>
        <v/>
      </c>
      <c r="C200" s="20" t="n"/>
      <c r="D200" s="20" t="n"/>
      <c r="E200" s="20" t="n"/>
      <c r="F200" s="20" t="n"/>
      <c r="G200" s="20" t="n"/>
      <c r="H200" s="20" t="n"/>
      <c r="I200" s="20" t="n"/>
      <c r="J200" s="21" t="n"/>
      <c r="K200" s="20" t="n"/>
      <c r="L200" s="20" t="n"/>
    </row>
    <row r="201">
      <c r="A201" s="18" t="n"/>
      <c r="B201" s="19">
        <f>IF(OR(A201="",'Ponto de partida'!$B$5=""),"",INT((A201-'Ponto de partida'!$B$5)/7)+1)</f>
        <v/>
      </c>
      <c r="C201" s="20" t="n"/>
      <c r="D201" s="20" t="n"/>
      <c r="E201" s="20" t="n"/>
      <c r="F201" s="20" t="n"/>
      <c r="G201" s="20" t="n"/>
      <c r="H201" s="20" t="n"/>
      <c r="I201" s="20" t="n"/>
      <c r="J201" s="21" t="n"/>
      <c r="K201" s="20" t="n"/>
      <c r="L201" s="20" t="n"/>
    </row>
    <row r="202">
      <c r="A202" s="18" t="n"/>
      <c r="B202" s="19">
        <f>IF(OR(A202="",'Ponto de partida'!$B$5=""),"",INT((A202-'Ponto de partida'!$B$5)/7)+1)</f>
        <v/>
      </c>
      <c r="C202" s="20" t="n"/>
      <c r="D202" s="20" t="n"/>
      <c r="E202" s="20" t="n"/>
      <c r="F202" s="20" t="n"/>
      <c r="G202" s="20" t="n"/>
      <c r="H202" s="20" t="n"/>
      <c r="I202" s="20" t="n"/>
      <c r="J202" s="21" t="n"/>
      <c r="K202" s="20" t="n"/>
      <c r="L202" s="20" t="n"/>
    </row>
    <row r="203">
      <c r="A203" s="18" t="n"/>
      <c r="B203" s="19">
        <f>IF(OR(A203="",'Ponto de partida'!$B$5=""),"",INT((A203-'Ponto de partida'!$B$5)/7)+1)</f>
        <v/>
      </c>
      <c r="C203" s="20" t="n"/>
      <c r="D203" s="20" t="n"/>
      <c r="E203" s="20" t="n"/>
      <c r="F203" s="20" t="n"/>
      <c r="G203" s="20" t="n"/>
      <c r="H203" s="20" t="n"/>
      <c r="I203" s="20" t="n"/>
      <c r="J203" s="21" t="n"/>
      <c r="K203" s="20" t="n"/>
      <c r="L203" s="20" t="n"/>
    </row>
    <row r="204">
      <c r="A204" s="18" t="n"/>
      <c r="B204" s="19">
        <f>IF(OR(A204="",'Ponto de partida'!$B$5=""),"",INT((A204-'Ponto de partida'!$B$5)/7)+1)</f>
        <v/>
      </c>
      <c r="C204" s="20" t="n"/>
      <c r="D204" s="20" t="n"/>
      <c r="E204" s="20" t="n"/>
      <c r="F204" s="20" t="n"/>
      <c r="G204" s="20" t="n"/>
      <c r="H204" s="20" t="n"/>
      <c r="I204" s="20" t="n"/>
      <c r="J204" s="21" t="n"/>
      <c r="K204" s="20" t="n"/>
      <c r="L204" s="20" t="n"/>
    </row>
  </sheetData>
  <mergeCells count="1">
    <mergeCell ref="A2:L2"/>
  </mergeCells>
  <dataValidations count="2">
    <dataValidation sqref="D5:D204" showDropDown="0" showInputMessage="0" showErrorMessage="0" allowBlank="1" type="list">
      <formula1>"Rede próxima,Indicação,Comunidade,Contato direto,TikTok,Instagram,WhatsApp,Outro"</formula1>
    </dataValidation>
    <dataValidation sqref="F5:I204" showDropDown="0" showInputMessage="0" showErrorMessage="0" allowBlank="1" type="list">
      <formula1>"Sim,Não"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52" customWidth="1" min="2" max="2"/>
    <col width="40" customWidth="1" min="3" max="3"/>
    <col width="14" customWidth="1" min="4" max="4"/>
    <col width="36" customWidth="1" min="5" max="5"/>
  </cols>
  <sheetData>
    <row r="1">
      <c r="A1" s="1" t="inlineStr">
        <is>
          <t>Plano de 7 dias</t>
        </is>
      </c>
    </row>
    <row r="2">
      <c r="A2" s="4" t="inlineStr">
        <is>
          <t>Módulo 7. Marque o status de cada dia. Se atrasar, continue de onde parou.</t>
        </is>
      </c>
    </row>
    <row r="4" ht="30" customHeight="1">
      <c r="A4" s="5" t="inlineStr">
        <is>
          <t>Dia</t>
        </is>
      </c>
      <c r="B4" s="5" t="inlineStr">
        <is>
          <t>Tarefas</t>
        </is>
      </c>
      <c r="C4" s="5" t="inlineStr">
        <is>
          <t>Pronto quando</t>
        </is>
      </c>
      <c r="D4" s="5" t="inlineStr">
        <is>
          <t>Status</t>
        </is>
      </c>
      <c r="E4" s="5" t="inlineStr">
        <is>
          <t>Anotações</t>
        </is>
      </c>
    </row>
    <row r="5" ht="34" customHeight="1">
      <c r="A5" s="6" t="n">
        <v>1</v>
      </c>
      <c r="B5" s="8" t="inlineStr">
        <is>
          <t>Ponto de partida, lista de 20 problemas, 3 ideias</t>
        </is>
      </c>
      <c r="C5" s="8" t="inlineStr">
        <is>
          <t>Aba Ponto de partida completa e 3 ideias escritas</t>
        </is>
      </c>
      <c r="D5" s="9" t="inlineStr">
        <is>
          <t>A fazer</t>
        </is>
      </c>
      <c r="E5" s="9" t="n"/>
    </row>
    <row r="6" ht="34" customHeight="1">
      <c r="A6" s="6" t="n">
        <v>2</v>
      </c>
      <c r="B6" s="8" t="inlineStr">
        <is>
          <t>Matriz com evidências, ideia escolhida, método de validação</t>
        </is>
      </c>
      <c r="C6" s="8" t="inlineStr">
        <is>
          <t>Uma ideia com 35+ pontos e método escolhido</t>
        </is>
      </c>
      <c r="D6" s="9" t="inlineStr">
        <is>
          <t>A fazer</t>
        </is>
      </c>
      <c r="E6" s="9" t="n"/>
    </row>
    <row r="7" ht="34" customHeight="1">
      <c r="A7" s="6" t="n">
        <v>3</v>
      </c>
      <c r="B7" s="8" t="inlineStr">
        <is>
          <t>Oferta em uma página, preço mínimo, teste de explicação</t>
        </is>
      </c>
      <c r="C7" s="8" t="inlineStr">
        <is>
          <t>Alguém de fora explicou a oferta corretamente</t>
        </is>
      </c>
      <c r="D7" s="9" t="inlineStr">
        <is>
          <t>A fazer</t>
        </is>
      </c>
      <c r="E7" s="9" t="n"/>
    </row>
    <row r="8" ht="34" customHeight="1">
      <c r="A8" s="6" t="n">
        <v>4</v>
      </c>
      <c r="B8" s="8" t="inlineStr">
        <is>
          <t>Lista de 30 potenciais clientes, mensagens adaptadas, 10 envios</t>
        </is>
      </c>
      <c r="C8" s="8" t="inlineStr">
        <is>
          <t>10 mensagens enviadas e registradas</t>
        </is>
      </c>
      <c r="D8" s="9" t="inlineStr">
        <is>
          <t>A fazer</t>
        </is>
      </c>
      <c r="E8" s="9" t="n"/>
    </row>
    <row r="9" ht="34" customHeight="1">
      <c r="A9" s="6" t="n">
        <v>5</v>
      </c>
      <c r="B9" s="8" t="inlineStr">
        <is>
          <t>2 conteúdos publicados, mais 10 envios, responder quem respondeu</t>
        </is>
      </c>
      <c r="C9" s="8" t="inlineStr">
        <is>
          <t>2 conteúdos no ar e 20 mensagens no total</t>
        </is>
      </c>
      <c r="D9" s="9" t="inlineStr">
        <is>
          <t>A fazer</t>
        </is>
      </c>
      <c r="E9" s="9" t="n"/>
    </row>
    <row r="10" ht="34" customHeight="1">
      <c r="A10" s="6" t="n">
        <v>6</v>
      </c>
      <c r="B10" s="8" t="inlineStr">
        <is>
          <t>Diagnósticos e propostas, mais 10 envios, 1º acompanhamento</t>
        </is>
      </c>
      <c r="C10" s="8" t="inlineStr">
        <is>
          <t>Toda conversa aberta teve diagnóstico ou proposta</t>
        </is>
      </c>
      <c r="D10" s="9" t="inlineStr">
        <is>
          <t>A fazer</t>
        </is>
      </c>
      <c r="E10" s="9" t="n"/>
    </row>
    <row r="11" ht="34" customHeight="1">
      <c r="A11" s="6" t="n">
        <v>7</v>
      </c>
      <c r="B11" s="8" t="inlineStr">
        <is>
          <t>Revisão semanal e um ajuste escolhido</t>
        </is>
      </c>
      <c r="C11" s="8" t="inlineStr">
        <is>
          <t>Revisão preenchida e um único ajuste definido</t>
        </is>
      </c>
      <c r="D11" s="9" t="inlineStr">
        <is>
          <t>A fazer</t>
        </is>
      </c>
      <c r="E11" s="9" t="n"/>
    </row>
    <row r="14" ht="30" customHeight="1">
      <c r="A14" s="5" t="inlineStr">
        <is>
          <t>Dia</t>
        </is>
      </c>
      <c r="B14" s="5" t="inlineStr">
        <is>
          <t>Conteúdo planejado (Módulo 5)</t>
        </is>
      </c>
      <c r="C14" s="5" t="inlineStr">
        <is>
          <t>Função</t>
        </is>
      </c>
      <c r="D14" s="5" t="inlineStr">
        <is>
          <t>Status</t>
        </is>
      </c>
      <c r="E14" s="5" t="inlineStr">
        <is>
          <t>Gerou perguntas ou mensagens?</t>
        </is>
      </c>
    </row>
    <row r="15">
      <c r="A15" s="6" t="n">
        <v>1</v>
      </c>
      <c r="B15" s="9" t="n"/>
      <c r="C15" s="9" t="inlineStr">
        <is>
          <t>Educar</t>
        </is>
      </c>
      <c r="D15" s="9" t="inlineStr">
        <is>
          <t>A fazer</t>
        </is>
      </c>
      <c r="E15" s="9" t="n"/>
    </row>
    <row r="16">
      <c r="A16" s="6" t="n">
        <v>2</v>
      </c>
      <c r="B16" s="9" t="n"/>
      <c r="C16" s="9" t="inlineStr">
        <is>
          <t>Demonstrar</t>
        </is>
      </c>
      <c r="D16" s="9" t="inlineStr">
        <is>
          <t>A fazer</t>
        </is>
      </c>
      <c r="E16" s="9" t="n"/>
    </row>
    <row r="17">
      <c r="A17" s="6" t="n">
        <v>3</v>
      </c>
      <c r="B17" s="9" t="n"/>
      <c r="C17" s="9" t="inlineStr">
        <is>
          <t>Educar</t>
        </is>
      </c>
      <c r="D17" s="9" t="inlineStr">
        <is>
          <t>A fazer</t>
        </is>
      </c>
      <c r="E17" s="9" t="n"/>
    </row>
    <row r="18">
      <c r="A18" s="6" t="n">
        <v>4</v>
      </c>
      <c r="B18" s="9" t="n"/>
      <c r="C18" s="9" t="inlineStr">
        <is>
          <t>Quebrar objeção</t>
        </is>
      </c>
      <c r="D18" s="9" t="inlineStr">
        <is>
          <t>A fazer</t>
        </is>
      </c>
      <c r="E18" s="9" t="n"/>
    </row>
    <row r="19">
      <c r="A19" s="6" t="n">
        <v>5</v>
      </c>
      <c r="B19" s="9" t="n"/>
      <c r="C19" s="9" t="inlineStr">
        <is>
          <t>Demonstrar</t>
        </is>
      </c>
      <c r="D19" s="9" t="inlineStr">
        <is>
          <t>A fazer</t>
        </is>
      </c>
      <c r="E19" s="9" t="n"/>
    </row>
    <row r="20">
      <c r="A20" s="6" t="n">
        <v>6</v>
      </c>
      <c r="B20" s="9" t="n"/>
      <c r="C20" s="9" t="inlineStr">
        <is>
          <t>Provar</t>
        </is>
      </c>
      <c r="D20" s="9" t="inlineStr">
        <is>
          <t>A fazer</t>
        </is>
      </c>
      <c r="E20" s="9" t="n"/>
    </row>
    <row r="21">
      <c r="A21" s="6" t="n">
        <v>7</v>
      </c>
      <c r="B21" s="9" t="n"/>
      <c r="C21" s="9" t="inlineStr">
        <is>
          <t>Convidar</t>
        </is>
      </c>
      <c r="D21" s="9" t="inlineStr">
        <is>
          <t>A fazer</t>
        </is>
      </c>
      <c r="E21" s="9" t="n"/>
    </row>
  </sheetData>
  <dataValidations count="3">
    <dataValidation sqref="D5:D11" showDropDown="0" showInputMessage="0" showErrorMessage="0" allowBlank="1" type="list">
      <formula1>"A fazer,Fazendo,Feito"</formula1>
    </dataValidation>
    <dataValidation sqref="D15:D21" showDropDown="0" showInputMessage="0" showErrorMessage="0" allowBlank="1" type="list">
      <formula1>"A fazer,Publicado"</formula1>
    </dataValidation>
    <dataValidation sqref="E15:E21" showDropDown="0" showInputMessage="0" showErrorMessage="0" allowBlank="1" type="list">
      <formula1>"Sim,Não"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3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11" customWidth="1" min="4" max="4"/>
    <col width="11" customWidth="1" min="5" max="5"/>
    <col width="9" customWidth="1" min="6" max="6"/>
    <col width="12" customWidth="1" min="7" max="7"/>
    <col width="12" customWidth="1" min="8" max="8"/>
    <col width="12" customWidth="1" min="9" max="9"/>
    <col width="13" customWidth="1" min="10" max="10"/>
    <col width="22" customWidth="1" min="11" max="11"/>
  </cols>
  <sheetData>
    <row r="1">
      <c r="A1" s="1" t="inlineStr">
        <is>
          <t>Revisão semanal</t>
        </is>
      </c>
    </row>
    <row r="2" ht="30" customHeight="1">
      <c r="A2" s="4" t="inlineStr">
        <is>
          <t>Módulo 7. Os números vêm do Registro de contatos. Com menos de 30 contatos na semana, trate as taxas como pista, não como prova.</t>
        </is>
      </c>
    </row>
    <row r="4" ht="30" customHeight="1">
      <c r="A4" s="5" t="inlineStr">
        <is>
          <t>Semana</t>
        </is>
      </c>
      <c r="B4" s="5" t="inlineStr">
        <is>
          <t>Contatados</t>
        </is>
      </c>
      <c r="C4" s="5" t="inlineStr">
        <is>
          <t>Responderam</t>
        </is>
      </c>
      <c r="D4" s="5" t="inlineStr">
        <is>
          <t>Conversas</t>
        </is>
      </c>
      <c r="E4" s="5" t="inlineStr">
        <is>
          <t>Propostas</t>
        </is>
      </c>
      <c r="F4" s="5" t="inlineStr">
        <is>
          <t>Vendas</t>
        </is>
      </c>
      <c r="G4" s="5" t="inlineStr">
        <is>
          <t>Taxa de resposta</t>
        </is>
      </c>
      <c r="H4" s="5" t="inlineStr">
        <is>
          <t>Taxa de conversa</t>
        </is>
      </c>
      <c r="I4" s="5" t="inlineStr">
        <is>
          <t>Taxa de proposta</t>
        </is>
      </c>
      <c r="J4" s="5" t="inlineStr">
        <is>
          <t>Taxa de fechamento</t>
        </is>
      </c>
      <c r="K4" s="5" t="inlineStr">
        <is>
          <t>Etapa mais fraca</t>
        </is>
      </c>
    </row>
    <row r="5">
      <c r="A5" s="6" t="n">
        <v>1</v>
      </c>
      <c r="B5" s="11">
        <f>COUNTIF('Registro de contatos'!$B$5:$B$204,A5)</f>
        <v/>
      </c>
      <c r="C5" s="11">
        <f>COUNTIFS('Registro de contatos'!$B$5:$B$204,A5,'Registro de contatos'!$F$5:$F$204,"Sim")</f>
        <v/>
      </c>
      <c r="D5" s="11">
        <f>COUNTIFS('Registro de contatos'!$B$5:$B$204,A5,'Registro de contatos'!$G$5:$G$204,"Sim")</f>
        <v/>
      </c>
      <c r="E5" s="11">
        <f>COUNTIFS('Registro de contatos'!$B$5:$B$204,A5,'Registro de contatos'!$H$5:$H$204,"Sim")</f>
        <v/>
      </c>
      <c r="F5" s="11">
        <f>COUNTIFS('Registro de contatos'!$B$5:$B$204,A5,'Registro de contatos'!$I$5:$I$204,"Sim")</f>
        <v/>
      </c>
      <c r="G5" s="22">
        <f>IF(B5=0,"",C5/B5)</f>
        <v/>
      </c>
      <c r="H5" s="22">
        <f>IF(C5=0,"",D5/C5)</f>
        <v/>
      </c>
      <c r="I5" s="22">
        <f>IF(D5=0,"",E5/D5)</f>
        <v/>
      </c>
      <c r="J5" s="22">
        <f>IF(E5=0,"",F5/E5)</f>
        <v/>
      </c>
      <c r="K5" s="11">
        <f>IF(B5=0,"",IF(C5=0,"Resposta",IF(D5=0,"Conversa",IF(E5=0,"Proposta",IF(F5=0,"Fechamento",INDEX({"Resposta","Conversa","Proposta","Fechamento"},MATCH(MIN(G5:J5),G5:J5,0)))))))</f>
        <v/>
      </c>
    </row>
    <row r="6">
      <c r="A6" s="6" t="n">
        <v>2</v>
      </c>
      <c r="B6" s="11">
        <f>COUNTIF('Registro de contatos'!$B$5:$B$204,A6)</f>
        <v/>
      </c>
      <c r="C6" s="11">
        <f>COUNTIFS('Registro de contatos'!$B$5:$B$204,A6,'Registro de contatos'!$F$5:$F$204,"Sim")</f>
        <v/>
      </c>
      <c r="D6" s="11">
        <f>COUNTIFS('Registro de contatos'!$B$5:$B$204,A6,'Registro de contatos'!$G$5:$G$204,"Sim")</f>
        <v/>
      </c>
      <c r="E6" s="11">
        <f>COUNTIFS('Registro de contatos'!$B$5:$B$204,A6,'Registro de contatos'!$H$5:$H$204,"Sim")</f>
        <v/>
      </c>
      <c r="F6" s="11">
        <f>COUNTIFS('Registro de contatos'!$B$5:$B$204,A6,'Registro de contatos'!$I$5:$I$204,"Sim")</f>
        <v/>
      </c>
      <c r="G6" s="22">
        <f>IF(B6=0,"",C6/B6)</f>
        <v/>
      </c>
      <c r="H6" s="22">
        <f>IF(C6=0,"",D6/C6)</f>
        <v/>
      </c>
      <c r="I6" s="22">
        <f>IF(D6=0,"",E6/D6)</f>
        <v/>
      </c>
      <c r="J6" s="22">
        <f>IF(E6=0,"",F6/E6)</f>
        <v/>
      </c>
      <c r="K6" s="11">
        <f>IF(B6=0,"",IF(C6=0,"Resposta",IF(D6=0,"Conversa",IF(E6=0,"Proposta",IF(F6=0,"Fechamento",INDEX({"Resposta","Conversa","Proposta","Fechamento"},MATCH(MIN(G6:J6),G6:J6,0)))))))</f>
        <v/>
      </c>
    </row>
    <row r="7">
      <c r="A7" s="6" t="n">
        <v>3</v>
      </c>
      <c r="B7" s="11">
        <f>COUNTIF('Registro de contatos'!$B$5:$B$204,A7)</f>
        <v/>
      </c>
      <c r="C7" s="11">
        <f>COUNTIFS('Registro de contatos'!$B$5:$B$204,A7,'Registro de contatos'!$F$5:$F$204,"Sim")</f>
        <v/>
      </c>
      <c r="D7" s="11">
        <f>COUNTIFS('Registro de contatos'!$B$5:$B$204,A7,'Registro de contatos'!$G$5:$G$204,"Sim")</f>
        <v/>
      </c>
      <c r="E7" s="11">
        <f>COUNTIFS('Registro de contatos'!$B$5:$B$204,A7,'Registro de contatos'!$H$5:$H$204,"Sim")</f>
        <v/>
      </c>
      <c r="F7" s="11">
        <f>COUNTIFS('Registro de contatos'!$B$5:$B$204,A7,'Registro de contatos'!$I$5:$I$204,"Sim")</f>
        <v/>
      </c>
      <c r="G7" s="22">
        <f>IF(B7=0,"",C7/B7)</f>
        <v/>
      </c>
      <c r="H7" s="22">
        <f>IF(C7=0,"",D7/C7)</f>
        <v/>
      </c>
      <c r="I7" s="22">
        <f>IF(D7=0,"",E7/D7)</f>
        <v/>
      </c>
      <c r="J7" s="22">
        <f>IF(E7=0,"",F7/E7)</f>
        <v/>
      </c>
      <c r="K7" s="11">
        <f>IF(B7=0,"",IF(C7=0,"Resposta",IF(D7=0,"Conversa",IF(E7=0,"Proposta",IF(F7=0,"Fechamento",INDEX({"Resposta","Conversa","Proposta","Fechamento"},MATCH(MIN(G7:J7),G7:J7,0)))))))</f>
        <v/>
      </c>
    </row>
    <row r="8">
      <c r="A8" s="6" t="n">
        <v>4</v>
      </c>
      <c r="B8" s="11">
        <f>COUNTIF('Registro de contatos'!$B$5:$B$204,A8)</f>
        <v/>
      </c>
      <c r="C8" s="11">
        <f>COUNTIFS('Registro de contatos'!$B$5:$B$204,A8,'Registro de contatos'!$F$5:$F$204,"Sim")</f>
        <v/>
      </c>
      <c r="D8" s="11">
        <f>COUNTIFS('Registro de contatos'!$B$5:$B$204,A8,'Registro de contatos'!$G$5:$G$204,"Sim")</f>
        <v/>
      </c>
      <c r="E8" s="11">
        <f>COUNTIFS('Registro de contatos'!$B$5:$B$204,A8,'Registro de contatos'!$H$5:$H$204,"Sim")</f>
        <v/>
      </c>
      <c r="F8" s="11">
        <f>COUNTIFS('Registro de contatos'!$B$5:$B$204,A8,'Registro de contatos'!$I$5:$I$204,"Sim")</f>
        <v/>
      </c>
      <c r="G8" s="22">
        <f>IF(B8=0,"",C8/B8)</f>
        <v/>
      </c>
      <c r="H8" s="22">
        <f>IF(C8=0,"",D8/C8)</f>
        <v/>
      </c>
      <c r="I8" s="22">
        <f>IF(D8=0,"",E8/D8)</f>
        <v/>
      </c>
      <c r="J8" s="22">
        <f>IF(E8=0,"",F8/E8)</f>
        <v/>
      </c>
      <c r="K8" s="11">
        <f>IF(B8=0,"",IF(C8=0,"Resposta",IF(D8=0,"Conversa",IF(E8=0,"Proposta",IF(F8=0,"Fechamento",INDEX({"Resposta","Conversa","Proposta","Fechamento"},MATCH(MIN(G8:J8),G8:J8,0)))))))</f>
        <v/>
      </c>
    </row>
    <row r="9">
      <c r="A9" s="6" t="n">
        <v>5</v>
      </c>
      <c r="B9" s="11">
        <f>COUNTIF('Registro de contatos'!$B$5:$B$204,A9)</f>
        <v/>
      </c>
      <c r="C9" s="11">
        <f>COUNTIFS('Registro de contatos'!$B$5:$B$204,A9,'Registro de contatos'!$F$5:$F$204,"Sim")</f>
        <v/>
      </c>
      <c r="D9" s="11">
        <f>COUNTIFS('Registro de contatos'!$B$5:$B$204,A9,'Registro de contatos'!$G$5:$G$204,"Sim")</f>
        <v/>
      </c>
      <c r="E9" s="11">
        <f>COUNTIFS('Registro de contatos'!$B$5:$B$204,A9,'Registro de contatos'!$H$5:$H$204,"Sim")</f>
        <v/>
      </c>
      <c r="F9" s="11">
        <f>COUNTIFS('Registro de contatos'!$B$5:$B$204,A9,'Registro de contatos'!$I$5:$I$204,"Sim")</f>
        <v/>
      </c>
      <c r="G9" s="22">
        <f>IF(B9=0,"",C9/B9)</f>
        <v/>
      </c>
      <c r="H9" s="22">
        <f>IF(C9=0,"",D9/C9)</f>
        <v/>
      </c>
      <c r="I9" s="22">
        <f>IF(D9=0,"",E9/D9)</f>
        <v/>
      </c>
      <c r="J9" s="22">
        <f>IF(E9=0,"",F9/E9)</f>
        <v/>
      </c>
      <c r="K9" s="11">
        <f>IF(B9=0,"",IF(C9=0,"Resposta",IF(D9=0,"Conversa",IF(E9=0,"Proposta",IF(F9=0,"Fechamento",INDEX({"Resposta","Conversa","Proposta","Fechamento"},MATCH(MIN(G9:J9),G9:J9,0)))))))</f>
        <v/>
      </c>
    </row>
    <row r="10">
      <c r="A10" s="6" t="n">
        <v>6</v>
      </c>
      <c r="B10" s="11">
        <f>COUNTIF('Registro de contatos'!$B$5:$B$204,A10)</f>
        <v/>
      </c>
      <c r="C10" s="11">
        <f>COUNTIFS('Registro de contatos'!$B$5:$B$204,A10,'Registro de contatos'!$F$5:$F$204,"Sim")</f>
        <v/>
      </c>
      <c r="D10" s="11">
        <f>COUNTIFS('Registro de contatos'!$B$5:$B$204,A10,'Registro de contatos'!$G$5:$G$204,"Sim")</f>
        <v/>
      </c>
      <c r="E10" s="11">
        <f>COUNTIFS('Registro de contatos'!$B$5:$B$204,A10,'Registro de contatos'!$H$5:$H$204,"Sim")</f>
        <v/>
      </c>
      <c r="F10" s="11">
        <f>COUNTIFS('Registro de contatos'!$B$5:$B$204,A10,'Registro de contatos'!$I$5:$I$204,"Sim")</f>
        <v/>
      </c>
      <c r="G10" s="22">
        <f>IF(B10=0,"",C10/B10)</f>
        <v/>
      </c>
      <c r="H10" s="22">
        <f>IF(C10=0,"",D10/C10)</f>
        <v/>
      </c>
      <c r="I10" s="22">
        <f>IF(D10=0,"",E10/D10)</f>
        <v/>
      </c>
      <c r="J10" s="22">
        <f>IF(E10=0,"",F10/E10)</f>
        <v/>
      </c>
      <c r="K10" s="11">
        <f>IF(B10=0,"",IF(C10=0,"Resposta",IF(D10=0,"Conversa",IF(E10=0,"Proposta",IF(F10=0,"Fechamento",INDEX({"Resposta","Conversa","Proposta","Fechamento"},MATCH(MIN(G10:J10),G10:J10,0)))))))</f>
        <v/>
      </c>
    </row>
    <row r="11">
      <c r="A11" s="6" t="n">
        <v>7</v>
      </c>
      <c r="B11" s="11">
        <f>COUNTIF('Registro de contatos'!$B$5:$B$204,A11)</f>
        <v/>
      </c>
      <c r="C11" s="11">
        <f>COUNTIFS('Registro de contatos'!$B$5:$B$204,A11,'Registro de contatos'!$F$5:$F$204,"Sim")</f>
        <v/>
      </c>
      <c r="D11" s="11">
        <f>COUNTIFS('Registro de contatos'!$B$5:$B$204,A11,'Registro de contatos'!$G$5:$G$204,"Sim")</f>
        <v/>
      </c>
      <c r="E11" s="11">
        <f>COUNTIFS('Registro de contatos'!$B$5:$B$204,A11,'Registro de contatos'!$H$5:$H$204,"Sim")</f>
        <v/>
      </c>
      <c r="F11" s="11">
        <f>COUNTIFS('Registro de contatos'!$B$5:$B$204,A11,'Registro de contatos'!$I$5:$I$204,"Sim")</f>
        <v/>
      </c>
      <c r="G11" s="22">
        <f>IF(B11=0,"",C11/B11)</f>
        <v/>
      </c>
      <c r="H11" s="22">
        <f>IF(C11=0,"",D11/C11)</f>
        <v/>
      </c>
      <c r="I11" s="22">
        <f>IF(D11=0,"",E11/D11)</f>
        <v/>
      </c>
      <c r="J11" s="22">
        <f>IF(E11=0,"",F11/E11)</f>
        <v/>
      </c>
      <c r="K11" s="11">
        <f>IF(B11=0,"",IF(C11=0,"Resposta",IF(D11=0,"Conversa",IF(E11=0,"Proposta",IF(F11=0,"Fechamento",INDEX({"Resposta","Conversa","Proposta","Fechamento"},MATCH(MIN(G11:J11),G11:J11,0)))))))</f>
        <v/>
      </c>
    </row>
    <row r="12">
      <c r="A12" s="6" t="n">
        <v>8</v>
      </c>
      <c r="B12" s="11">
        <f>COUNTIF('Registro de contatos'!$B$5:$B$204,A12)</f>
        <v/>
      </c>
      <c r="C12" s="11">
        <f>COUNTIFS('Registro de contatos'!$B$5:$B$204,A12,'Registro de contatos'!$F$5:$F$204,"Sim")</f>
        <v/>
      </c>
      <c r="D12" s="11">
        <f>COUNTIFS('Registro de contatos'!$B$5:$B$204,A12,'Registro de contatos'!$G$5:$G$204,"Sim")</f>
        <v/>
      </c>
      <c r="E12" s="11">
        <f>COUNTIFS('Registro de contatos'!$B$5:$B$204,A12,'Registro de contatos'!$H$5:$H$204,"Sim")</f>
        <v/>
      </c>
      <c r="F12" s="11">
        <f>COUNTIFS('Registro de contatos'!$B$5:$B$204,A12,'Registro de contatos'!$I$5:$I$204,"Sim")</f>
        <v/>
      </c>
      <c r="G12" s="22">
        <f>IF(B12=0,"",C12/B12)</f>
        <v/>
      </c>
      <c r="H12" s="22">
        <f>IF(C12=0,"",D12/C12)</f>
        <v/>
      </c>
      <c r="I12" s="22">
        <f>IF(D12=0,"",E12/D12)</f>
        <v/>
      </c>
      <c r="J12" s="22">
        <f>IF(E12=0,"",F12/E12)</f>
        <v/>
      </c>
      <c r="K12" s="11">
        <f>IF(B12=0,"",IF(C12=0,"Resposta",IF(D12=0,"Conversa",IF(E12=0,"Proposta",IF(F12=0,"Fechamento",INDEX({"Resposta","Conversa","Proposta","Fechamento"},MATCH(MIN(G12:J12),G12:J12,0)))))))</f>
        <v/>
      </c>
    </row>
    <row r="15" ht="30" customHeight="1">
      <c r="A15" s="5" t="inlineStr">
        <is>
          <t>Semana</t>
        </is>
      </c>
      <c r="B15" s="5" t="inlineStr">
        <is>
          <t>3 frases literais de potenciais clientes</t>
        </is>
      </c>
      <c r="C15" s="5" t="inlineStr"/>
      <c r="D15" s="5" t="inlineStr"/>
      <c r="E15" s="5" t="inlineStr">
        <is>
          <t>Objeções repetidas</t>
        </is>
      </c>
      <c r="F15" s="5" t="inlineStr"/>
      <c r="G15" s="5" t="inlineStr"/>
      <c r="H15" s="5" t="inlineStr">
        <is>
          <t>Conteúdo que gerou mensagens</t>
        </is>
      </c>
      <c r="I15" s="5" t="inlineStr"/>
      <c r="J15" s="5" t="inlineStr"/>
      <c r="K15" s="5" t="inlineStr">
        <is>
          <t>Único ajuste da próxima semana</t>
        </is>
      </c>
    </row>
    <row r="16" ht="40" customHeight="1">
      <c r="A16" s="6" t="n">
        <v>1</v>
      </c>
      <c r="B16" s="9" t="n"/>
      <c r="E16" s="9" t="n"/>
      <c r="H16" s="9" t="n"/>
      <c r="K16" s="9" t="n"/>
    </row>
    <row r="17" ht="40" customHeight="1">
      <c r="A17" s="6" t="n">
        <v>2</v>
      </c>
      <c r="B17" s="9" t="n"/>
      <c r="E17" s="9" t="n"/>
      <c r="H17" s="9" t="n"/>
      <c r="K17" s="9" t="n"/>
    </row>
    <row r="18" ht="40" customHeight="1">
      <c r="A18" s="6" t="n">
        <v>3</v>
      </c>
      <c r="B18" s="9" t="n"/>
      <c r="E18" s="9" t="n"/>
      <c r="H18" s="9" t="n"/>
      <c r="K18" s="9" t="n"/>
    </row>
    <row r="19" ht="40" customHeight="1">
      <c r="A19" s="6" t="n">
        <v>4</v>
      </c>
      <c r="B19" s="9" t="n"/>
      <c r="E19" s="9" t="n"/>
      <c r="H19" s="9" t="n"/>
      <c r="K19" s="9" t="n"/>
    </row>
    <row r="20" ht="40" customHeight="1">
      <c r="A20" s="6" t="n">
        <v>5</v>
      </c>
      <c r="B20" s="9" t="n"/>
      <c r="E20" s="9" t="n"/>
      <c r="H20" s="9" t="n"/>
      <c r="K20" s="9" t="n"/>
    </row>
    <row r="21" ht="40" customHeight="1">
      <c r="A21" s="6" t="n">
        <v>6</v>
      </c>
      <c r="B21" s="9" t="n"/>
      <c r="E21" s="9" t="n"/>
      <c r="H21" s="9" t="n"/>
      <c r="K21" s="9" t="n"/>
    </row>
    <row r="22" ht="40" customHeight="1">
      <c r="A22" s="6" t="n">
        <v>7</v>
      </c>
      <c r="B22" s="9" t="n"/>
      <c r="E22" s="9" t="n"/>
      <c r="H22" s="9" t="n"/>
      <c r="K22" s="9" t="n"/>
    </row>
    <row r="23" ht="40" customHeight="1">
      <c r="A23" s="6" t="n">
        <v>8</v>
      </c>
      <c r="B23" s="9" t="n"/>
      <c r="E23" s="9" t="n"/>
      <c r="H23" s="9" t="n"/>
      <c r="K23" s="9" t="n"/>
    </row>
  </sheetData>
  <mergeCells count="25">
    <mergeCell ref="E19:G19"/>
    <mergeCell ref="B23:D23"/>
    <mergeCell ref="B17:D17"/>
    <mergeCell ref="H17:J17"/>
    <mergeCell ref="H16:J16"/>
    <mergeCell ref="B19:D19"/>
    <mergeCell ref="H22:J22"/>
    <mergeCell ref="H19:J19"/>
    <mergeCell ref="B20:D20"/>
    <mergeCell ref="E16:G16"/>
    <mergeCell ref="E22:G22"/>
    <mergeCell ref="H18:J18"/>
    <mergeCell ref="H23:J23"/>
    <mergeCell ref="A2:K2"/>
    <mergeCell ref="E18:G18"/>
    <mergeCell ref="H21:J21"/>
    <mergeCell ref="E21:G21"/>
    <mergeCell ref="B16:D16"/>
    <mergeCell ref="H20:J20"/>
    <mergeCell ref="B22:D22"/>
    <mergeCell ref="E23:G23"/>
    <mergeCell ref="B18:D18"/>
    <mergeCell ref="E17:G17"/>
    <mergeCell ref="B21:D21"/>
    <mergeCell ref="E20:G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2026-10-23T16:44:45Z</dcterms:created>
  <dcterms:modified xmlns:dcterms="http://purl.org/dc/terms/" xmlns:xsi="http://www.w3.org/2001/XMLSchema-instance" xsi:type="dcterms:W3CDTF">2026-10-23T16:44:45Z</dcterms:modified>
</cp:coreProperties>
</file>