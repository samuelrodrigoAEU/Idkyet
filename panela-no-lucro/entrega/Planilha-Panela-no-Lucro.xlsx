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Fichas" sheetId="5" state="visible" r:id="rId5"/>
    <sheet xmlns:r="http://schemas.openxmlformats.org/officeDocument/2006/relationships" name="Produtos" sheetId="6" state="visible" r:id="rId6"/>
    <sheet xmlns:r="http://schemas.openxmlformats.org/officeDocument/2006/relationships" name="Entrega" sheetId="7" state="visible" r:id="rId7"/>
    <sheet xmlns:r="http://schemas.openxmlformats.org/officeDocument/2006/relationships" name="Pedidos" sheetId="8" state="visible" r:id="rId8"/>
    <sheet xmlns:r="http://schemas.openxmlformats.org/officeDocument/2006/relationships" name="Seman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R$ #,##0.00"/>
    <numFmt numFmtId="165" formatCode="0.0%"/>
    <numFmt numFmtId="166" formatCode="0.0"/>
    <numFmt numFmtId="167" formatCode="R$ #,##0.0000"/>
    <numFmt numFmtId="168" formatCode="#,##0.##"/>
    <numFmt numFmtId="169" formatCode="yyyy-mm-dd"/>
    <numFmt numFmtId="170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F4D3A"/>
      <sz val="16"/>
    </font>
    <font>
      <name val="Calibri"/>
      <i val="1"/>
      <color rgb="006B6B6B"/>
      <sz val="9"/>
    </font>
    <font>
      <name val="Calibri"/>
      <b val="1"/>
      <sz val="10"/>
    </font>
    <font>
      <name val="Calibri"/>
      <sz val="10"/>
    </font>
    <font>
      <name val="Calibri"/>
      <b val="1"/>
      <color rgb="00C0392B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EF3F0"/>
      </patternFill>
    </fill>
    <fill>
      <patternFill patternType="solid">
        <fgColor rgb="001F4D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1" fontId="4" fillId="2" borderId="1" pivotButton="0" quotePrefix="0" xfId="0"/>
    <xf numFmtId="1" fontId="4" fillId="3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wrapText="1"/>
    </xf>
    <xf numFmtId="0" fontId="6" fillId="4" borderId="1" pivotButton="0" quotePrefix="0" xfId="0"/>
    <xf numFmtId="0" fontId="4" fillId="3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165" fontId="4" fillId="3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167" fontId="4" fillId="3" borderId="1" pivotButton="0" quotePrefix="0" xfId="0"/>
    <xf numFmtId="3" fontId="4" fillId="3" borderId="1" pivotButton="0" quotePrefix="0" xfId="0"/>
    <xf numFmtId="168" fontId="4" fillId="2" borderId="1" pivotButton="0" quotePrefix="0" xfId="0"/>
    <xf numFmtId="170" fontId="4" fillId="2" borderId="1" pivotButton="0" quotePrefix="0" xfId="0"/>
    <xf numFmtId="2" fontId="4" fillId="3" borderId="1" pivotButton="0" quotePrefix="0" xfId="0"/>
  </cellXfs>
  <cellStyles count="1">
    <cellStyle name="Normal" xfId="0" builtinId="0" hidden="0"/>
  </cellStyles>
  <dxfs count="3">
    <dxf>
      <font>
        <b val="1"/>
        <color rgb="00C0392B"/>
      </font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D3A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Panela no Lucro · Planilha de Custo, Preço e Pedidos</t>
        </is>
      </c>
    </row>
    <row r="2">
      <c r="A2" s="2" t="inlineStr">
        <is>
          <t>Funciona no Excel, no Google Planilhas e no LibreOffice. Os valores de exemplo são da cozinha fictícia 'Cozinha da Cláudia' e servem só para você ver tudo funcionando.</t>
        </is>
      </c>
    </row>
    <row r="4">
      <c r="A4" s="3" t="inlineStr">
        <is>
          <t>COR DAS CÉLULAS</t>
        </is>
      </c>
      <c r="B4" s="4" t="inlineStr"/>
    </row>
    <row r="5">
      <c r="A5" s="5" t="inlineStr">
        <is>
          <t>Amarelo claro</t>
        </is>
      </c>
      <c r="B5" s="4" t="inlineStr">
        <is>
          <t>você preenche</t>
        </is>
      </c>
    </row>
    <row r="6">
      <c r="A6" s="6" t="inlineStr">
        <is>
          <t>Verde claro</t>
        </is>
      </c>
      <c r="B6" s="4" t="inlineStr">
        <is>
          <t>a planilha calcula. Não apague as fórmulas.</t>
        </is>
      </c>
    </row>
    <row r="7">
      <c r="A7" s="3" t="inlineStr"/>
      <c r="B7" s="4" t="inlineStr"/>
    </row>
    <row r="8">
      <c r="A8" s="3" t="inlineStr">
        <is>
          <t>ORDEM DE USO (veja o Guia, Dias 1 a 7)</t>
        </is>
      </c>
      <c r="B8" s="4" t="inlineStr"/>
    </row>
    <row r="9">
      <c r="A9" s="3" t="inlineStr">
        <is>
          <t>1. Config</t>
        </is>
      </c>
      <c r="B9" s="4" t="inlineStr">
        <is>
          <t>Seus números: valor da sua hora, margem, gás, combustível, taxas e custos fixos do mês.</t>
        </is>
      </c>
    </row>
    <row r="10">
      <c r="A10" s="3" t="inlineStr">
        <is>
          <t>2. Ingredientes</t>
        </is>
      </c>
      <c r="B10" s="4" t="inlineStr">
        <is>
          <t>Tudo o que você compra, com o preço que pagou e o tamanho do pacote.</t>
        </is>
      </c>
    </row>
    <row r="11">
      <c r="A11" s="3" t="inlineStr">
        <is>
          <t>3. Fichas</t>
        </is>
      </c>
      <c r="B11" s="4" t="inlineStr">
        <is>
          <t>Cada receita, linha por linha: ingrediente e quantidade usada.</t>
        </is>
      </c>
    </row>
    <row r="12">
      <c r="A12" s="3" t="inlineStr">
        <is>
          <t>4. Produtos</t>
        </is>
      </c>
      <c r="B12" s="4" t="inlineStr">
        <is>
          <t>Rendimento, embalagem e tempo. Mostra o custo real, o preço mínimo, o preço sugerido e a situação do seu preço atual.</t>
        </is>
      </c>
    </row>
    <row r="13">
      <c r="A13" s="3" t="inlineStr">
        <is>
          <t>5. Entrega</t>
        </is>
      </c>
      <c r="B13" s="4" t="inlineStr">
        <is>
          <t>Seus bairros e distâncias. Mostra o custo real de cada entrega e a taxa sugerida.</t>
        </is>
      </c>
    </row>
    <row r="14">
      <c r="A14" s="3" t="inlineStr">
        <is>
          <t>6. Pedidos</t>
        </is>
      </c>
      <c r="B14" s="4" t="inlineStr">
        <is>
          <t>Anote cada pedido. A planilha calcula taxa, custo e lucro de cada um.</t>
        </is>
      </c>
    </row>
    <row r="15">
      <c r="A15" s="3" t="inlineStr">
        <is>
          <t>7. Semana</t>
        </is>
      </c>
      <c r="B15" s="4" t="inlineStr">
        <is>
          <t>Quantas unidades vai produzir. Gera a lista de compras na aba Ingredientes (coluna 'Comprar p/ semana').</t>
        </is>
      </c>
    </row>
    <row r="16">
      <c r="A16" s="3" t="inlineStr">
        <is>
          <t>8. Painel</t>
        </is>
      </c>
      <c r="B16" s="4" t="inlineStr">
        <is>
          <t>Escolha o mês: faturamento, lucro real, dinheiro que ficou com você e quanto você ganhou por hora.</t>
        </is>
      </c>
    </row>
    <row r="17">
      <c r="A17" s="3" t="inlineStr"/>
      <c r="B17" s="4" t="inlineStr"/>
    </row>
    <row r="18">
      <c r="A18" s="3" t="inlineStr">
        <is>
          <t>PARA COMEÇAR DO ZERO</t>
        </is>
      </c>
      <c r="B18" s="4" t="inlineStr">
        <is>
          <t>Apague só as células AMARELAS de exemplo (Ingredientes, Fichas, Produtos, Entrega e Pedidos) e digite as suas. Não apague linhas inteiras.</t>
        </is>
      </c>
    </row>
    <row r="19">
      <c r="A19" s="3" t="inlineStr">
        <is>
          <t>IMPORTANTE</t>
        </is>
      </c>
      <c r="B19" s="4" t="inlineStr">
        <is>
          <t>O nome do produto na aba Produtos tem de ser IGUAL ao nome da receita na aba Fichas (mesma grafia).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D3A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8. Painel do mês</t>
        </is>
      </c>
    </row>
    <row r="2">
      <c r="A2" s="2" t="inlineStr">
        <is>
          <t>Escolha o mês e o ano (células amarelas). Considera só pedidos não cancelados. Encomendas futuras do mês entram como previsão.</t>
        </is>
      </c>
    </row>
    <row r="4">
      <c r="B4" t="inlineStr">
        <is>
          <t>Mês (1 a 12)</t>
        </is>
      </c>
      <c r="C4" s="7" t="n">
        <v>10</v>
      </c>
    </row>
    <row r="5">
      <c r="B5" t="inlineStr">
        <is>
          <t>Ano</t>
        </is>
      </c>
      <c r="C5" s="7" t="n">
        <v>2026</v>
      </c>
    </row>
    <row r="6">
      <c r="B6" t="inlineStr">
        <is>
          <t>Horas que você trabalhou no negócio no mês (cozinhar, comprar, entregar, atender)</t>
        </is>
      </c>
      <c r="C6" s="7" t="n">
        <v>52</v>
      </c>
    </row>
    <row r="8">
      <c r="B8" s="4" t="inlineStr">
        <is>
          <t>Pedidos no mês</t>
        </is>
      </c>
      <c r="C8" s="8">
        <f>COUNTIFS(Pedidos!$R$4:$R$503,$C$4,Pedidos!$S$4:$S$503,$C$5,Pedidos!$K$4:$K$503,"&gt;0")</f>
        <v/>
      </c>
    </row>
    <row r="9">
      <c r="B9" s="4" t="inlineStr">
        <is>
          <t>Faturamento (tudo que o cliente pagou)</t>
        </is>
      </c>
      <c r="C9" s="9">
        <f>SUMIFS(Pedidos!$K$4:$K$503,Pedidos!$R$4:$R$503,$C$4,Pedidos!$S$4:$S$503,$C$5)</f>
        <v/>
      </c>
    </row>
    <row r="10">
      <c r="B10" s="4" t="inlineStr">
        <is>
          <t>(-) Taxas de operadora e app</t>
        </is>
      </c>
      <c r="C10" s="9">
        <f>SUMIFS(Pedidos!$L$4:$L$503,Pedidos!$R$4:$R$503,$C$4,Pedidos!$S$4:$S$503,$C$5)</f>
        <v/>
      </c>
    </row>
    <row r="11">
      <c r="B11" s="4" t="inlineStr">
        <is>
          <t>(-) Material (ingrediente, embalagem, gás)</t>
        </is>
      </c>
      <c r="C11" s="9">
        <f>SUMIFS(Pedidos!$M$4:$M$503,Pedidos!$R$4:$R$503,$C$4,Pedidos!$S$4:$S$503,$C$5)</f>
        <v/>
      </c>
    </row>
    <row r="12">
      <c r="B12" s="4" t="inlineStr">
        <is>
          <t>(-) Entregas</t>
        </is>
      </c>
      <c r="C12" s="9">
        <f>SUMIFS(Pedidos!$O$4:$O$503,Pedidos!$R$4:$R$503,$C$4,Pedidos!$S$4:$S$503,$C$5)</f>
        <v/>
      </c>
    </row>
    <row r="13">
      <c r="B13" s="4" t="inlineStr">
        <is>
          <t>(-) Custos fixos do mês (aba Config)</t>
        </is>
      </c>
      <c r="C13" s="9">
        <f>Config!$C$30</f>
        <v/>
      </c>
    </row>
    <row r="14">
      <c r="B14" s="3" t="inlineStr">
        <is>
          <t>→ DINHEIRO QUE SOBROU PARA VOCÊ</t>
        </is>
      </c>
      <c r="C14" s="9">
        <f>C9-C10-C11-C12-C13</f>
        <v/>
      </c>
    </row>
    <row r="15">
      <c r="B15" s="4" t="inlineStr">
        <is>
          <t>Sua hora já paga dentro disso (valor da hora × horas planejadas nas receitas)</t>
        </is>
      </c>
      <c r="C15" s="9">
        <f>SUMIFS(Pedidos!$N$4:$N$503,Pedidos!$R$4:$R$503,$C$4,Pedidos!$S$4:$S$503,$C$5)</f>
        <v/>
      </c>
    </row>
    <row r="16">
      <c r="B16" s="3" t="inlineStr">
        <is>
          <t>→ LUCRO DO NEGÓCIO (o que sobra depois de pagar a sua hora)</t>
        </is>
      </c>
      <c r="C16" s="9">
        <f>C14-C15</f>
        <v/>
      </c>
    </row>
    <row r="17">
      <c r="B17" s="4" t="inlineStr">
        <is>
          <t>Ticket médio por pedido</t>
        </is>
      </c>
      <c r="C17" s="9">
        <f>IF(C8&gt;0,C9/C8,0)</f>
        <v/>
      </c>
    </row>
    <row r="18">
      <c r="B18" s="3" t="inlineStr">
        <is>
          <t>VOCÊ GANHOU POR HORA DE TRABALHO REAL</t>
        </is>
      </c>
      <c r="C18" s="9">
        <f>IF(N(C6)&gt;0,C14/C6,0)</f>
        <v/>
      </c>
    </row>
    <row r="19">
      <c r="B19" s="4" t="inlineStr">
        <is>
          <t>Meta: valor da sua hora (Config)</t>
        </is>
      </c>
      <c r="C19" s="9">
        <f>Config!$C$4</f>
        <v/>
      </c>
    </row>
    <row r="20" ht="45" customHeight="1">
      <c r="B20" s="4" t="inlineStr">
        <is>
          <t>Diagnóstico</t>
        </is>
      </c>
      <c r="C20" s="10">
        <f>IF(C9=0,"Sem pedidos neste mês",IF(C14&lt;0,"PREJUÍZO: você pagou para trabalhar. Revise preços (aba Produtos) e fixos.",IF(C18&lt;C19,"Sobrou dinheiro, mas sua hora real ficou ABAIXO da meta. Veja o tempo gasto e o lucro por produto.","Saudável: a hora real está igual ou acima da meta.")))</f>
        <v/>
      </c>
    </row>
    <row r="21">
      <c r="B21" s="4" t="inlineStr">
        <is>
          <t>Falta receber (encomendas e sinais)</t>
        </is>
      </c>
      <c r="C21" s="9">
        <f>SUMIFS(Pedidos!$Q$4:$Q$503,Pedidos!$R$4:$R$503,$C$4,Pedidos!$S$4:$S$503,$C$5)</f>
        <v/>
      </c>
    </row>
    <row r="22">
      <c r="B22" s="3" t="inlineStr">
        <is>
          <t>Lucro por produto no mês (descubra o que vale a pena vender)</t>
        </is>
      </c>
    </row>
    <row r="23">
      <c r="B23" s="11" t="inlineStr">
        <is>
          <t>Produto</t>
        </is>
      </c>
      <c r="C23" s="11" t="inlineStr">
        <is>
          <t>Unidades vendidas</t>
        </is>
      </c>
      <c r="D23" s="11" t="inlineStr">
        <is>
          <t>Faturamento</t>
        </is>
      </c>
      <c r="E23" s="11" t="inlineStr">
        <is>
          <t>Lucro do negócio</t>
        </is>
      </c>
      <c r="F23" s="11" t="inlineStr">
        <is>
          <t>Lucro por unidade</t>
        </is>
      </c>
    </row>
    <row r="24">
      <c r="B24" s="12">
        <f>IF(Produtos!A4="","",Produtos!A4)</f>
        <v/>
      </c>
      <c r="C24" s="8">
        <f>IF(B24="","",SUMIFS(Pedidos!$D$4:$D$503,Pedidos!$C$4:$C$503,B24,Pedidos!$R$4:$R$503,$C$4,Pedidos!$S$4:$S$503,$C$5))</f>
        <v/>
      </c>
      <c r="D24" s="9">
        <f>IF(B24="","",SUMIFS(Pedidos!$K$4:$K$503,Pedidos!$C$4:$C$503,B24,Pedidos!$R$4:$R$503,$C$4,Pedidos!$S$4:$S$503,$C$5))</f>
        <v/>
      </c>
      <c r="E24" s="9">
        <f>IF(B24="","",SUMIFS(Pedidos!$P$4:$P$503,Pedidos!$C$4:$C$503,B24,Pedidos!$R$4:$R$503,$C$4,Pedidos!$S$4:$S$503,$C$5))</f>
        <v/>
      </c>
      <c r="F24" s="9">
        <f>IF(OR(B24="",N(C24)=0),"",E24/C24)</f>
        <v/>
      </c>
    </row>
    <row r="25">
      <c r="B25" s="12">
        <f>IF(Produtos!A5="","",Produtos!A5)</f>
        <v/>
      </c>
      <c r="C25" s="8">
        <f>IF(B25="","",SUMIFS(Pedidos!$D$4:$D$503,Pedidos!$C$4:$C$503,B25,Pedidos!$R$4:$R$503,$C$4,Pedidos!$S$4:$S$503,$C$5))</f>
        <v/>
      </c>
      <c r="D25" s="9">
        <f>IF(B25="","",SUMIFS(Pedidos!$K$4:$K$503,Pedidos!$C$4:$C$503,B25,Pedidos!$R$4:$R$503,$C$4,Pedidos!$S$4:$S$503,$C$5))</f>
        <v/>
      </c>
      <c r="E25" s="9">
        <f>IF(B25="","",SUMIFS(Pedidos!$P$4:$P$503,Pedidos!$C$4:$C$503,B25,Pedidos!$R$4:$R$503,$C$4,Pedidos!$S$4:$S$503,$C$5))</f>
        <v/>
      </c>
      <c r="F25" s="9">
        <f>IF(OR(B25="",N(C25)=0),"",E25/C25)</f>
        <v/>
      </c>
    </row>
    <row r="26">
      <c r="B26" s="12">
        <f>IF(Produtos!A6="","",Produtos!A6)</f>
        <v/>
      </c>
      <c r="C26" s="8">
        <f>IF(B26="","",SUMIFS(Pedidos!$D$4:$D$503,Pedidos!$C$4:$C$503,B26,Pedidos!$R$4:$R$503,$C$4,Pedidos!$S$4:$S$503,$C$5))</f>
        <v/>
      </c>
      <c r="D26" s="9">
        <f>IF(B26="","",SUMIFS(Pedidos!$K$4:$K$503,Pedidos!$C$4:$C$503,B26,Pedidos!$R$4:$R$503,$C$4,Pedidos!$S$4:$S$503,$C$5))</f>
        <v/>
      </c>
      <c r="E26" s="9">
        <f>IF(B26="","",SUMIFS(Pedidos!$P$4:$P$503,Pedidos!$C$4:$C$503,B26,Pedidos!$R$4:$R$503,$C$4,Pedidos!$S$4:$S$503,$C$5))</f>
        <v/>
      </c>
      <c r="F26" s="9">
        <f>IF(OR(B26="",N(C26)=0),"",E26/C26)</f>
        <v/>
      </c>
    </row>
    <row r="27">
      <c r="B27" s="12">
        <f>IF(Produtos!A7="","",Produtos!A7)</f>
        <v/>
      </c>
      <c r="C27" s="8">
        <f>IF(B27="","",SUMIFS(Pedidos!$D$4:$D$503,Pedidos!$C$4:$C$503,B27,Pedidos!$R$4:$R$503,$C$4,Pedidos!$S$4:$S$503,$C$5))</f>
        <v/>
      </c>
      <c r="D27" s="9">
        <f>IF(B27="","",SUMIFS(Pedidos!$K$4:$K$503,Pedidos!$C$4:$C$503,B27,Pedidos!$R$4:$R$503,$C$4,Pedidos!$S$4:$S$503,$C$5))</f>
        <v/>
      </c>
      <c r="E27" s="9">
        <f>IF(B27="","",SUMIFS(Pedidos!$P$4:$P$503,Pedidos!$C$4:$C$503,B27,Pedidos!$R$4:$R$503,$C$4,Pedidos!$S$4:$S$503,$C$5))</f>
        <v/>
      </c>
      <c r="F27" s="9">
        <f>IF(OR(B27="",N(C27)=0),"",E27/C27)</f>
        <v/>
      </c>
    </row>
    <row r="28">
      <c r="B28" s="12">
        <f>IF(Produtos!A8="","",Produtos!A8)</f>
        <v/>
      </c>
      <c r="C28" s="8">
        <f>IF(B28="","",SUMIFS(Pedidos!$D$4:$D$503,Pedidos!$C$4:$C$503,B28,Pedidos!$R$4:$R$503,$C$4,Pedidos!$S$4:$S$503,$C$5))</f>
        <v/>
      </c>
      <c r="D28" s="9">
        <f>IF(B28="","",SUMIFS(Pedidos!$K$4:$K$503,Pedidos!$C$4:$C$503,B28,Pedidos!$R$4:$R$503,$C$4,Pedidos!$S$4:$S$503,$C$5))</f>
        <v/>
      </c>
      <c r="E28" s="9">
        <f>IF(B28="","",SUMIFS(Pedidos!$P$4:$P$503,Pedidos!$C$4:$C$503,B28,Pedidos!$R$4:$R$503,$C$4,Pedidos!$S$4:$S$503,$C$5))</f>
        <v/>
      </c>
      <c r="F28" s="9">
        <f>IF(OR(B28="",N(C28)=0),"",E28/C28)</f>
        <v/>
      </c>
    </row>
    <row r="29">
      <c r="B29" s="12">
        <f>IF(Produtos!A9="","",Produtos!A9)</f>
        <v/>
      </c>
      <c r="C29" s="8">
        <f>IF(B29="","",SUMIFS(Pedidos!$D$4:$D$503,Pedidos!$C$4:$C$503,B29,Pedidos!$R$4:$R$503,$C$4,Pedidos!$S$4:$S$503,$C$5))</f>
        <v/>
      </c>
      <c r="D29" s="9">
        <f>IF(B29="","",SUMIFS(Pedidos!$K$4:$K$503,Pedidos!$C$4:$C$503,B29,Pedidos!$R$4:$R$503,$C$4,Pedidos!$S$4:$S$503,$C$5))</f>
        <v/>
      </c>
      <c r="E29" s="9">
        <f>IF(B29="","",SUMIFS(Pedidos!$P$4:$P$503,Pedidos!$C$4:$C$503,B29,Pedidos!$R$4:$R$503,$C$4,Pedidos!$S$4:$S$503,$C$5))</f>
        <v/>
      </c>
      <c r="F29" s="9">
        <f>IF(OR(B29="",N(C29)=0),"",E29/C29)</f>
        <v/>
      </c>
    </row>
    <row r="30">
      <c r="B30" s="12">
        <f>IF(Produtos!A10="","",Produtos!A10)</f>
        <v/>
      </c>
      <c r="C30" s="8">
        <f>IF(B30="","",SUMIFS(Pedidos!$D$4:$D$503,Pedidos!$C$4:$C$503,B30,Pedidos!$R$4:$R$503,$C$4,Pedidos!$S$4:$S$503,$C$5))</f>
        <v/>
      </c>
      <c r="D30" s="9">
        <f>IF(B30="","",SUMIFS(Pedidos!$K$4:$K$503,Pedidos!$C$4:$C$503,B30,Pedidos!$R$4:$R$503,$C$4,Pedidos!$S$4:$S$503,$C$5))</f>
        <v/>
      </c>
      <c r="E30" s="9">
        <f>IF(B30="","",SUMIFS(Pedidos!$P$4:$P$503,Pedidos!$C$4:$C$503,B30,Pedidos!$R$4:$R$503,$C$4,Pedidos!$S$4:$S$503,$C$5))</f>
        <v/>
      </c>
      <c r="F30" s="9">
        <f>IF(OR(B30="",N(C30)=0),"",E30/C30)</f>
        <v/>
      </c>
    </row>
    <row r="31">
      <c r="B31" s="12">
        <f>IF(Produtos!A11="","",Produtos!A11)</f>
        <v/>
      </c>
      <c r="C31" s="8">
        <f>IF(B31="","",SUMIFS(Pedidos!$D$4:$D$503,Pedidos!$C$4:$C$503,B31,Pedidos!$R$4:$R$503,$C$4,Pedidos!$S$4:$S$503,$C$5))</f>
        <v/>
      </c>
      <c r="D31" s="9">
        <f>IF(B31="","",SUMIFS(Pedidos!$K$4:$K$503,Pedidos!$C$4:$C$503,B31,Pedidos!$R$4:$R$503,$C$4,Pedidos!$S$4:$S$503,$C$5))</f>
        <v/>
      </c>
      <c r="E31" s="9">
        <f>IF(B31="","",SUMIFS(Pedidos!$P$4:$P$503,Pedidos!$C$4:$C$503,B31,Pedidos!$R$4:$R$503,$C$4,Pedidos!$S$4:$S$503,$C$5))</f>
        <v/>
      </c>
      <c r="F31" s="9">
        <f>IF(OR(B31="",N(C31)=0),"",E31/C31)</f>
        <v/>
      </c>
    </row>
    <row r="32">
      <c r="B32" s="12">
        <f>IF(Produtos!A12="","",Produtos!A12)</f>
        <v/>
      </c>
      <c r="C32" s="8">
        <f>IF(B32="","",SUMIFS(Pedidos!$D$4:$D$503,Pedidos!$C$4:$C$503,B32,Pedidos!$R$4:$R$503,$C$4,Pedidos!$S$4:$S$503,$C$5))</f>
        <v/>
      </c>
      <c r="D32" s="9">
        <f>IF(B32="","",SUMIFS(Pedidos!$K$4:$K$503,Pedidos!$C$4:$C$503,B32,Pedidos!$R$4:$R$503,$C$4,Pedidos!$S$4:$S$503,$C$5))</f>
        <v/>
      </c>
      <c r="E32" s="9">
        <f>IF(B32="","",SUMIFS(Pedidos!$P$4:$P$503,Pedidos!$C$4:$C$503,B32,Pedidos!$R$4:$R$503,$C$4,Pedidos!$S$4:$S$503,$C$5))</f>
        <v/>
      </c>
      <c r="F32" s="9">
        <f>IF(OR(B32="",N(C32)=0),"",E32/C32)</f>
        <v/>
      </c>
    </row>
    <row r="33">
      <c r="B33" s="12">
        <f>IF(Produtos!A13="","",Produtos!A13)</f>
        <v/>
      </c>
      <c r="C33" s="8">
        <f>IF(B33="","",SUMIFS(Pedidos!$D$4:$D$503,Pedidos!$C$4:$C$503,B33,Pedidos!$R$4:$R$503,$C$4,Pedidos!$S$4:$S$503,$C$5))</f>
        <v/>
      </c>
      <c r="D33" s="9">
        <f>IF(B33="","",SUMIFS(Pedidos!$K$4:$K$503,Pedidos!$C$4:$C$503,B33,Pedidos!$R$4:$R$503,$C$4,Pedidos!$S$4:$S$503,$C$5))</f>
        <v/>
      </c>
      <c r="E33" s="9">
        <f>IF(B33="","",SUMIFS(Pedidos!$P$4:$P$503,Pedidos!$C$4:$C$503,B33,Pedidos!$R$4:$R$503,$C$4,Pedidos!$S$4:$S$503,$C$5))</f>
        <v/>
      </c>
      <c r="F33" s="9">
        <f>IF(OR(B33="",N(C33)=0),"",E33/C33)</f>
        <v/>
      </c>
    </row>
    <row r="34">
      <c r="B34" s="12">
        <f>IF(Produtos!A14="","",Produtos!A14)</f>
        <v/>
      </c>
      <c r="C34" s="8">
        <f>IF(B34="","",SUMIFS(Pedidos!$D$4:$D$503,Pedidos!$C$4:$C$503,B34,Pedidos!$R$4:$R$503,$C$4,Pedidos!$S$4:$S$503,$C$5))</f>
        <v/>
      </c>
      <c r="D34" s="9">
        <f>IF(B34="","",SUMIFS(Pedidos!$K$4:$K$503,Pedidos!$C$4:$C$503,B34,Pedidos!$R$4:$R$503,$C$4,Pedidos!$S$4:$S$503,$C$5))</f>
        <v/>
      </c>
      <c r="E34" s="9">
        <f>IF(B34="","",SUMIFS(Pedidos!$P$4:$P$503,Pedidos!$C$4:$C$503,B34,Pedidos!$R$4:$R$503,$C$4,Pedidos!$S$4:$S$503,$C$5))</f>
        <v/>
      </c>
      <c r="F34" s="9">
        <f>IF(OR(B34="",N(C34)=0),"",E34/C34)</f>
        <v/>
      </c>
    </row>
    <row r="35">
      <c r="B35" s="12">
        <f>IF(Produtos!A15="","",Produtos!A15)</f>
        <v/>
      </c>
      <c r="C35" s="8">
        <f>IF(B35="","",SUMIFS(Pedidos!$D$4:$D$503,Pedidos!$C$4:$C$503,B35,Pedidos!$R$4:$R$503,$C$4,Pedidos!$S$4:$S$503,$C$5))</f>
        <v/>
      </c>
      <c r="D35" s="9">
        <f>IF(B35="","",SUMIFS(Pedidos!$K$4:$K$503,Pedidos!$C$4:$C$503,B35,Pedidos!$R$4:$R$503,$C$4,Pedidos!$S$4:$S$503,$C$5))</f>
        <v/>
      </c>
      <c r="E35" s="9">
        <f>IF(B35="","",SUMIFS(Pedidos!$P$4:$P$503,Pedidos!$C$4:$C$503,B35,Pedidos!$R$4:$R$503,$C$4,Pedidos!$S$4:$S$503,$C$5))</f>
        <v/>
      </c>
      <c r="F35" s="9">
        <f>IF(OR(B35="",N(C35)=0),"",E35/C35)</f>
        <v/>
      </c>
    </row>
    <row r="36">
      <c r="B36" s="12">
        <f>IF(Produtos!A16="","",Produtos!A16)</f>
        <v/>
      </c>
      <c r="C36" s="8">
        <f>IF(B36="","",SUMIFS(Pedidos!$D$4:$D$503,Pedidos!$C$4:$C$503,B36,Pedidos!$R$4:$R$503,$C$4,Pedidos!$S$4:$S$503,$C$5))</f>
        <v/>
      </c>
      <c r="D36" s="9">
        <f>IF(B36="","",SUMIFS(Pedidos!$K$4:$K$503,Pedidos!$C$4:$C$503,B36,Pedidos!$R$4:$R$503,$C$4,Pedidos!$S$4:$S$503,$C$5))</f>
        <v/>
      </c>
      <c r="E36" s="9">
        <f>IF(B36="","",SUMIFS(Pedidos!$P$4:$P$503,Pedidos!$C$4:$C$503,B36,Pedidos!$R$4:$R$503,$C$4,Pedidos!$S$4:$S$503,$C$5))</f>
        <v/>
      </c>
      <c r="F36" s="9">
        <f>IF(OR(B36="",N(C36)=0),"",E36/C36)</f>
        <v/>
      </c>
    </row>
    <row r="37">
      <c r="B37" s="12">
        <f>IF(Produtos!A17="","",Produtos!A17)</f>
        <v/>
      </c>
      <c r="C37" s="8">
        <f>IF(B37="","",SUMIFS(Pedidos!$D$4:$D$503,Pedidos!$C$4:$C$503,B37,Pedidos!$R$4:$R$503,$C$4,Pedidos!$S$4:$S$503,$C$5))</f>
        <v/>
      </c>
      <c r="D37" s="9">
        <f>IF(B37="","",SUMIFS(Pedidos!$K$4:$K$503,Pedidos!$C$4:$C$503,B37,Pedidos!$R$4:$R$503,$C$4,Pedidos!$S$4:$S$503,$C$5))</f>
        <v/>
      </c>
      <c r="E37" s="9">
        <f>IF(B37="","",SUMIFS(Pedidos!$P$4:$P$503,Pedidos!$C$4:$C$503,B37,Pedidos!$R$4:$R$503,$C$4,Pedidos!$S$4:$S$503,$C$5))</f>
        <v/>
      </c>
      <c r="F37" s="9">
        <f>IF(OR(B37="",N(C37)=0),"",E37/C37)</f>
        <v/>
      </c>
    </row>
    <row r="38">
      <c r="B38" s="12">
        <f>IF(Produtos!A18="","",Produtos!A18)</f>
        <v/>
      </c>
      <c r="C38" s="8">
        <f>IF(B38="","",SUMIFS(Pedidos!$D$4:$D$503,Pedidos!$C$4:$C$503,B38,Pedidos!$R$4:$R$503,$C$4,Pedidos!$S$4:$S$503,$C$5))</f>
        <v/>
      </c>
      <c r="D38" s="9">
        <f>IF(B38="","",SUMIFS(Pedidos!$K$4:$K$503,Pedidos!$C$4:$C$503,B38,Pedidos!$R$4:$R$503,$C$4,Pedidos!$S$4:$S$503,$C$5))</f>
        <v/>
      </c>
      <c r="E38" s="9">
        <f>IF(B38="","",SUMIFS(Pedidos!$P$4:$P$503,Pedidos!$C$4:$C$503,B38,Pedidos!$R$4:$R$503,$C$4,Pedidos!$S$4:$S$503,$C$5))</f>
        <v/>
      </c>
      <c r="F38" s="9">
        <f>IF(OR(B38="",N(C38)=0),"",E38/C38)</f>
        <v/>
      </c>
    </row>
    <row r="40">
      <c r="B40" s="2" t="inlineStr">
        <is>
          <t>Obs.: o 'lucro do pedido' (aba Pedidos) não desconta os custos fixos. Eles são descontados uma vez por mês, aqui no painel.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D3A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4" customWidth="1" min="3" max="3"/>
    <col width="95" customWidth="1" min="4" max="4"/>
  </cols>
  <sheetData>
    <row r="1">
      <c r="A1" s="1" t="inlineStr">
        <is>
          <t>1. Configurações</t>
        </is>
      </c>
    </row>
    <row r="2">
      <c r="A2" s="2" t="inlineStr">
        <is>
          <t>Preencha uma vez e revise todo mês, ou quando o gás ou o combustível mudarem de preço.</t>
        </is>
      </c>
    </row>
    <row r="4">
      <c r="B4" s="4" t="inlineStr">
        <is>
          <t>Quanto vale 1 hora do seu trabalho (R$)</t>
        </is>
      </c>
      <c r="C4" s="13" t="n">
        <v>15</v>
      </c>
      <c r="D4" s="2" t="inlineStr">
        <is>
          <t>Use pelo menos o que você ganharia por hora em outro trabalho. Com R$ 1.518/mês e 220 h, a hora sai a ~R$ 6,90. Muita gente usa entre R$ 12 e R$ 20.</t>
        </is>
      </c>
    </row>
    <row r="5">
      <c r="B5" s="4" t="inlineStr">
        <is>
          <t>Margem de lucro desejada (% do preço)</t>
        </is>
      </c>
      <c r="C5" s="14" t="n">
        <v>0.2</v>
      </c>
      <c r="D5" s="2" t="inlineStr">
        <is>
          <t>É o que sobra para o NEGÓCIO depois de pagar tudo, inclusive a sua hora. Entre 15% e 30% é comum. Não passe de 50%.</t>
        </is>
      </c>
    </row>
    <row r="6">
      <c r="B6" s="4" t="inlineStr">
        <is>
          <t>Preço do botijão de gás (R$)</t>
        </is>
      </c>
      <c r="C6" s="13" t="n">
        <v>125</v>
      </c>
      <c r="D6" s="2" t="inlineStr">
        <is>
          <t>Preço que você pagou no último botijão.</t>
        </is>
      </c>
    </row>
    <row r="7">
      <c r="B7" s="4" t="inlineStr">
        <is>
          <t>Horas de 1 boca acesa que o botijão dura</t>
        </is>
      </c>
      <c r="C7" s="7" t="n">
        <v>60</v>
      </c>
      <c r="D7" s="2" t="inlineStr">
        <is>
          <t>Para medir: anote o dia da troca e quantas horas de boca usou (forno = 3 bocas). Sem medir, use 60.</t>
        </is>
      </c>
    </row>
    <row r="8">
      <c r="B8" s="3" t="inlineStr">
        <is>
          <t>Custo do gás por hora de boca (R$)</t>
        </is>
      </c>
      <c r="C8" s="9">
        <f>C6/C7</f>
        <v/>
      </c>
      <c r="D8" s="2" t="inlineStr"/>
    </row>
    <row r="9">
      <c r="B9" s="4" t="inlineStr">
        <is>
          <t>Preço do combustível (R$/litro)</t>
        </is>
      </c>
      <c r="C9" s="13" t="n">
        <v>6.2</v>
      </c>
      <c r="D9" s="2" t="inlineStr">
        <is>
          <t>Para entregas próprias.</t>
        </is>
      </c>
    </row>
    <row r="10">
      <c r="B10" s="4" t="inlineStr">
        <is>
          <t>Consumo do veículo (km por litro)</t>
        </is>
      </c>
      <c r="C10" s="15" t="n">
        <v>35</v>
      </c>
      <c r="D10" s="2" t="inlineStr">
        <is>
          <t>Moto ~30–40; carro ~9–12.</t>
        </is>
      </c>
    </row>
    <row r="11">
      <c r="B11" s="4" t="inlineStr">
        <is>
          <t>Desgaste e manutenção por km (R$)</t>
        </is>
      </c>
      <c r="C11" s="13" t="n">
        <v>0.15</v>
      </c>
      <c r="D11" s="2" t="inlineStr">
        <is>
          <t>Pneu, óleo, revisão. Moto ~R$ 0,10–0,20; carro ~R$ 0,30–0,50.</t>
        </is>
      </c>
    </row>
    <row r="12">
      <c r="B12" s="3" t="inlineStr">
        <is>
          <t>Custo real por km rodado (R$)</t>
        </is>
      </c>
      <c r="C12" s="9">
        <f>C9/C10+C11</f>
        <v/>
      </c>
      <c r="D12" s="2" t="inlineStr"/>
    </row>
    <row r="14">
      <c r="B14" s="3" t="inlineStr">
        <is>
          <t>TAXAS DE RECEBIMENTO (% que fica com a operadora)</t>
        </is>
      </c>
      <c r="D14" s="2" t="inlineStr">
        <is>
          <t>Confira no extrato da sua maquininha ou do app.</t>
        </is>
      </c>
    </row>
    <row r="15">
      <c r="B15" s="4" t="inlineStr">
        <is>
          <t>Pix</t>
        </is>
      </c>
      <c r="C15" s="14" t="n">
        <v>0</v>
      </c>
      <c r="D15" s="2" t="inlineStr"/>
    </row>
    <row r="16">
      <c r="B16" s="4" t="inlineStr">
        <is>
          <t>Dinheiro</t>
        </is>
      </c>
      <c r="C16" s="14" t="n">
        <v>0</v>
      </c>
      <c r="D16" s="2" t="inlineStr"/>
    </row>
    <row r="17">
      <c r="B17" s="4" t="inlineStr">
        <is>
          <t>Cartão de débito</t>
        </is>
      </c>
      <c r="C17" s="14" t="n">
        <v>0.019</v>
      </c>
      <c r="D17" s="2" t="inlineStr"/>
    </row>
    <row r="18">
      <c r="B18" s="4" t="inlineStr">
        <is>
          <t>Cartão de crédito</t>
        </is>
      </c>
      <c r="C18" s="14" t="n">
        <v>0.039</v>
      </c>
      <c r="D18" s="2" t="inlineStr"/>
    </row>
    <row r="19">
      <c r="B19" s="4" t="inlineStr">
        <is>
          <t>App de delivery</t>
        </is>
      </c>
      <c r="C19" s="14" t="n">
        <v>0.27</v>
      </c>
      <c r="D19" s="2" t="inlineStr">
        <is>
          <t>Comissão + taxa de pagamento. Confira no contrato do seu plano.</t>
        </is>
      </c>
    </row>
    <row r="20">
      <c r="B20" s="4" t="inlineStr">
        <is>
          <t>Taxa média usada no preço de balcão</t>
        </is>
      </c>
      <c r="C20" s="14" t="n">
        <v>0.01</v>
      </c>
      <c r="D20" s="2" t="inlineStr">
        <is>
          <t>Se quase tudo é Pix, use 0% a 1%. Se muito é crédito, use ~3%.</t>
        </is>
      </c>
    </row>
    <row r="22">
      <c r="B22" s="3" t="inlineStr">
        <is>
          <t>CUSTOS FIXOS DO MÊS (o que você paga vendendo pouco ou muito)</t>
        </is>
      </c>
      <c r="D22" s="2" t="inlineStr"/>
    </row>
    <row r="23">
      <c r="B23" s="4" t="inlineStr">
        <is>
          <t>Aumento estimado na conta de luz</t>
        </is>
      </c>
      <c r="C23" s="13" t="n">
        <v>40</v>
      </c>
      <c r="D23" s="2" t="inlineStr">
        <is>
          <t>Compare a conta de agora com a de antes de começar a vender.</t>
        </is>
      </c>
    </row>
    <row r="24">
      <c r="B24" s="4" t="inlineStr">
        <is>
          <t>Aumento estimado na conta de água</t>
        </is>
      </c>
      <c r="C24" s="13" t="n">
        <v>20</v>
      </c>
      <c r="D24" s="2" t="inlineStr"/>
    </row>
    <row r="25">
      <c r="B25" s="4" t="inlineStr">
        <is>
          <t>Parte do celular/internet usada no negócio</t>
        </is>
      </c>
      <c r="C25" s="13" t="n">
        <v>30</v>
      </c>
      <c r="D25" s="2" t="inlineStr"/>
    </row>
    <row r="26">
      <c r="B26" s="4" t="inlineStr">
        <is>
          <t>Guia mensal do MEI (DAS), se tiver</t>
        </is>
      </c>
      <c r="C26" s="13" t="n">
        <v>82</v>
      </c>
      <c r="D26" s="2" t="inlineStr">
        <is>
          <t>Confira o valor do ano no Portal do Empreendedor. Se não for MEI, ponha 0.</t>
        </is>
      </c>
    </row>
    <row r="27">
      <c r="B27" s="4" t="inlineStr">
        <is>
          <t>Divulgação (impulsionamento, panfleto)</t>
        </is>
      </c>
      <c r="C27" s="13" t="n">
        <v>0</v>
      </c>
      <c r="D27" s="2" t="inlineStr"/>
    </row>
    <row r="28">
      <c r="B28" s="4" t="inlineStr">
        <is>
          <t>Reposição de utensílios (panela, forma), por mês</t>
        </is>
      </c>
      <c r="C28" s="13" t="n">
        <v>30</v>
      </c>
      <c r="D28" s="2" t="inlineStr">
        <is>
          <t>Ex.: R$ 360 por ano / 12.</t>
        </is>
      </c>
    </row>
    <row r="29">
      <c r="B29" s="4" t="inlineStr">
        <is>
          <t>Outros fixos</t>
        </is>
      </c>
      <c r="C29" s="13" t="n">
        <v>0</v>
      </c>
      <c r="D29" s="2" t="inlineStr"/>
    </row>
    <row r="30">
      <c r="B30" s="3" t="inlineStr">
        <is>
          <t>TOTAL DE CUSTOS FIXOS DO MÊS</t>
        </is>
      </c>
      <c r="C30" s="9">
        <f>SUM(C23:C29)</f>
        <v/>
      </c>
      <c r="D30" s="2" t="inlineStr"/>
    </row>
    <row r="31">
      <c r="B31" s="4" t="inlineStr">
        <is>
          <t>Faturamento que você espera no mês (R$)</t>
        </is>
      </c>
      <c r="C31" s="13" t="n">
        <v>3000</v>
      </c>
      <c r="D31" s="2" t="inlineStr">
        <is>
          <t>Seja realista: use a média dos últimos meses. Se está começando, chute baixo.</t>
        </is>
      </c>
    </row>
    <row r="32">
      <c r="B32" s="3" t="inlineStr">
        <is>
          <t>Peso dos fixos no preço (% do faturamento)</t>
        </is>
      </c>
      <c r="C32" s="16">
        <f>IF(C31&gt;0,C30/C31,0)</f>
        <v/>
      </c>
      <c r="D32" s="2" t="inlineStr">
        <is>
          <t>Se passar de 15%, seus fixos estão pesados para o tanto que você vende.</t>
        </is>
      </c>
    </row>
    <row r="34">
      <c r="B34" s="3" t="inlineStr">
        <is>
          <t>Alerta:</t>
        </is>
      </c>
      <c r="C34" s="17">
        <f>IF(C5+C20+C32&gt;=0.9,"ERRO: margem + taxa + fixos passam de 90%. Reduza a margem ou os fixos.","OK")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D3A"/>
    <outlinePr summaryBelow="1" summaryRight="1"/>
    <pageSetUpPr/>
  </sheetPr>
  <dimension ref="A1:G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2. Ingredientes, embalagens e insumos</t>
        </is>
      </c>
    </row>
    <row r="2">
      <c r="A2" s="2" t="inlineStr">
        <is>
          <t>Preço de EXEMPLO (out/2026). Troque pelo preço que VOCÊ pagou. Use g para peso, ml para líquidos e un para unidades.</t>
        </is>
      </c>
    </row>
    <row r="3" ht="42" customHeight="1">
      <c r="A3" s="18" t="inlineStr">
        <is>
          <t>Item</t>
        </is>
      </c>
      <c r="B3" s="18" t="inlineStr">
        <is>
          <t>Unidade (g, ml, un)</t>
        </is>
      </c>
      <c r="C3" s="18" t="inlineStr">
        <is>
          <t>Quantidade do pacote</t>
        </is>
      </c>
      <c r="D3" s="18" t="inlineStr">
        <is>
          <t>Preço pago (R$)</t>
        </is>
      </c>
      <c r="E3" s="18" t="inlineStr">
        <is>
          <t>Custo por unidade (R$)</t>
        </is>
      </c>
      <c r="F3" s="18" t="inlineStr">
        <is>
          <t>Comprar p/ semana (na unidade)</t>
        </is>
      </c>
      <c r="G3" s="18" t="inlineStr">
        <is>
          <t>Pacotes a comprar</t>
        </is>
      </c>
    </row>
    <row r="4">
      <c r="A4" s="19" t="inlineStr">
        <is>
          <t>Arroz</t>
        </is>
      </c>
      <c r="B4" s="19" t="inlineStr">
        <is>
          <t>g</t>
        </is>
      </c>
      <c r="C4" s="19" t="n">
        <v>5000</v>
      </c>
      <c r="D4" s="13" t="n">
        <v>27.9</v>
      </c>
      <c r="E4" s="20">
        <f>IF(AND(ISNUMBER(C4),C4&gt;0,ISNUMBER(D4)),D4/C4,"")</f>
        <v/>
      </c>
      <c r="F4" s="21">
        <f>IF(A4="","",SUMIF(Fichas!$B$4:$B$603,A4,Fichas!$F$4:$F$603))</f>
        <v/>
      </c>
      <c r="G4" s="8">
        <f>IF(OR(A4="",F4="",N(C4)=0),"",ROUNDUP(F4/C4,0))</f>
        <v/>
      </c>
    </row>
    <row r="5">
      <c r="A5" s="19" t="inlineStr">
        <is>
          <t>Feijão carioca</t>
        </is>
      </c>
      <c r="B5" s="19" t="inlineStr">
        <is>
          <t>g</t>
        </is>
      </c>
      <c r="C5" s="19" t="n">
        <v>1000</v>
      </c>
      <c r="D5" s="13" t="n">
        <v>8.49</v>
      </c>
      <c r="E5" s="20">
        <f>IF(AND(ISNUMBER(C5),C5&gt;0,ISNUMBER(D5)),D5/C5,"")</f>
        <v/>
      </c>
      <c r="F5" s="21">
        <f>IF(A5="","",SUMIF(Fichas!$B$4:$B$603,A5,Fichas!$F$4:$F$603))</f>
        <v/>
      </c>
      <c r="G5" s="8">
        <f>IF(OR(A5="",F5="",N(C5)=0),"",ROUNDUP(F5/C5,0))</f>
        <v/>
      </c>
    </row>
    <row r="6">
      <c r="A6" s="19" t="inlineStr">
        <is>
          <t>Peito de frango</t>
        </is>
      </c>
      <c r="B6" s="19" t="inlineStr">
        <is>
          <t>g</t>
        </is>
      </c>
      <c r="C6" s="19" t="n">
        <v>1000</v>
      </c>
      <c r="D6" s="13" t="n">
        <v>19.9</v>
      </c>
      <c r="E6" s="20">
        <f>IF(AND(ISNUMBER(C6),C6&gt;0,ISNUMBER(D6)),D6/C6,"")</f>
        <v/>
      </c>
      <c r="F6" s="21">
        <f>IF(A6="","",SUMIF(Fichas!$B$4:$B$603,A6,Fichas!$F$4:$F$603))</f>
        <v/>
      </c>
      <c r="G6" s="8">
        <f>IF(OR(A6="",F6="",N(C6)=0),"",ROUNDUP(F6/C6,0))</f>
        <v/>
      </c>
    </row>
    <row r="7">
      <c r="A7" s="19" t="inlineStr">
        <is>
          <t>Carne moída</t>
        </is>
      </c>
      <c r="B7" s="19" t="inlineStr">
        <is>
          <t>g</t>
        </is>
      </c>
      <c r="C7" s="19" t="n">
        <v>1000</v>
      </c>
      <c r="D7" s="13" t="n">
        <v>38.9</v>
      </c>
      <c r="E7" s="20">
        <f>IF(AND(ISNUMBER(C7),C7&gt;0,ISNUMBER(D7)),D7/C7,"")</f>
        <v/>
      </c>
      <c r="F7" s="21">
        <f>IF(A7="","",SUMIF(Fichas!$B$4:$B$603,A7,Fichas!$F$4:$F$603))</f>
        <v/>
      </c>
      <c r="G7" s="8">
        <f>IF(OR(A7="",F7="",N(C7)=0),"",ROUNDUP(F7/C7,0))</f>
        <v/>
      </c>
    </row>
    <row r="8">
      <c r="A8" s="19" t="inlineStr">
        <is>
          <t>Óleo de soja</t>
        </is>
      </c>
      <c r="B8" s="19" t="inlineStr">
        <is>
          <t>ml</t>
        </is>
      </c>
      <c r="C8" s="19" t="n">
        <v>900</v>
      </c>
      <c r="D8" s="13" t="n">
        <v>7.99</v>
      </c>
      <c r="E8" s="20">
        <f>IF(AND(ISNUMBER(C8),C8&gt;0,ISNUMBER(D8)),D8/C8,"")</f>
        <v/>
      </c>
      <c r="F8" s="21">
        <f>IF(A8="","",SUMIF(Fichas!$B$4:$B$603,A8,Fichas!$F$4:$F$603))</f>
        <v/>
      </c>
      <c r="G8" s="8">
        <f>IF(OR(A8="",F8="",N(C8)=0),"",ROUNDUP(F8/C8,0))</f>
        <v/>
      </c>
    </row>
    <row r="9">
      <c r="A9" s="19" t="inlineStr">
        <is>
          <t>Alho</t>
        </is>
      </c>
      <c r="B9" s="19" t="inlineStr">
        <is>
          <t>g</t>
        </is>
      </c>
      <c r="C9" s="19" t="n">
        <v>200</v>
      </c>
      <c r="D9" s="13" t="n">
        <v>6.5</v>
      </c>
      <c r="E9" s="20">
        <f>IF(AND(ISNUMBER(C9),C9&gt;0,ISNUMBER(D9)),D9/C9,"")</f>
        <v/>
      </c>
      <c r="F9" s="21">
        <f>IF(A9="","",SUMIF(Fichas!$B$4:$B$603,A9,Fichas!$F$4:$F$603))</f>
        <v/>
      </c>
      <c r="G9" s="8">
        <f>IF(OR(A9="",F9="",N(C9)=0),"",ROUNDUP(F9/C9,0))</f>
        <v/>
      </c>
    </row>
    <row r="10">
      <c r="A10" s="19" t="inlineStr">
        <is>
          <t>Cebola</t>
        </is>
      </c>
      <c r="B10" s="19" t="inlineStr">
        <is>
          <t>g</t>
        </is>
      </c>
      <c r="C10" s="19" t="n">
        <v>1000</v>
      </c>
      <c r="D10" s="13" t="n">
        <v>5.99</v>
      </c>
      <c r="E10" s="20">
        <f>IF(AND(ISNUMBER(C10),C10&gt;0,ISNUMBER(D10)),D10/C10,"")</f>
        <v/>
      </c>
      <c r="F10" s="21">
        <f>IF(A10="","",SUMIF(Fichas!$B$4:$B$603,A10,Fichas!$F$4:$F$603))</f>
        <v/>
      </c>
      <c r="G10" s="8">
        <f>IF(OR(A10="",F10="",N(C10)=0),"",ROUNDUP(F10/C10,0))</f>
        <v/>
      </c>
    </row>
    <row r="11">
      <c r="A11" s="19" t="inlineStr">
        <is>
          <t>Sal</t>
        </is>
      </c>
      <c r="B11" s="19" t="inlineStr">
        <is>
          <t>g</t>
        </is>
      </c>
      <c r="C11" s="19" t="n">
        <v>1000</v>
      </c>
      <c r="D11" s="13" t="n">
        <v>3.29</v>
      </c>
      <c r="E11" s="20">
        <f>IF(AND(ISNUMBER(C11),C11&gt;0,ISNUMBER(D11)),D11/C11,"")</f>
        <v/>
      </c>
      <c r="F11" s="21">
        <f>IF(A11="","",SUMIF(Fichas!$B$4:$B$603,A11,Fichas!$F$4:$F$603))</f>
        <v/>
      </c>
      <c r="G11" s="8">
        <f>IF(OR(A11="",F11="",N(C11)=0),"",ROUNDUP(F11/C11,0))</f>
        <v/>
      </c>
    </row>
    <row r="12">
      <c r="A12" s="19" t="inlineStr">
        <is>
          <t>Tomate</t>
        </is>
      </c>
      <c r="B12" s="19" t="inlineStr">
        <is>
          <t>g</t>
        </is>
      </c>
      <c r="C12" s="19" t="n">
        <v>1000</v>
      </c>
      <c r="D12" s="13" t="n">
        <v>7.99</v>
      </c>
      <c r="E12" s="20">
        <f>IF(AND(ISNUMBER(C12),C12&gt;0,ISNUMBER(D12)),D12/C12,"")</f>
        <v/>
      </c>
      <c r="F12" s="21">
        <f>IF(A12="","",SUMIF(Fichas!$B$4:$B$603,A12,Fichas!$F$4:$F$603))</f>
        <v/>
      </c>
      <c r="G12" s="8">
        <f>IF(OR(A12="",F12="",N(C12)=0),"",ROUNDUP(F12/C12,0))</f>
        <v/>
      </c>
    </row>
    <row r="13">
      <c r="A13" s="19" t="inlineStr">
        <is>
          <t>Cenoura</t>
        </is>
      </c>
      <c r="B13" s="19" t="inlineStr">
        <is>
          <t>g</t>
        </is>
      </c>
      <c r="C13" s="19" t="n">
        <v>1000</v>
      </c>
      <c r="D13" s="13" t="n">
        <v>4.99</v>
      </c>
      <c r="E13" s="20">
        <f>IF(AND(ISNUMBER(C13),C13&gt;0,ISNUMBER(D13)),D13/C13,"")</f>
        <v/>
      </c>
      <c r="F13" s="21">
        <f>IF(A13="","",SUMIF(Fichas!$B$4:$B$603,A13,Fichas!$F$4:$F$603))</f>
        <v/>
      </c>
      <c r="G13" s="8">
        <f>IF(OR(A13="",F13="",N(C13)=0),"",ROUNDUP(F13/C13,0))</f>
        <v/>
      </c>
    </row>
    <row r="14">
      <c r="A14" s="19" t="inlineStr">
        <is>
          <t>Farinha de trigo</t>
        </is>
      </c>
      <c r="B14" s="19" t="inlineStr">
        <is>
          <t>g</t>
        </is>
      </c>
      <c r="C14" s="19" t="n">
        <v>1000</v>
      </c>
      <c r="D14" s="13" t="n">
        <v>5.49</v>
      </c>
      <c r="E14" s="20">
        <f>IF(AND(ISNUMBER(C14),C14&gt;0,ISNUMBER(D14)),D14/C14,"")</f>
        <v/>
      </c>
      <c r="F14" s="21">
        <f>IF(A14="","",SUMIF(Fichas!$B$4:$B$603,A14,Fichas!$F$4:$F$603))</f>
        <v/>
      </c>
      <c r="G14" s="8">
        <f>IF(OR(A14="",F14="",N(C14)=0),"",ROUNDUP(F14/C14,0))</f>
        <v/>
      </c>
    </row>
    <row r="15">
      <c r="A15" s="19" t="inlineStr">
        <is>
          <t>Leite integral</t>
        </is>
      </c>
      <c r="B15" s="19" t="inlineStr">
        <is>
          <t>ml</t>
        </is>
      </c>
      <c r="C15" s="19" t="n">
        <v>1000</v>
      </c>
      <c r="D15" s="13" t="n">
        <v>5.29</v>
      </c>
      <c r="E15" s="20">
        <f>IF(AND(ISNUMBER(C15),C15&gt;0,ISNUMBER(D15)),D15/C15,"")</f>
        <v/>
      </c>
      <c r="F15" s="21">
        <f>IF(A15="","",SUMIF(Fichas!$B$4:$B$603,A15,Fichas!$F$4:$F$603))</f>
        <v/>
      </c>
      <c r="G15" s="8">
        <f>IF(OR(A15="",F15="",N(C15)=0),"",ROUNDUP(F15/C15,0))</f>
        <v/>
      </c>
    </row>
    <row r="16">
      <c r="A16" s="19" t="inlineStr">
        <is>
          <t>Margarina</t>
        </is>
      </c>
      <c r="B16" s="19" t="inlineStr">
        <is>
          <t>g</t>
        </is>
      </c>
      <c r="C16" s="19" t="n">
        <v>500</v>
      </c>
      <c r="D16" s="13" t="n">
        <v>9.9</v>
      </c>
      <c r="E16" s="20">
        <f>IF(AND(ISNUMBER(C16),C16&gt;0,ISNUMBER(D16)),D16/C16,"")</f>
        <v/>
      </c>
      <c r="F16" s="21">
        <f>IF(A16="","",SUMIF(Fichas!$B$4:$B$603,A16,Fichas!$F$4:$F$603))</f>
        <v/>
      </c>
      <c r="G16" s="8">
        <f>IF(OR(A16="",F16="",N(C16)=0),"",ROUNDUP(F16/C16,0))</f>
        <v/>
      </c>
    </row>
    <row r="17">
      <c r="A17" s="19" t="inlineStr">
        <is>
          <t>Caldo de galinha (tablete)</t>
        </is>
      </c>
      <c r="B17" s="19" t="inlineStr">
        <is>
          <t>un</t>
        </is>
      </c>
      <c r="C17" s="19" t="n">
        <v>6</v>
      </c>
      <c r="D17" s="13" t="n">
        <v>3.49</v>
      </c>
      <c r="E17" s="20">
        <f>IF(AND(ISNUMBER(C17),C17&gt;0,ISNUMBER(D17)),D17/C17,"")</f>
        <v/>
      </c>
      <c r="F17" s="21">
        <f>IF(A17="","",SUMIF(Fichas!$B$4:$B$603,A17,Fichas!$F$4:$F$603))</f>
        <v/>
      </c>
      <c r="G17" s="8">
        <f>IF(OR(A17="",F17="",N(C17)=0),"",ROUNDUP(F17/C17,0))</f>
        <v/>
      </c>
    </row>
    <row r="18">
      <c r="A18" s="19" t="inlineStr">
        <is>
          <t>Farinha de rosca</t>
        </is>
      </c>
      <c r="B18" s="19" t="inlineStr">
        <is>
          <t>g</t>
        </is>
      </c>
      <c r="C18" s="19" t="n">
        <v>500</v>
      </c>
      <c r="D18" s="13" t="n">
        <v>6.9</v>
      </c>
      <c r="E18" s="20">
        <f>IF(AND(ISNUMBER(C18),C18&gt;0,ISNUMBER(D18)),D18/C18,"")</f>
        <v/>
      </c>
      <c r="F18" s="21">
        <f>IF(A18="","",SUMIF(Fichas!$B$4:$B$603,A18,Fichas!$F$4:$F$603))</f>
        <v/>
      </c>
      <c r="G18" s="8">
        <f>IF(OR(A18="",F18="",N(C18)=0),"",ROUNDUP(F18/C18,0))</f>
        <v/>
      </c>
    </row>
    <row r="19">
      <c r="A19" s="19" t="inlineStr">
        <is>
          <t>Ovo</t>
        </is>
      </c>
      <c r="B19" s="19" t="inlineStr">
        <is>
          <t>un</t>
        </is>
      </c>
      <c r="C19" s="19" t="n">
        <v>30</v>
      </c>
      <c r="D19" s="13" t="n">
        <v>21.9</v>
      </c>
      <c r="E19" s="20">
        <f>IF(AND(ISNUMBER(C19),C19&gt;0,ISNUMBER(D19)),D19/C19,"")</f>
        <v/>
      </c>
      <c r="F19" s="21">
        <f>IF(A19="","",SUMIF(Fichas!$B$4:$B$603,A19,Fichas!$F$4:$F$603))</f>
        <v/>
      </c>
      <c r="G19" s="8">
        <f>IF(OR(A19="",F19="",N(C19)=0),"",ROUNDUP(F19/C19,0))</f>
        <v/>
      </c>
    </row>
    <row r="20">
      <c r="A20" s="19" t="inlineStr">
        <is>
          <t>Requeijão</t>
        </is>
      </c>
      <c r="B20" s="19" t="inlineStr">
        <is>
          <t>g</t>
        </is>
      </c>
      <c r="C20" s="19" t="n">
        <v>400</v>
      </c>
      <c r="D20" s="13" t="n">
        <v>10.9</v>
      </c>
      <c r="E20" s="20">
        <f>IF(AND(ISNUMBER(C20),C20&gt;0,ISNUMBER(D20)),D20/C20,"")</f>
        <v/>
      </c>
      <c r="F20" s="21">
        <f>IF(A20="","",SUMIF(Fichas!$B$4:$B$603,A20,Fichas!$F$4:$F$603))</f>
        <v/>
      </c>
      <c r="G20" s="8">
        <f>IF(OR(A20="",F20="",N(C20)=0),"",ROUNDUP(F20/C20,0))</f>
        <v/>
      </c>
    </row>
    <row r="21">
      <c r="A21" s="19" t="inlineStr">
        <is>
          <t>Leite condensado</t>
        </is>
      </c>
      <c r="B21" s="19" t="inlineStr">
        <is>
          <t>g</t>
        </is>
      </c>
      <c r="C21" s="19" t="n">
        <v>395</v>
      </c>
      <c r="D21" s="13" t="n">
        <v>6.99</v>
      </c>
      <c r="E21" s="20">
        <f>IF(AND(ISNUMBER(C21),C21&gt;0,ISNUMBER(D21)),D21/C21,"")</f>
        <v/>
      </c>
      <c r="F21" s="21">
        <f>IF(A21="","",SUMIF(Fichas!$B$4:$B$603,A21,Fichas!$F$4:$F$603))</f>
        <v/>
      </c>
      <c r="G21" s="8">
        <f>IF(OR(A21="",F21="",N(C21)=0),"",ROUNDUP(F21/C21,0))</f>
        <v/>
      </c>
    </row>
    <row r="22">
      <c r="A22" s="19" t="inlineStr">
        <is>
          <t>Creme de leite</t>
        </is>
      </c>
      <c r="B22" s="19" t="inlineStr">
        <is>
          <t>g</t>
        </is>
      </c>
      <c r="C22" s="19" t="n">
        <v>200</v>
      </c>
      <c r="D22" s="13" t="n">
        <v>3.79</v>
      </c>
      <c r="E22" s="20">
        <f>IF(AND(ISNUMBER(C22),C22&gt;0,ISNUMBER(D22)),D22/C22,"")</f>
        <v/>
      </c>
      <c r="F22" s="21">
        <f>IF(A22="","",SUMIF(Fichas!$B$4:$B$603,A22,Fichas!$F$4:$F$603))</f>
        <v/>
      </c>
      <c r="G22" s="8">
        <f>IF(OR(A22="",F22="",N(C22)=0),"",ROUNDUP(F22/C22,0))</f>
        <v/>
      </c>
    </row>
    <row r="23">
      <c r="A23" s="19" t="inlineStr">
        <is>
          <t>Chocolate em pó 50%</t>
        </is>
      </c>
      <c r="B23" s="19" t="inlineStr">
        <is>
          <t>g</t>
        </is>
      </c>
      <c r="C23" s="19" t="n">
        <v>200</v>
      </c>
      <c r="D23" s="13" t="n">
        <v>9.9</v>
      </c>
      <c r="E23" s="20">
        <f>IF(AND(ISNUMBER(C23),C23&gt;0,ISNUMBER(D23)),D23/C23,"")</f>
        <v/>
      </c>
      <c r="F23" s="21">
        <f>IF(A23="","",SUMIF(Fichas!$B$4:$B$603,A23,Fichas!$F$4:$F$603))</f>
        <v/>
      </c>
      <c r="G23" s="8">
        <f>IF(OR(A23="",F23="",N(C23)=0),"",ROUNDUP(F23/C23,0))</f>
        <v/>
      </c>
    </row>
    <row r="24">
      <c r="A24" s="19" t="inlineStr">
        <is>
          <t>Chocolate granulado</t>
        </is>
      </c>
      <c r="B24" s="19" t="inlineStr">
        <is>
          <t>g</t>
        </is>
      </c>
      <c r="C24" s="19" t="n">
        <v>500</v>
      </c>
      <c r="D24" s="13" t="n">
        <v>14.9</v>
      </c>
      <c r="E24" s="20">
        <f>IF(AND(ISNUMBER(C24),C24&gt;0,ISNUMBER(D24)),D24/C24,"")</f>
        <v/>
      </c>
      <c r="F24" s="21">
        <f>IF(A24="","",SUMIF(Fichas!$B$4:$B$603,A24,Fichas!$F$4:$F$603))</f>
        <v/>
      </c>
      <c r="G24" s="8">
        <f>IF(OR(A24="",F24="",N(C24)=0),"",ROUNDUP(F24/C24,0))</f>
        <v/>
      </c>
    </row>
    <row r="25">
      <c r="A25" s="19" t="inlineStr">
        <is>
          <t>Forminha nº 4 (cento)</t>
        </is>
      </c>
      <c r="B25" s="19" t="inlineStr">
        <is>
          <t>un</t>
        </is>
      </c>
      <c r="C25" s="19" t="n">
        <v>100</v>
      </c>
      <c r="D25" s="13" t="n">
        <v>5.9</v>
      </c>
      <c r="E25" s="20">
        <f>IF(AND(ISNUMBER(C25),C25&gt;0,ISNUMBER(D25)),D25/C25,"")</f>
        <v/>
      </c>
      <c r="F25" s="21">
        <f>IF(A25="","",SUMIF(Fichas!$B$4:$B$603,A25,Fichas!$F$4:$F$603))</f>
        <v/>
      </c>
      <c r="G25" s="8">
        <f>IF(OR(A25="",F25="",N(C25)=0),"",ROUNDUP(F25/C25,0))</f>
        <v/>
      </c>
    </row>
    <row r="26">
      <c r="A26" s="19" t="inlineStr">
        <is>
          <t>Pote marmita 750 ml c/ tampa</t>
        </is>
      </c>
      <c r="B26" s="19" t="inlineStr">
        <is>
          <t>un</t>
        </is>
      </c>
      <c r="C26" s="19" t="n">
        <v>25</v>
      </c>
      <c r="D26" s="13" t="n">
        <v>24.9</v>
      </c>
      <c r="E26" s="20">
        <f>IF(AND(ISNUMBER(C26),C26&gt;0,ISNUMBER(D26)),D26/C26,"")</f>
        <v/>
      </c>
      <c r="F26" s="21">
        <f>IF(A26="","",SUMIF(Fichas!$B$4:$B$603,A26,Fichas!$F$4:$F$603))</f>
        <v/>
      </c>
      <c r="G26" s="8">
        <f>IF(OR(A26="",F26="",N(C26)=0),"",ROUNDUP(F26/C26,0))</f>
        <v/>
      </c>
    </row>
    <row r="27">
      <c r="A27" s="19" t="inlineStr">
        <is>
          <t>Saco/embalagem coxinha (cento)</t>
        </is>
      </c>
      <c r="B27" s="19" t="inlineStr">
        <is>
          <t>un</t>
        </is>
      </c>
      <c r="C27" s="19" t="n">
        <v>100</v>
      </c>
      <c r="D27" s="13" t="n">
        <v>12.9</v>
      </c>
      <c r="E27" s="20">
        <f>IF(AND(ISNUMBER(C27),C27&gt;0,ISNUMBER(D27)),D27/C27,"")</f>
        <v/>
      </c>
      <c r="F27" s="21">
        <f>IF(A27="","",SUMIF(Fichas!$B$4:$B$603,A27,Fichas!$F$4:$F$603))</f>
        <v/>
      </c>
      <c r="G27" s="8">
        <f>IF(OR(A27="",F27="",N(C27)=0),"",ROUNDUP(F27/C27,0))</f>
        <v/>
      </c>
    </row>
    <row r="28">
      <c r="A28" s="19" t="inlineStr">
        <is>
          <t>Caixa brigadeiro 4 un</t>
        </is>
      </c>
      <c r="B28" s="19" t="inlineStr">
        <is>
          <t>un</t>
        </is>
      </c>
      <c r="C28" s="19" t="n">
        <v>20</v>
      </c>
      <c r="D28" s="13" t="n">
        <v>17.9</v>
      </c>
      <c r="E28" s="20">
        <f>IF(AND(ISNUMBER(C28),C28&gt;0,ISNUMBER(D28)),D28/C28,"")</f>
        <v/>
      </c>
      <c r="F28" s="21">
        <f>IF(A28="","",SUMIF(Fichas!$B$4:$B$603,A28,Fichas!$F$4:$F$603))</f>
        <v/>
      </c>
      <c r="G28" s="8">
        <f>IF(OR(A28="",F28="",N(C28)=0),"",ROUNDUP(F28/C28,0))</f>
        <v/>
      </c>
    </row>
    <row r="29">
      <c r="A29" s="19" t="inlineStr">
        <is>
          <t>Etiqueta/adesivo</t>
        </is>
      </c>
      <c r="B29" s="19" t="inlineStr">
        <is>
          <t>un</t>
        </is>
      </c>
      <c r="C29" s="19" t="n">
        <v>100</v>
      </c>
      <c r="D29" s="13" t="n">
        <v>12</v>
      </c>
      <c r="E29" s="20">
        <f>IF(AND(ISNUMBER(C29),C29&gt;0,ISNUMBER(D29)),D29/C29,"")</f>
        <v/>
      </c>
      <c r="F29" s="21">
        <f>IF(A29="","",SUMIF(Fichas!$B$4:$B$603,A29,Fichas!$F$4:$F$603))</f>
        <v/>
      </c>
      <c r="G29" s="8">
        <f>IF(OR(A29="",F29="",N(C29)=0),"",ROUNDUP(F29/C29,0))</f>
        <v/>
      </c>
    </row>
    <row r="30">
      <c r="A30" s="19" t="n"/>
      <c r="B30" s="19" t="n"/>
      <c r="C30" s="19" t="n"/>
      <c r="D30" s="13" t="n"/>
      <c r="E30" s="20">
        <f>IF(AND(ISNUMBER(C30),C30&gt;0,ISNUMBER(D30)),D30/C30,"")</f>
        <v/>
      </c>
      <c r="F30" s="21">
        <f>IF(A30="","",SUMIF(Fichas!$B$4:$B$603,A30,Fichas!$F$4:$F$603))</f>
        <v/>
      </c>
      <c r="G30" s="8">
        <f>IF(OR(A30="",F30="",N(C30)=0),"",ROUNDUP(F30/C30,0))</f>
        <v/>
      </c>
    </row>
    <row r="31">
      <c r="A31" s="19" t="n"/>
      <c r="B31" s="19" t="n"/>
      <c r="C31" s="19" t="n"/>
      <c r="D31" s="13" t="n"/>
      <c r="E31" s="20">
        <f>IF(AND(ISNUMBER(C31),C31&gt;0,ISNUMBER(D31)),D31/C31,"")</f>
        <v/>
      </c>
      <c r="F31" s="21">
        <f>IF(A31="","",SUMIF(Fichas!$B$4:$B$603,A31,Fichas!$F$4:$F$603))</f>
        <v/>
      </c>
      <c r="G31" s="8">
        <f>IF(OR(A31="",F31="",N(C31)=0),"",ROUNDUP(F31/C31,0))</f>
        <v/>
      </c>
    </row>
    <row r="32">
      <c r="A32" s="19" t="n"/>
      <c r="B32" s="19" t="n"/>
      <c r="C32" s="19" t="n"/>
      <c r="D32" s="13" t="n"/>
      <c r="E32" s="20">
        <f>IF(AND(ISNUMBER(C32),C32&gt;0,ISNUMBER(D32)),D32/C32,"")</f>
        <v/>
      </c>
      <c r="F32" s="21">
        <f>IF(A32="","",SUMIF(Fichas!$B$4:$B$603,A32,Fichas!$F$4:$F$603))</f>
        <v/>
      </c>
      <c r="G32" s="8">
        <f>IF(OR(A32="",F32="",N(C32)=0),"",ROUNDUP(F32/C32,0))</f>
        <v/>
      </c>
    </row>
    <row r="33">
      <c r="A33" s="19" t="n"/>
      <c r="B33" s="19" t="n"/>
      <c r="C33" s="19" t="n"/>
      <c r="D33" s="13" t="n"/>
      <c r="E33" s="20">
        <f>IF(AND(ISNUMBER(C33),C33&gt;0,ISNUMBER(D33)),D33/C33,"")</f>
        <v/>
      </c>
      <c r="F33" s="21">
        <f>IF(A33="","",SUMIF(Fichas!$B$4:$B$603,A33,Fichas!$F$4:$F$603))</f>
        <v/>
      </c>
      <c r="G33" s="8">
        <f>IF(OR(A33="",F33="",N(C33)=0),"",ROUNDUP(F33/C33,0))</f>
        <v/>
      </c>
    </row>
    <row r="34">
      <c r="A34" s="19" t="n"/>
      <c r="B34" s="19" t="n"/>
      <c r="C34" s="19" t="n"/>
      <c r="D34" s="13" t="n"/>
      <c r="E34" s="20">
        <f>IF(AND(ISNUMBER(C34),C34&gt;0,ISNUMBER(D34)),D34/C34,"")</f>
        <v/>
      </c>
      <c r="F34" s="21">
        <f>IF(A34="","",SUMIF(Fichas!$B$4:$B$603,A34,Fichas!$F$4:$F$603))</f>
        <v/>
      </c>
      <c r="G34" s="8">
        <f>IF(OR(A34="",F34="",N(C34)=0),"",ROUNDUP(F34/C34,0))</f>
        <v/>
      </c>
    </row>
    <row r="35">
      <c r="A35" s="19" t="n"/>
      <c r="B35" s="19" t="n"/>
      <c r="C35" s="19" t="n"/>
      <c r="D35" s="13" t="n"/>
      <c r="E35" s="20">
        <f>IF(AND(ISNUMBER(C35),C35&gt;0,ISNUMBER(D35)),D35/C35,"")</f>
        <v/>
      </c>
      <c r="F35" s="21">
        <f>IF(A35="","",SUMIF(Fichas!$B$4:$B$603,A35,Fichas!$F$4:$F$603))</f>
        <v/>
      </c>
      <c r="G35" s="8">
        <f>IF(OR(A35="",F35="",N(C35)=0),"",ROUNDUP(F35/C35,0))</f>
        <v/>
      </c>
    </row>
    <row r="36">
      <c r="A36" s="19" t="n"/>
      <c r="B36" s="19" t="n"/>
      <c r="C36" s="19" t="n"/>
      <c r="D36" s="13" t="n"/>
      <c r="E36" s="20">
        <f>IF(AND(ISNUMBER(C36),C36&gt;0,ISNUMBER(D36)),D36/C36,"")</f>
        <v/>
      </c>
      <c r="F36" s="21">
        <f>IF(A36="","",SUMIF(Fichas!$B$4:$B$603,A36,Fichas!$F$4:$F$603))</f>
        <v/>
      </c>
      <c r="G36" s="8">
        <f>IF(OR(A36="",F36="",N(C36)=0),"",ROUNDUP(F36/C36,0))</f>
        <v/>
      </c>
    </row>
    <row r="37">
      <c r="A37" s="19" t="n"/>
      <c r="B37" s="19" t="n"/>
      <c r="C37" s="19" t="n"/>
      <c r="D37" s="13" t="n"/>
      <c r="E37" s="20">
        <f>IF(AND(ISNUMBER(C37),C37&gt;0,ISNUMBER(D37)),D37/C37,"")</f>
        <v/>
      </c>
      <c r="F37" s="21">
        <f>IF(A37="","",SUMIF(Fichas!$B$4:$B$603,A37,Fichas!$F$4:$F$603))</f>
        <v/>
      </c>
      <c r="G37" s="8">
        <f>IF(OR(A37="",F37="",N(C37)=0),"",ROUNDUP(F37/C37,0))</f>
        <v/>
      </c>
    </row>
    <row r="38">
      <c r="A38" s="19" t="n"/>
      <c r="B38" s="19" t="n"/>
      <c r="C38" s="19" t="n"/>
      <c r="D38" s="13" t="n"/>
      <c r="E38" s="20">
        <f>IF(AND(ISNUMBER(C38),C38&gt;0,ISNUMBER(D38)),D38/C38,"")</f>
        <v/>
      </c>
      <c r="F38" s="21">
        <f>IF(A38="","",SUMIF(Fichas!$B$4:$B$603,A38,Fichas!$F$4:$F$603))</f>
        <v/>
      </c>
      <c r="G38" s="8">
        <f>IF(OR(A38="",F38="",N(C38)=0),"",ROUNDUP(F38/C38,0))</f>
        <v/>
      </c>
    </row>
    <row r="39">
      <c r="A39" s="19" t="n"/>
      <c r="B39" s="19" t="n"/>
      <c r="C39" s="19" t="n"/>
      <c r="D39" s="13" t="n"/>
      <c r="E39" s="20">
        <f>IF(AND(ISNUMBER(C39),C39&gt;0,ISNUMBER(D39)),D39/C39,"")</f>
        <v/>
      </c>
      <c r="F39" s="21">
        <f>IF(A39="","",SUMIF(Fichas!$B$4:$B$603,A39,Fichas!$F$4:$F$603))</f>
        <v/>
      </c>
      <c r="G39" s="8">
        <f>IF(OR(A39="",F39="",N(C39)=0),"",ROUNDUP(F39/C39,0))</f>
        <v/>
      </c>
    </row>
    <row r="40">
      <c r="A40" s="19" t="n"/>
      <c r="B40" s="19" t="n"/>
      <c r="C40" s="19" t="n"/>
      <c r="D40" s="13" t="n"/>
      <c r="E40" s="20">
        <f>IF(AND(ISNUMBER(C40),C40&gt;0,ISNUMBER(D40)),D40/C40,"")</f>
        <v/>
      </c>
      <c r="F40" s="21">
        <f>IF(A40="","",SUMIF(Fichas!$B$4:$B$603,A40,Fichas!$F$4:$F$603))</f>
        <v/>
      </c>
      <c r="G40" s="8">
        <f>IF(OR(A40="",F40="",N(C40)=0),"",ROUNDUP(F40/C40,0))</f>
        <v/>
      </c>
    </row>
    <row r="41">
      <c r="A41" s="19" t="n"/>
      <c r="B41" s="19" t="n"/>
      <c r="C41" s="19" t="n"/>
      <c r="D41" s="13" t="n"/>
      <c r="E41" s="20">
        <f>IF(AND(ISNUMBER(C41),C41&gt;0,ISNUMBER(D41)),D41/C41,"")</f>
        <v/>
      </c>
      <c r="F41" s="21">
        <f>IF(A41="","",SUMIF(Fichas!$B$4:$B$603,A41,Fichas!$F$4:$F$603))</f>
        <v/>
      </c>
      <c r="G41" s="8">
        <f>IF(OR(A41="",F41="",N(C41)=0),"",ROUNDUP(F41/C41,0))</f>
        <v/>
      </c>
    </row>
    <row r="42">
      <c r="A42" s="19" t="n"/>
      <c r="B42" s="19" t="n"/>
      <c r="C42" s="19" t="n"/>
      <c r="D42" s="13" t="n"/>
      <c r="E42" s="20">
        <f>IF(AND(ISNUMBER(C42),C42&gt;0,ISNUMBER(D42)),D42/C42,"")</f>
        <v/>
      </c>
      <c r="F42" s="21">
        <f>IF(A42="","",SUMIF(Fichas!$B$4:$B$603,A42,Fichas!$F$4:$F$603))</f>
        <v/>
      </c>
      <c r="G42" s="8">
        <f>IF(OR(A42="",F42="",N(C42)=0),"",ROUNDUP(F42/C42,0))</f>
        <v/>
      </c>
    </row>
    <row r="43">
      <c r="A43" s="19" t="n"/>
      <c r="B43" s="19" t="n"/>
      <c r="C43" s="19" t="n"/>
      <c r="D43" s="13" t="n"/>
      <c r="E43" s="20">
        <f>IF(AND(ISNUMBER(C43),C43&gt;0,ISNUMBER(D43)),D43/C43,"")</f>
        <v/>
      </c>
      <c r="F43" s="21">
        <f>IF(A43="","",SUMIF(Fichas!$B$4:$B$603,A43,Fichas!$F$4:$F$603))</f>
        <v/>
      </c>
      <c r="G43" s="8">
        <f>IF(OR(A43="",F43="",N(C43)=0),"",ROUNDUP(F43/C43,0))</f>
        <v/>
      </c>
    </row>
    <row r="44">
      <c r="A44" s="19" t="n"/>
      <c r="B44" s="19" t="n"/>
      <c r="C44" s="19" t="n"/>
      <c r="D44" s="13" t="n"/>
      <c r="E44" s="20">
        <f>IF(AND(ISNUMBER(C44),C44&gt;0,ISNUMBER(D44)),D44/C44,"")</f>
        <v/>
      </c>
      <c r="F44" s="21">
        <f>IF(A44="","",SUMIF(Fichas!$B$4:$B$603,A44,Fichas!$F$4:$F$603))</f>
        <v/>
      </c>
      <c r="G44" s="8">
        <f>IF(OR(A44="",F44="",N(C44)=0),"",ROUNDUP(F44/C44,0))</f>
        <v/>
      </c>
    </row>
    <row r="45">
      <c r="A45" s="19" t="n"/>
      <c r="B45" s="19" t="n"/>
      <c r="C45" s="19" t="n"/>
      <c r="D45" s="13" t="n"/>
      <c r="E45" s="20">
        <f>IF(AND(ISNUMBER(C45),C45&gt;0,ISNUMBER(D45)),D45/C45,"")</f>
        <v/>
      </c>
      <c r="F45" s="21">
        <f>IF(A45="","",SUMIF(Fichas!$B$4:$B$603,A45,Fichas!$F$4:$F$603))</f>
        <v/>
      </c>
      <c r="G45" s="8">
        <f>IF(OR(A45="",F45="",N(C45)=0),"",ROUNDUP(F45/C45,0))</f>
        <v/>
      </c>
    </row>
    <row r="46">
      <c r="A46" s="19" t="n"/>
      <c r="B46" s="19" t="n"/>
      <c r="C46" s="19" t="n"/>
      <c r="D46" s="13" t="n"/>
      <c r="E46" s="20">
        <f>IF(AND(ISNUMBER(C46),C46&gt;0,ISNUMBER(D46)),D46/C46,"")</f>
        <v/>
      </c>
      <c r="F46" s="21">
        <f>IF(A46="","",SUMIF(Fichas!$B$4:$B$603,A46,Fichas!$F$4:$F$603))</f>
        <v/>
      </c>
      <c r="G46" s="8">
        <f>IF(OR(A46="",F46="",N(C46)=0),"",ROUNDUP(F46/C46,0))</f>
        <v/>
      </c>
    </row>
    <row r="47">
      <c r="A47" s="19" t="n"/>
      <c r="B47" s="19" t="n"/>
      <c r="C47" s="19" t="n"/>
      <c r="D47" s="13" t="n"/>
      <c r="E47" s="20">
        <f>IF(AND(ISNUMBER(C47),C47&gt;0,ISNUMBER(D47)),D47/C47,"")</f>
        <v/>
      </c>
      <c r="F47" s="21">
        <f>IF(A47="","",SUMIF(Fichas!$B$4:$B$603,A47,Fichas!$F$4:$F$603))</f>
        <v/>
      </c>
      <c r="G47" s="8">
        <f>IF(OR(A47="",F47="",N(C47)=0),"",ROUNDUP(F47/C47,0))</f>
        <v/>
      </c>
    </row>
    <row r="48">
      <c r="A48" s="19" t="n"/>
      <c r="B48" s="19" t="n"/>
      <c r="C48" s="19" t="n"/>
      <c r="D48" s="13" t="n"/>
      <c r="E48" s="20">
        <f>IF(AND(ISNUMBER(C48),C48&gt;0,ISNUMBER(D48)),D48/C48,"")</f>
        <v/>
      </c>
      <c r="F48" s="21">
        <f>IF(A48="","",SUMIF(Fichas!$B$4:$B$603,A48,Fichas!$F$4:$F$603))</f>
        <v/>
      </c>
      <c r="G48" s="8">
        <f>IF(OR(A48="",F48="",N(C48)=0),"",ROUNDUP(F48/C48,0))</f>
        <v/>
      </c>
    </row>
    <row r="49">
      <c r="A49" s="19" t="n"/>
      <c r="B49" s="19" t="n"/>
      <c r="C49" s="19" t="n"/>
      <c r="D49" s="13" t="n"/>
      <c r="E49" s="20">
        <f>IF(AND(ISNUMBER(C49),C49&gt;0,ISNUMBER(D49)),D49/C49,"")</f>
        <v/>
      </c>
      <c r="F49" s="21">
        <f>IF(A49="","",SUMIF(Fichas!$B$4:$B$603,A49,Fichas!$F$4:$F$603))</f>
        <v/>
      </c>
      <c r="G49" s="8">
        <f>IF(OR(A49="",F49="",N(C49)=0),"",ROUNDUP(F49/C49,0))</f>
        <v/>
      </c>
    </row>
    <row r="50">
      <c r="A50" s="19" t="n"/>
      <c r="B50" s="19" t="n"/>
      <c r="C50" s="19" t="n"/>
      <c r="D50" s="13" t="n"/>
      <c r="E50" s="20">
        <f>IF(AND(ISNUMBER(C50),C50&gt;0,ISNUMBER(D50)),D50/C50,"")</f>
        <v/>
      </c>
      <c r="F50" s="21">
        <f>IF(A50="","",SUMIF(Fichas!$B$4:$B$603,A50,Fichas!$F$4:$F$603))</f>
        <v/>
      </c>
      <c r="G50" s="8">
        <f>IF(OR(A50="",F50="",N(C50)=0),"",ROUNDUP(F50/C50,0))</f>
        <v/>
      </c>
    </row>
    <row r="51">
      <c r="A51" s="19" t="n"/>
      <c r="B51" s="19" t="n"/>
      <c r="C51" s="19" t="n"/>
      <c r="D51" s="13" t="n"/>
      <c r="E51" s="20">
        <f>IF(AND(ISNUMBER(C51),C51&gt;0,ISNUMBER(D51)),D51/C51,"")</f>
        <v/>
      </c>
      <c r="F51" s="21">
        <f>IF(A51="","",SUMIF(Fichas!$B$4:$B$603,A51,Fichas!$F$4:$F$603))</f>
        <v/>
      </c>
      <c r="G51" s="8">
        <f>IF(OR(A51="",F51="",N(C51)=0),"",ROUNDUP(F51/C51,0))</f>
        <v/>
      </c>
    </row>
    <row r="52">
      <c r="A52" s="19" t="n"/>
      <c r="B52" s="19" t="n"/>
      <c r="C52" s="19" t="n"/>
      <c r="D52" s="13" t="n"/>
      <c r="E52" s="20">
        <f>IF(AND(ISNUMBER(C52),C52&gt;0,ISNUMBER(D52)),D52/C52,"")</f>
        <v/>
      </c>
      <c r="F52" s="21">
        <f>IF(A52="","",SUMIF(Fichas!$B$4:$B$603,A52,Fichas!$F$4:$F$603))</f>
        <v/>
      </c>
      <c r="G52" s="8">
        <f>IF(OR(A52="",F52="",N(C52)=0),"",ROUNDUP(F52/C52,0))</f>
        <v/>
      </c>
    </row>
    <row r="53">
      <c r="A53" s="19" t="n"/>
      <c r="B53" s="19" t="n"/>
      <c r="C53" s="19" t="n"/>
      <c r="D53" s="13" t="n"/>
      <c r="E53" s="20">
        <f>IF(AND(ISNUMBER(C53),C53&gt;0,ISNUMBER(D53)),D53/C53,"")</f>
        <v/>
      </c>
      <c r="F53" s="21">
        <f>IF(A53="","",SUMIF(Fichas!$B$4:$B$603,A53,Fichas!$F$4:$F$603))</f>
        <v/>
      </c>
      <c r="G53" s="8">
        <f>IF(OR(A53="",F53="",N(C53)=0),"",ROUNDUP(F53/C53,0))</f>
        <v/>
      </c>
    </row>
    <row r="54">
      <c r="A54" s="19" t="n"/>
      <c r="B54" s="19" t="n"/>
      <c r="C54" s="19" t="n"/>
      <c r="D54" s="13" t="n"/>
      <c r="E54" s="20">
        <f>IF(AND(ISNUMBER(C54),C54&gt;0,ISNUMBER(D54)),D54/C54,"")</f>
        <v/>
      </c>
      <c r="F54" s="21">
        <f>IF(A54="","",SUMIF(Fichas!$B$4:$B$603,A54,Fichas!$F$4:$F$603))</f>
        <v/>
      </c>
      <c r="G54" s="8">
        <f>IF(OR(A54="",F54="",N(C54)=0),"",ROUNDUP(F54/C54,0))</f>
        <v/>
      </c>
    </row>
    <row r="55">
      <c r="A55" s="19" t="n"/>
      <c r="B55" s="19" t="n"/>
      <c r="C55" s="19" t="n"/>
      <c r="D55" s="13" t="n"/>
      <c r="E55" s="20">
        <f>IF(AND(ISNUMBER(C55),C55&gt;0,ISNUMBER(D55)),D55/C55,"")</f>
        <v/>
      </c>
      <c r="F55" s="21">
        <f>IF(A55="","",SUMIF(Fichas!$B$4:$B$603,A55,Fichas!$F$4:$F$603))</f>
        <v/>
      </c>
      <c r="G55" s="8">
        <f>IF(OR(A55="",F55="",N(C55)=0),"",ROUNDUP(F55/C55,0))</f>
        <v/>
      </c>
    </row>
    <row r="56">
      <c r="A56" s="19" t="n"/>
      <c r="B56" s="19" t="n"/>
      <c r="C56" s="19" t="n"/>
      <c r="D56" s="13" t="n"/>
      <c r="E56" s="20">
        <f>IF(AND(ISNUMBER(C56),C56&gt;0,ISNUMBER(D56)),D56/C56,"")</f>
        <v/>
      </c>
      <c r="F56" s="21">
        <f>IF(A56="","",SUMIF(Fichas!$B$4:$B$603,A56,Fichas!$F$4:$F$603))</f>
        <v/>
      </c>
      <c r="G56" s="8">
        <f>IF(OR(A56="",F56="",N(C56)=0),"",ROUNDUP(F56/C56,0))</f>
        <v/>
      </c>
    </row>
    <row r="57">
      <c r="A57" s="19" t="n"/>
      <c r="B57" s="19" t="n"/>
      <c r="C57" s="19" t="n"/>
      <c r="D57" s="13" t="n"/>
      <c r="E57" s="20">
        <f>IF(AND(ISNUMBER(C57),C57&gt;0,ISNUMBER(D57)),D57/C57,"")</f>
        <v/>
      </c>
      <c r="F57" s="21">
        <f>IF(A57="","",SUMIF(Fichas!$B$4:$B$603,A57,Fichas!$F$4:$F$603))</f>
        <v/>
      </c>
      <c r="G57" s="8">
        <f>IF(OR(A57="",F57="",N(C57)=0),"",ROUNDUP(F57/C57,0))</f>
        <v/>
      </c>
    </row>
    <row r="58">
      <c r="A58" s="19" t="n"/>
      <c r="B58" s="19" t="n"/>
      <c r="C58" s="19" t="n"/>
      <c r="D58" s="13" t="n"/>
      <c r="E58" s="20">
        <f>IF(AND(ISNUMBER(C58),C58&gt;0,ISNUMBER(D58)),D58/C58,"")</f>
        <v/>
      </c>
      <c r="F58" s="21">
        <f>IF(A58="","",SUMIF(Fichas!$B$4:$B$603,A58,Fichas!$F$4:$F$603))</f>
        <v/>
      </c>
      <c r="G58" s="8">
        <f>IF(OR(A58="",F58="",N(C58)=0),"",ROUNDUP(F58/C58,0))</f>
        <v/>
      </c>
    </row>
    <row r="59">
      <c r="A59" s="19" t="n"/>
      <c r="B59" s="19" t="n"/>
      <c r="C59" s="19" t="n"/>
      <c r="D59" s="13" t="n"/>
      <c r="E59" s="20">
        <f>IF(AND(ISNUMBER(C59),C59&gt;0,ISNUMBER(D59)),D59/C59,"")</f>
        <v/>
      </c>
      <c r="F59" s="21">
        <f>IF(A59="","",SUMIF(Fichas!$B$4:$B$603,A59,Fichas!$F$4:$F$603))</f>
        <v/>
      </c>
      <c r="G59" s="8">
        <f>IF(OR(A59="",F59="",N(C59)=0),"",ROUNDUP(F59/C59,0))</f>
        <v/>
      </c>
    </row>
    <row r="60">
      <c r="A60" s="19" t="n"/>
      <c r="B60" s="19" t="n"/>
      <c r="C60" s="19" t="n"/>
      <c r="D60" s="13" t="n"/>
      <c r="E60" s="20">
        <f>IF(AND(ISNUMBER(C60),C60&gt;0,ISNUMBER(D60)),D60/C60,"")</f>
        <v/>
      </c>
      <c r="F60" s="21">
        <f>IF(A60="","",SUMIF(Fichas!$B$4:$B$603,A60,Fichas!$F$4:$F$603))</f>
        <v/>
      </c>
      <c r="G60" s="8">
        <f>IF(OR(A60="",F60="",N(C60)=0),"",ROUNDUP(F60/C60,0))</f>
        <v/>
      </c>
    </row>
    <row r="61">
      <c r="A61" s="19" t="n"/>
      <c r="B61" s="19" t="n"/>
      <c r="C61" s="19" t="n"/>
      <c r="D61" s="13" t="n"/>
      <c r="E61" s="20">
        <f>IF(AND(ISNUMBER(C61),C61&gt;0,ISNUMBER(D61)),D61/C61,"")</f>
        <v/>
      </c>
      <c r="F61" s="21">
        <f>IF(A61="","",SUMIF(Fichas!$B$4:$B$603,A61,Fichas!$F$4:$F$603))</f>
        <v/>
      </c>
      <c r="G61" s="8">
        <f>IF(OR(A61="",F61="",N(C61)=0),"",ROUNDUP(F61/C61,0))</f>
        <v/>
      </c>
    </row>
    <row r="62">
      <c r="A62" s="19" t="n"/>
      <c r="B62" s="19" t="n"/>
      <c r="C62" s="19" t="n"/>
      <c r="D62" s="13" t="n"/>
      <c r="E62" s="20">
        <f>IF(AND(ISNUMBER(C62),C62&gt;0,ISNUMBER(D62)),D62/C62,"")</f>
        <v/>
      </c>
      <c r="F62" s="21">
        <f>IF(A62="","",SUMIF(Fichas!$B$4:$B$603,A62,Fichas!$F$4:$F$603))</f>
        <v/>
      </c>
      <c r="G62" s="8">
        <f>IF(OR(A62="",F62="",N(C62)=0),"",ROUNDUP(F62/C62,0))</f>
        <v/>
      </c>
    </row>
    <row r="63">
      <c r="A63" s="19" t="n"/>
      <c r="B63" s="19" t="n"/>
      <c r="C63" s="19" t="n"/>
      <c r="D63" s="13" t="n"/>
      <c r="E63" s="20">
        <f>IF(AND(ISNUMBER(C63),C63&gt;0,ISNUMBER(D63)),D63/C63,"")</f>
        <v/>
      </c>
      <c r="F63" s="21">
        <f>IF(A63="","",SUMIF(Fichas!$B$4:$B$603,A63,Fichas!$F$4:$F$603))</f>
        <v/>
      </c>
      <c r="G63" s="8">
        <f>IF(OR(A63="",F63="",N(C63)=0),"",ROUNDUP(F63/C63,0))</f>
        <v/>
      </c>
    </row>
    <row r="64">
      <c r="A64" s="19" t="n"/>
      <c r="B64" s="19" t="n"/>
      <c r="C64" s="19" t="n"/>
      <c r="D64" s="13" t="n"/>
      <c r="E64" s="20">
        <f>IF(AND(ISNUMBER(C64),C64&gt;0,ISNUMBER(D64)),D64/C64,"")</f>
        <v/>
      </c>
      <c r="F64" s="21">
        <f>IF(A64="","",SUMIF(Fichas!$B$4:$B$603,A64,Fichas!$F$4:$F$603))</f>
        <v/>
      </c>
      <c r="G64" s="8">
        <f>IF(OR(A64="",F64="",N(C64)=0),"",ROUNDUP(F64/C64,0))</f>
        <v/>
      </c>
    </row>
    <row r="65">
      <c r="A65" s="19" t="n"/>
      <c r="B65" s="19" t="n"/>
      <c r="C65" s="19" t="n"/>
      <c r="D65" s="13" t="n"/>
      <c r="E65" s="20">
        <f>IF(AND(ISNUMBER(C65),C65&gt;0,ISNUMBER(D65)),D65/C65,"")</f>
        <v/>
      </c>
      <c r="F65" s="21">
        <f>IF(A65="","",SUMIF(Fichas!$B$4:$B$603,A65,Fichas!$F$4:$F$603))</f>
        <v/>
      </c>
      <c r="G65" s="8">
        <f>IF(OR(A65="",F65="",N(C65)=0),"",ROUNDUP(F65/C65,0))</f>
        <v/>
      </c>
    </row>
    <row r="66">
      <c r="A66" s="19" t="n"/>
      <c r="B66" s="19" t="n"/>
      <c r="C66" s="19" t="n"/>
      <c r="D66" s="13" t="n"/>
      <c r="E66" s="20">
        <f>IF(AND(ISNUMBER(C66),C66&gt;0,ISNUMBER(D66)),D66/C66,"")</f>
        <v/>
      </c>
      <c r="F66" s="21">
        <f>IF(A66="","",SUMIF(Fichas!$B$4:$B$603,A66,Fichas!$F$4:$F$603))</f>
        <v/>
      </c>
      <c r="G66" s="8">
        <f>IF(OR(A66="",F66="",N(C66)=0),"",ROUNDUP(F66/C66,0))</f>
        <v/>
      </c>
    </row>
    <row r="67">
      <c r="A67" s="19" t="n"/>
      <c r="B67" s="19" t="n"/>
      <c r="C67" s="19" t="n"/>
      <c r="D67" s="13" t="n"/>
      <c r="E67" s="20">
        <f>IF(AND(ISNUMBER(C67),C67&gt;0,ISNUMBER(D67)),D67/C67,"")</f>
        <v/>
      </c>
      <c r="F67" s="21">
        <f>IF(A67="","",SUMIF(Fichas!$B$4:$B$603,A67,Fichas!$F$4:$F$603))</f>
        <v/>
      </c>
      <c r="G67" s="8">
        <f>IF(OR(A67="",F67="",N(C67)=0),"",ROUNDUP(F67/C67,0))</f>
        <v/>
      </c>
    </row>
    <row r="68">
      <c r="A68" s="19" t="n"/>
      <c r="B68" s="19" t="n"/>
      <c r="C68" s="19" t="n"/>
      <c r="D68" s="13" t="n"/>
      <c r="E68" s="20">
        <f>IF(AND(ISNUMBER(C68),C68&gt;0,ISNUMBER(D68)),D68/C68,"")</f>
        <v/>
      </c>
      <c r="F68" s="21">
        <f>IF(A68="","",SUMIF(Fichas!$B$4:$B$603,A68,Fichas!$F$4:$F$603))</f>
        <v/>
      </c>
      <c r="G68" s="8">
        <f>IF(OR(A68="",F68="",N(C68)=0),"",ROUNDUP(F68/C68,0))</f>
        <v/>
      </c>
    </row>
    <row r="69">
      <c r="A69" s="19" t="n"/>
      <c r="B69" s="19" t="n"/>
      <c r="C69" s="19" t="n"/>
      <c r="D69" s="13" t="n"/>
      <c r="E69" s="20">
        <f>IF(AND(ISNUMBER(C69),C69&gt;0,ISNUMBER(D69)),D69/C69,"")</f>
        <v/>
      </c>
      <c r="F69" s="21">
        <f>IF(A69="","",SUMIF(Fichas!$B$4:$B$603,A69,Fichas!$F$4:$F$603))</f>
        <v/>
      </c>
      <c r="G69" s="8">
        <f>IF(OR(A69="",F69="",N(C69)=0),"",ROUNDUP(F69/C69,0))</f>
        <v/>
      </c>
    </row>
    <row r="70">
      <c r="A70" s="19" t="n"/>
      <c r="B70" s="19" t="n"/>
      <c r="C70" s="19" t="n"/>
      <c r="D70" s="13" t="n"/>
      <c r="E70" s="20">
        <f>IF(AND(ISNUMBER(C70),C70&gt;0,ISNUMBER(D70)),D70/C70,"")</f>
        <v/>
      </c>
      <c r="F70" s="21">
        <f>IF(A70="","",SUMIF(Fichas!$B$4:$B$603,A70,Fichas!$F$4:$F$603))</f>
        <v/>
      </c>
      <c r="G70" s="8">
        <f>IF(OR(A70="",F70="",N(C70)=0),"",ROUNDUP(F70/C70,0))</f>
        <v/>
      </c>
    </row>
    <row r="71">
      <c r="A71" s="19" t="n"/>
      <c r="B71" s="19" t="n"/>
      <c r="C71" s="19" t="n"/>
      <c r="D71" s="13" t="n"/>
      <c r="E71" s="20">
        <f>IF(AND(ISNUMBER(C71),C71&gt;0,ISNUMBER(D71)),D71/C71,"")</f>
        <v/>
      </c>
      <c r="F71" s="21">
        <f>IF(A71="","",SUMIF(Fichas!$B$4:$B$603,A71,Fichas!$F$4:$F$603))</f>
        <v/>
      </c>
      <c r="G71" s="8">
        <f>IF(OR(A71="",F71="",N(C71)=0),"",ROUNDUP(F71/C71,0))</f>
        <v/>
      </c>
    </row>
    <row r="72">
      <c r="A72" s="19" t="n"/>
      <c r="B72" s="19" t="n"/>
      <c r="C72" s="19" t="n"/>
      <c r="D72" s="13" t="n"/>
      <c r="E72" s="20">
        <f>IF(AND(ISNUMBER(C72),C72&gt;0,ISNUMBER(D72)),D72/C72,"")</f>
        <v/>
      </c>
      <c r="F72" s="21">
        <f>IF(A72="","",SUMIF(Fichas!$B$4:$B$603,A72,Fichas!$F$4:$F$603))</f>
        <v/>
      </c>
      <c r="G72" s="8">
        <f>IF(OR(A72="",F72="",N(C72)=0),"",ROUNDUP(F72/C72,0))</f>
        <v/>
      </c>
    </row>
    <row r="73">
      <c r="A73" s="19" t="n"/>
      <c r="B73" s="19" t="n"/>
      <c r="C73" s="19" t="n"/>
      <c r="D73" s="13" t="n"/>
      <c r="E73" s="20">
        <f>IF(AND(ISNUMBER(C73),C73&gt;0,ISNUMBER(D73)),D73/C73,"")</f>
        <v/>
      </c>
      <c r="F73" s="21">
        <f>IF(A73="","",SUMIF(Fichas!$B$4:$B$603,A73,Fichas!$F$4:$F$603))</f>
        <v/>
      </c>
      <c r="G73" s="8">
        <f>IF(OR(A73="",F73="",N(C73)=0),"",ROUNDUP(F73/C73,0))</f>
        <v/>
      </c>
    </row>
    <row r="74">
      <c r="A74" s="19" t="n"/>
      <c r="B74" s="19" t="n"/>
      <c r="C74" s="19" t="n"/>
      <c r="D74" s="13" t="n"/>
      <c r="E74" s="20">
        <f>IF(AND(ISNUMBER(C74),C74&gt;0,ISNUMBER(D74)),D74/C74,"")</f>
        <v/>
      </c>
      <c r="F74" s="21">
        <f>IF(A74="","",SUMIF(Fichas!$B$4:$B$603,A74,Fichas!$F$4:$F$603))</f>
        <v/>
      </c>
      <c r="G74" s="8">
        <f>IF(OR(A74="",F74="",N(C74)=0),"",ROUNDUP(F74/C74,0))</f>
        <v/>
      </c>
    </row>
    <row r="75">
      <c r="A75" s="19" t="n"/>
      <c r="B75" s="19" t="n"/>
      <c r="C75" s="19" t="n"/>
      <c r="D75" s="13" t="n"/>
      <c r="E75" s="20">
        <f>IF(AND(ISNUMBER(C75),C75&gt;0,ISNUMBER(D75)),D75/C75,"")</f>
        <v/>
      </c>
      <c r="F75" s="21">
        <f>IF(A75="","",SUMIF(Fichas!$B$4:$B$603,A75,Fichas!$F$4:$F$603))</f>
        <v/>
      </c>
      <c r="G75" s="8">
        <f>IF(OR(A75="",F75="",N(C75)=0),"",ROUNDUP(F75/C75,0))</f>
        <v/>
      </c>
    </row>
    <row r="76">
      <c r="A76" s="19" t="n"/>
      <c r="B76" s="19" t="n"/>
      <c r="C76" s="19" t="n"/>
      <c r="D76" s="13" t="n"/>
      <c r="E76" s="20">
        <f>IF(AND(ISNUMBER(C76),C76&gt;0,ISNUMBER(D76)),D76/C76,"")</f>
        <v/>
      </c>
      <c r="F76" s="21">
        <f>IF(A76="","",SUMIF(Fichas!$B$4:$B$603,A76,Fichas!$F$4:$F$603))</f>
        <v/>
      </c>
      <c r="G76" s="8">
        <f>IF(OR(A76="",F76="",N(C76)=0),"",ROUNDUP(F76/C76,0))</f>
        <v/>
      </c>
    </row>
    <row r="77">
      <c r="A77" s="19" t="n"/>
      <c r="B77" s="19" t="n"/>
      <c r="C77" s="19" t="n"/>
      <c r="D77" s="13" t="n"/>
      <c r="E77" s="20">
        <f>IF(AND(ISNUMBER(C77),C77&gt;0,ISNUMBER(D77)),D77/C77,"")</f>
        <v/>
      </c>
      <c r="F77" s="21">
        <f>IF(A77="","",SUMIF(Fichas!$B$4:$B$603,A77,Fichas!$F$4:$F$603))</f>
        <v/>
      </c>
      <c r="G77" s="8">
        <f>IF(OR(A77="",F77="",N(C77)=0),"",ROUNDUP(F77/C77,0))</f>
        <v/>
      </c>
    </row>
    <row r="78">
      <c r="A78" s="19" t="n"/>
      <c r="B78" s="19" t="n"/>
      <c r="C78" s="19" t="n"/>
      <c r="D78" s="13" t="n"/>
      <c r="E78" s="20">
        <f>IF(AND(ISNUMBER(C78),C78&gt;0,ISNUMBER(D78)),D78/C78,"")</f>
        <v/>
      </c>
      <c r="F78" s="21">
        <f>IF(A78="","",SUMIF(Fichas!$B$4:$B$603,A78,Fichas!$F$4:$F$603))</f>
        <v/>
      </c>
      <c r="G78" s="8">
        <f>IF(OR(A78="",F78="",N(C78)=0),"",ROUNDUP(F78/C78,0))</f>
        <v/>
      </c>
    </row>
    <row r="79">
      <c r="A79" s="19" t="n"/>
      <c r="B79" s="19" t="n"/>
      <c r="C79" s="19" t="n"/>
      <c r="D79" s="13" t="n"/>
      <c r="E79" s="20">
        <f>IF(AND(ISNUMBER(C79),C79&gt;0,ISNUMBER(D79)),D79/C79,"")</f>
        <v/>
      </c>
      <c r="F79" s="21">
        <f>IF(A79="","",SUMIF(Fichas!$B$4:$B$603,A79,Fichas!$F$4:$F$603))</f>
        <v/>
      </c>
      <c r="G79" s="8">
        <f>IF(OR(A79="",F79="",N(C79)=0),"",ROUNDUP(F79/C79,0))</f>
        <v/>
      </c>
    </row>
    <row r="80">
      <c r="A80" s="19" t="n"/>
      <c r="B80" s="19" t="n"/>
      <c r="C80" s="19" t="n"/>
      <c r="D80" s="13" t="n"/>
      <c r="E80" s="20">
        <f>IF(AND(ISNUMBER(C80),C80&gt;0,ISNUMBER(D80)),D80/C80,"")</f>
        <v/>
      </c>
      <c r="F80" s="21">
        <f>IF(A80="","",SUMIF(Fichas!$B$4:$B$603,A80,Fichas!$F$4:$F$603))</f>
        <v/>
      </c>
      <c r="G80" s="8">
        <f>IF(OR(A80="",F80="",N(C80)=0),"",ROUNDUP(F80/C80,0))</f>
        <v/>
      </c>
    </row>
    <row r="81">
      <c r="A81" s="19" t="n"/>
      <c r="B81" s="19" t="n"/>
      <c r="C81" s="19" t="n"/>
      <c r="D81" s="13" t="n"/>
      <c r="E81" s="20">
        <f>IF(AND(ISNUMBER(C81),C81&gt;0,ISNUMBER(D81)),D81/C81,"")</f>
        <v/>
      </c>
      <c r="F81" s="21">
        <f>IF(A81="","",SUMIF(Fichas!$B$4:$B$603,A81,Fichas!$F$4:$F$603))</f>
        <v/>
      </c>
      <c r="G81" s="8">
        <f>IF(OR(A81="",F81="",N(C81)=0),"",ROUNDUP(F81/C81,0))</f>
        <v/>
      </c>
    </row>
    <row r="82">
      <c r="A82" s="19" t="n"/>
      <c r="B82" s="19" t="n"/>
      <c r="C82" s="19" t="n"/>
      <c r="D82" s="13" t="n"/>
      <c r="E82" s="20">
        <f>IF(AND(ISNUMBER(C82),C82&gt;0,ISNUMBER(D82)),D82/C82,"")</f>
        <v/>
      </c>
      <c r="F82" s="21">
        <f>IF(A82="","",SUMIF(Fichas!$B$4:$B$603,A82,Fichas!$F$4:$F$603))</f>
        <v/>
      </c>
      <c r="G82" s="8">
        <f>IF(OR(A82="",F82="",N(C82)=0),"",ROUNDUP(F82/C82,0))</f>
        <v/>
      </c>
    </row>
    <row r="83">
      <c r="A83" s="19" t="n"/>
      <c r="B83" s="19" t="n"/>
      <c r="C83" s="19" t="n"/>
      <c r="D83" s="13" t="n"/>
      <c r="E83" s="20">
        <f>IF(AND(ISNUMBER(C83),C83&gt;0,ISNUMBER(D83)),D83/C83,"")</f>
        <v/>
      </c>
      <c r="F83" s="21">
        <f>IF(A83="","",SUMIF(Fichas!$B$4:$B$603,A83,Fichas!$F$4:$F$603))</f>
        <v/>
      </c>
      <c r="G83" s="8">
        <f>IF(OR(A83="",F83="",N(C83)=0),"",ROUNDUP(F83/C83,0))</f>
        <v/>
      </c>
    </row>
    <row r="84">
      <c r="A84" s="19" t="n"/>
      <c r="B84" s="19" t="n"/>
      <c r="C84" s="19" t="n"/>
      <c r="D84" s="13" t="n"/>
      <c r="E84" s="20">
        <f>IF(AND(ISNUMBER(C84),C84&gt;0,ISNUMBER(D84)),D84/C84,"")</f>
        <v/>
      </c>
      <c r="F84" s="21">
        <f>IF(A84="","",SUMIF(Fichas!$B$4:$B$603,A84,Fichas!$F$4:$F$603))</f>
        <v/>
      </c>
      <c r="G84" s="8">
        <f>IF(OR(A84="",F84="",N(C84)=0),"",ROUNDUP(F84/C84,0))</f>
        <v/>
      </c>
    </row>
    <row r="85">
      <c r="A85" s="19" t="n"/>
      <c r="B85" s="19" t="n"/>
      <c r="C85" s="19" t="n"/>
      <c r="D85" s="13" t="n"/>
      <c r="E85" s="20">
        <f>IF(AND(ISNUMBER(C85),C85&gt;0,ISNUMBER(D85)),D85/C85,"")</f>
        <v/>
      </c>
      <c r="F85" s="21">
        <f>IF(A85="","",SUMIF(Fichas!$B$4:$B$603,A85,Fichas!$F$4:$F$603))</f>
        <v/>
      </c>
      <c r="G85" s="8">
        <f>IF(OR(A85="",F85="",N(C85)=0),"",ROUNDUP(F85/C85,0))</f>
        <v/>
      </c>
    </row>
    <row r="86">
      <c r="A86" s="19" t="n"/>
      <c r="B86" s="19" t="n"/>
      <c r="C86" s="19" t="n"/>
      <c r="D86" s="13" t="n"/>
      <c r="E86" s="20">
        <f>IF(AND(ISNUMBER(C86),C86&gt;0,ISNUMBER(D86)),D86/C86,"")</f>
        <v/>
      </c>
      <c r="F86" s="21">
        <f>IF(A86="","",SUMIF(Fichas!$B$4:$B$603,A86,Fichas!$F$4:$F$603))</f>
        <v/>
      </c>
      <c r="G86" s="8">
        <f>IF(OR(A86="",F86="",N(C86)=0),"",ROUNDUP(F86/C86,0))</f>
        <v/>
      </c>
    </row>
    <row r="87">
      <c r="A87" s="19" t="n"/>
      <c r="B87" s="19" t="n"/>
      <c r="C87" s="19" t="n"/>
      <c r="D87" s="13" t="n"/>
      <c r="E87" s="20">
        <f>IF(AND(ISNUMBER(C87),C87&gt;0,ISNUMBER(D87)),D87/C87,"")</f>
        <v/>
      </c>
      <c r="F87" s="21">
        <f>IF(A87="","",SUMIF(Fichas!$B$4:$B$603,A87,Fichas!$F$4:$F$603))</f>
        <v/>
      </c>
      <c r="G87" s="8">
        <f>IF(OR(A87="",F87="",N(C87)=0),"",ROUNDUP(F87/C87,0))</f>
        <v/>
      </c>
    </row>
    <row r="88">
      <c r="A88" s="19" t="n"/>
      <c r="B88" s="19" t="n"/>
      <c r="C88" s="19" t="n"/>
      <c r="D88" s="13" t="n"/>
      <c r="E88" s="20">
        <f>IF(AND(ISNUMBER(C88),C88&gt;0,ISNUMBER(D88)),D88/C88,"")</f>
        <v/>
      </c>
      <c r="F88" s="21">
        <f>IF(A88="","",SUMIF(Fichas!$B$4:$B$603,A88,Fichas!$F$4:$F$603))</f>
        <v/>
      </c>
      <c r="G88" s="8">
        <f>IF(OR(A88="",F88="",N(C88)=0),"",ROUNDUP(F88/C88,0))</f>
        <v/>
      </c>
    </row>
    <row r="89">
      <c r="A89" s="19" t="n"/>
      <c r="B89" s="19" t="n"/>
      <c r="C89" s="19" t="n"/>
      <c r="D89" s="13" t="n"/>
      <c r="E89" s="20">
        <f>IF(AND(ISNUMBER(C89),C89&gt;0,ISNUMBER(D89)),D89/C89,"")</f>
        <v/>
      </c>
      <c r="F89" s="21">
        <f>IF(A89="","",SUMIF(Fichas!$B$4:$B$603,A89,Fichas!$F$4:$F$603))</f>
        <v/>
      </c>
      <c r="G89" s="8">
        <f>IF(OR(A89="",F89="",N(C89)=0),"",ROUNDUP(F89/C89,0))</f>
        <v/>
      </c>
    </row>
    <row r="90">
      <c r="A90" s="19" t="n"/>
      <c r="B90" s="19" t="n"/>
      <c r="C90" s="19" t="n"/>
      <c r="D90" s="13" t="n"/>
      <c r="E90" s="20">
        <f>IF(AND(ISNUMBER(C90),C90&gt;0,ISNUMBER(D90)),D90/C90,"")</f>
        <v/>
      </c>
      <c r="F90" s="21">
        <f>IF(A90="","",SUMIF(Fichas!$B$4:$B$603,A90,Fichas!$F$4:$F$603))</f>
        <v/>
      </c>
      <c r="G90" s="8">
        <f>IF(OR(A90="",F90="",N(C90)=0),"",ROUNDUP(F90/C90,0))</f>
        <v/>
      </c>
    </row>
    <row r="91">
      <c r="A91" s="19" t="n"/>
      <c r="B91" s="19" t="n"/>
      <c r="C91" s="19" t="n"/>
      <c r="D91" s="13" t="n"/>
      <c r="E91" s="20">
        <f>IF(AND(ISNUMBER(C91),C91&gt;0,ISNUMBER(D91)),D91/C91,"")</f>
        <v/>
      </c>
      <c r="F91" s="21">
        <f>IF(A91="","",SUMIF(Fichas!$B$4:$B$603,A91,Fichas!$F$4:$F$603))</f>
        <v/>
      </c>
      <c r="G91" s="8">
        <f>IF(OR(A91="",F91="",N(C91)=0),"",ROUNDUP(F91/C91,0))</f>
        <v/>
      </c>
    </row>
    <row r="92">
      <c r="A92" s="19" t="n"/>
      <c r="B92" s="19" t="n"/>
      <c r="C92" s="19" t="n"/>
      <c r="D92" s="13" t="n"/>
      <c r="E92" s="20">
        <f>IF(AND(ISNUMBER(C92),C92&gt;0,ISNUMBER(D92)),D92/C92,"")</f>
        <v/>
      </c>
      <c r="F92" s="21">
        <f>IF(A92="","",SUMIF(Fichas!$B$4:$B$603,A92,Fichas!$F$4:$F$603))</f>
        <v/>
      </c>
      <c r="G92" s="8">
        <f>IF(OR(A92="",F92="",N(C92)=0),"",ROUNDUP(F92/C92,0))</f>
        <v/>
      </c>
    </row>
    <row r="93">
      <c r="A93" s="19" t="n"/>
      <c r="B93" s="19" t="n"/>
      <c r="C93" s="19" t="n"/>
      <c r="D93" s="13" t="n"/>
      <c r="E93" s="20">
        <f>IF(AND(ISNUMBER(C93),C93&gt;0,ISNUMBER(D93)),D93/C93,"")</f>
        <v/>
      </c>
      <c r="F93" s="21">
        <f>IF(A93="","",SUMIF(Fichas!$B$4:$B$603,A93,Fichas!$F$4:$F$603))</f>
        <v/>
      </c>
      <c r="G93" s="8">
        <f>IF(OR(A93="",F93="",N(C93)=0),"",ROUNDUP(F93/C93,0))</f>
        <v/>
      </c>
    </row>
    <row r="94">
      <c r="A94" s="19" t="n"/>
      <c r="B94" s="19" t="n"/>
      <c r="C94" s="19" t="n"/>
      <c r="D94" s="13" t="n"/>
      <c r="E94" s="20">
        <f>IF(AND(ISNUMBER(C94),C94&gt;0,ISNUMBER(D94)),D94/C94,"")</f>
        <v/>
      </c>
      <c r="F94" s="21">
        <f>IF(A94="","",SUMIF(Fichas!$B$4:$B$603,A94,Fichas!$F$4:$F$603))</f>
        <v/>
      </c>
      <c r="G94" s="8">
        <f>IF(OR(A94="",F94="",N(C94)=0),"",ROUNDUP(F94/C94,0))</f>
        <v/>
      </c>
    </row>
    <row r="95">
      <c r="A95" s="19" t="n"/>
      <c r="B95" s="19" t="n"/>
      <c r="C95" s="19" t="n"/>
      <c r="D95" s="13" t="n"/>
      <c r="E95" s="20">
        <f>IF(AND(ISNUMBER(C95),C95&gt;0,ISNUMBER(D95)),D95/C95,"")</f>
        <v/>
      </c>
      <c r="F95" s="21">
        <f>IF(A95="","",SUMIF(Fichas!$B$4:$B$603,A95,Fichas!$F$4:$F$603))</f>
        <v/>
      </c>
      <c r="G95" s="8">
        <f>IF(OR(A95="",F95="",N(C95)=0),"",ROUNDUP(F95/C95,0))</f>
        <v/>
      </c>
    </row>
    <row r="96">
      <c r="A96" s="19" t="n"/>
      <c r="B96" s="19" t="n"/>
      <c r="C96" s="19" t="n"/>
      <c r="D96" s="13" t="n"/>
      <c r="E96" s="20">
        <f>IF(AND(ISNUMBER(C96),C96&gt;0,ISNUMBER(D96)),D96/C96,"")</f>
        <v/>
      </c>
      <c r="F96" s="21">
        <f>IF(A96="","",SUMIF(Fichas!$B$4:$B$603,A96,Fichas!$F$4:$F$603))</f>
        <v/>
      </c>
      <c r="G96" s="8">
        <f>IF(OR(A96="",F96="",N(C96)=0),"",ROUNDUP(F96/C96,0))</f>
        <v/>
      </c>
    </row>
    <row r="97">
      <c r="A97" s="19" t="n"/>
      <c r="B97" s="19" t="n"/>
      <c r="C97" s="19" t="n"/>
      <c r="D97" s="13" t="n"/>
      <c r="E97" s="20">
        <f>IF(AND(ISNUMBER(C97),C97&gt;0,ISNUMBER(D97)),D97/C97,"")</f>
        <v/>
      </c>
      <c r="F97" s="21">
        <f>IF(A97="","",SUMIF(Fichas!$B$4:$B$603,A97,Fichas!$F$4:$F$603))</f>
        <v/>
      </c>
      <c r="G97" s="8">
        <f>IF(OR(A97="",F97="",N(C97)=0),"",ROUNDUP(F97/C97,0))</f>
        <v/>
      </c>
    </row>
    <row r="98">
      <c r="A98" s="19" t="n"/>
      <c r="B98" s="19" t="n"/>
      <c r="C98" s="19" t="n"/>
      <c r="D98" s="13" t="n"/>
      <c r="E98" s="20">
        <f>IF(AND(ISNUMBER(C98),C98&gt;0,ISNUMBER(D98)),D98/C98,"")</f>
        <v/>
      </c>
      <c r="F98" s="21">
        <f>IF(A98="","",SUMIF(Fichas!$B$4:$B$603,A98,Fichas!$F$4:$F$603))</f>
        <v/>
      </c>
      <c r="G98" s="8">
        <f>IF(OR(A98="",F98="",N(C98)=0),"",ROUNDUP(F98/C98,0))</f>
        <v/>
      </c>
    </row>
    <row r="99">
      <c r="A99" s="19" t="n"/>
      <c r="B99" s="19" t="n"/>
      <c r="C99" s="19" t="n"/>
      <c r="D99" s="13" t="n"/>
      <c r="E99" s="20">
        <f>IF(AND(ISNUMBER(C99),C99&gt;0,ISNUMBER(D99)),D99/C99,"")</f>
        <v/>
      </c>
      <c r="F99" s="21">
        <f>IF(A99="","",SUMIF(Fichas!$B$4:$B$603,A99,Fichas!$F$4:$F$603))</f>
        <v/>
      </c>
      <c r="G99" s="8">
        <f>IF(OR(A99="",F99="",N(C99)=0),"",ROUNDUP(F99/C99,0))</f>
        <v/>
      </c>
    </row>
    <row r="100">
      <c r="A100" s="19" t="n"/>
      <c r="B100" s="19" t="n"/>
      <c r="C100" s="19" t="n"/>
      <c r="D100" s="13" t="n"/>
      <c r="E100" s="20">
        <f>IF(AND(ISNUMBER(C100),C100&gt;0,ISNUMBER(D100)),D100/C100,"")</f>
        <v/>
      </c>
      <c r="F100" s="21">
        <f>IF(A100="","",SUMIF(Fichas!$B$4:$B$603,A100,Fichas!$F$4:$F$603))</f>
        <v/>
      </c>
      <c r="G100" s="8">
        <f>IF(OR(A100="",F100="",N(C100)=0),"",ROUNDUP(F100/C100,0))</f>
        <v/>
      </c>
    </row>
    <row r="101">
      <c r="A101" s="19" t="n"/>
      <c r="B101" s="19" t="n"/>
      <c r="C101" s="19" t="n"/>
      <c r="D101" s="13" t="n"/>
      <c r="E101" s="20">
        <f>IF(AND(ISNUMBER(C101),C101&gt;0,ISNUMBER(D101)),D101/C101,"")</f>
        <v/>
      </c>
      <c r="F101" s="21">
        <f>IF(A101="","",SUMIF(Fichas!$B$4:$B$603,A101,Fichas!$F$4:$F$603))</f>
        <v/>
      </c>
      <c r="G101" s="8">
        <f>IF(OR(A101="",F101="",N(C101)=0),"",ROUNDUP(F101/C101,0))</f>
        <v/>
      </c>
    </row>
    <row r="102">
      <c r="A102" s="19" t="n"/>
      <c r="B102" s="19" t="n"/>
      <c r="C102" s="19" t="n"/>
      <c r="D102" s="13" t="n"/>
      <c r="E102" s="20">
        <f>IF(AND(ISNUMBER(C102),C102&gt;0,ISNUMBER(D102)),D102/C102,"")</f>
        <v/>
      </c>
      <c r="F102" s="21">
        <f>IF(A102="","",SUMIF(Fichas!$B$4:$B$603,A102,Fichas!$F$4:$F$603))</f>
        <v/>
      </c>
      <c r="G102" s="8">
        <f>IF(OR(A102="",F102="",N(C102)=0),"",ROUNDUP(F102/C102,0))</f>
        <v/>
      </c>
    </row>
    <row r="103">
      <c r="A103" s="19" t="n"/>
      <c r="B103" s="19" t="n"/>
      <c r="C103" s="19" t="n"/>
      <c r="D103" s="13" t="n"/>
      <c r="E103" s="20">
        <f>IF(AND(ISNUMBER(C103),C103&gt;0,ISNUMBER(D103)),D103/C103,"")</f>
        <v/>
      </c>
      <c r="F103" s="21">
        <f>IF(A103="","",SUMIF(Fichas!$B$4:$B$603,A103,Fichas!$F$4:$F$603))</f>
        <v/>
      </c>
      <c r="G103" s="8">
        <f>IF(OR(A103="",F103="",N(C103)=0),"",ROUNDUP(F103/C103,0))</f>
        <v/>
      </c>
    </row>
    <row r="104">
      <c r="A104" s="19" t="n"/>
      <c r="B104" s="19" t="n"/>
      <c r="C104" s="19" t="n"/>
      <c r="D104" s="13" t="n"/>
      <c r="E104" s="20">
        <f>IF(AND(ISNUMBER(C104),C104&gt;0,ISNUMBER(D104)),D104/C104,"")</f>
        <v/>
      </c>
      <c r="F104" s="21">
        <f>IF(A104="","",SUMIF(Fichas!$B$4:$B$603,A104,Fichas!$F$4:$F$603))</f>
        <v/>
      </c>
      <c r="G104" s="8">
        <f>IF(OR(A104="",F104="",N(C104)=0),"",ROUNDUP(F104/C104,0))</f>
        <v/>
      </c>
    </row>
    <row r="105">
      <c r="A105" s="19" t="n"/>
      <c r="B105" s="19" t="n"/>
      <c r="C105" s="19" t="n"/>
      <c r="D105" s="13" t="n"/>
      <c r="E105" s="20">
        <f>IF(AND(ISNUMBER(C105),C105&gt;0,ISNUMBER(D105)),D105/C105,"")</f>
        <v/>
      </c>
      <c r="F105" s="21">
        <f>IF(A105="","",SUMIF(Fichas!$B$4:$B$603,A105,Fichas!$F$4:$F$603))</f>
        <v/>
      </c>
      <c r="G105" s="8">
        <f>IF(OR(A105="",F105="",N(C105)=0),"",ROUNDUP(F105/C105,0))</f>
        <v/>
      </c>
    </row>
    <row r="106">
      <c r="A106" s="19" t="n"/>
      <c r="B106" s="19" t="n"/>
      <c r="C106" s="19" t="n"/>
      <c r="D106" s="13" t="n"/>
      <c r="E106" s="20">
        <f>IF(AND(ISNUMBER(C106),C106&gt;0,ISNUMBER(D106)),D106/C106,"")</f>
        <v/>
      </c>
      <c r="F106" s="21">
        <f>IF(A106="","",SUMIF(Fichas!$B$4:$B$603,A106,Fichas!$F$4:$F$603))</f>
        <v/>
      </c>
      <c r="G106" s="8">
        <f>IF(OR(A106="",F106="",N(C106)=0),"",ROUNDUP(F106/C106,0))</f>
        <v/>
      </c>
    </row>
    <row r="107">
      <c r="A107" s="19" t="n"/>
      <c r="B107" s="19" t="n"/>
      <c r="C107" s="19" t="n"/>
      <c r="D107" s="13" t="n"/>
      <c r="E107" s="20">
        <f>IF(AND(ISNUMBER(C107),C107&gt;0,ISNUMBER(D107)),D107/C107,"")</f>
        <v/>
      </c>
      <c r="F107" s="21">
        <f>IF(A107="","",SUMIF(Fichas!$B$4:$B$603,A107,Fichas!$F$4:$F$603))</f>
        <v/>
      </c>
      <c r="G107" s="8">
        <f>IF(OR(A107="",F107="",N(C107)=0),"",ROUNDUP(F107/C107,0))</f>
        <v/>
      </c>
    </row>
    <row r="108">
      <c r="A108" s="19" t="n"/>
      <c r="B108" s="19" t="n"/>
      <c r="C108" s="19" t="n"/>
      <c r="D108" s="13" t="n"/>
      <c r="E108" s="20">
        <f>IF(AND(ISNUMBER(C108),C108&gt;0,ISNUMBER(D108)),D108/C108,"")</f>
        <v/>
      </c>
      <c r="F108" s="21">
        <f>IF(A108="","",SUMIF(Fichas!$B$4:$B$603,A108,Fichas!$F$4:$F$603))</f>
        <v/>
      </c>
      <c r="G108" s="8">
        <f>IF(OR(A108="",F108="",N(C108)=0),"",ROUNDUP(F108/C108,0))</f>
        <v/>
      </c>
    </row>
    <row r="109">
      <c r="A109" s="19" t="n"/>
      <c r="B109" s="19" t="n"/>
      <c r="C109" s="19" t="n"/>
      <c r="D109" s="13" t="n"/>
      <c r="E109" s="20">
        <f>IF(AND(ISNUMBER(C109),C109&gt;0,ISNUMBER(D109)),D109/C109,"")</f>
        <v/>
      </c>
      <c r="F109" s="21">
        <f>IF(A109="","",SUMIF(Fichas!$B$4:$B$603,A109,Fichas!$F$4:$F$603))</f>
        <v/>
      </c>
      <c r="G109" s="8">
        <f>IF(OR(A109="",F109="",N(C109)=0),"",ROUNDUP(F109/C109,0))</f>
        <v/>
      </c>
    </row>
    <row r="110">
      <c r="A110" s="19" t="n"/>
      <c r="B110" s="19" t="n"/>
      <c r="C110" s="19" t="n"/>
      <c r="D110" s="13" t="n"/>
      <c r="E110" s="20">
        <f>IF(AND(ISNUMBER(C110),C110&gt;0,ISNUMBER(D110)),D110/C110,"")</f>
        <v/>
      </c>
      <c r="F110" s="21">
        <f>IF(A110="","",SUMIF(Fichas!$B$4:$B$603,A110,Fichas!$F$4:$F$603))</f>
        <v/>
      </c>
      <c r="G110" s="8">
        <f>IF(OR(A110="",F110="",N(C110)=0),"",ROUNDUP(F110/C110,0))</f>
        <v/>
      </c>
    </row>
    <row r="111">
      <c r="A111" s="19" t="n"/>
      <c r="B111" s="19" t="n"/>
      <c r="C111" s="19" t="n"/>
      <c r="D111" s="13" t="n"/>
      <c r="E111" s="20">
        <f>IF(AND(ISNUMBER(C111),C111&gt;0,ISNUMBER(D111)),D111/C111,"")</f>
        <v/>
      </c>
      <c r="F111" s="21">
        <f>IF(A111="","",SUMIF(Fichas!$B$4:$B$603,A111,Fichas!$F$4:$F$603))</f>
        <v/>
      </c>
      <c r="G111" s="8">
        <f>IF(OR(A111="",F111="",N(C111)=0),"",ROUNDUP(F111/C111,0))</f>
        <v/>
      </c>
    </row>
    <row r="112">
      <c r="A112" s="19" t="n"/>
      <c r="B112" s="19" t="n"/>
      <c r="C112" s="19" t="n"/>
      <c r="D112" s="13" t="n"/>
      <c r="E112" s="20">
        <f>IF(AND(ISNUMBER(C112),C112&gt;0,ISNUMBER(D112)),D112/C112,"")</f>
        <v/>
      </c>
      <c r="F112" s="21">
        <f>IF(A112="","",SUMIF(Fichas!$B$4:$B$603,A112,Fichas!$F$4:$F$603))</f>
        <v/>
      </c>
      <c r="G112" s="8">
        <f>IF(OR(A112="",F112="",N(C112)=0),"",ROUNDUP(F112/C112,0))</f>
        <v/>
      </c>
    </row>
    <row r="113">
      <c r="A113" s="19" t="n"/>
      <c r="B113" s="19" t="n"/>
      <c r="C113" s="19" t="n"/>
      <c r="D113" s="13" t="n"/>
      <c r="E113" s="20">
        <f>IF(AND(ISNUMBER(C113),C113&gt;0,ISNUMBER(D113)),D113/C113,"")</f>
        <v/>
      </c>
      <c r="F113" s="21">
        <f>IF(A113="","",SUMIF(Fichas!$B$4:$B$603,A113,Fichas!$F$4:$F$603))</f>
        <v/>
      </c>
      <c r="G113" s="8">
        <f>IF(OR(A113="",F113="",N(C113)=0),"",ROUNDUP(F113/C113,0))</f>
        <v/>
      </c>
    </row>
    <row r="114">
      <c r="A114" s="19" t="n"/>
      <c r="B114" s="19" t="n"/>
      <c r="C114" s="19" t="n"/>
      <c r="D114" s="13" t="n"/>
      <c r="E114" s="20">
        <f>IF(AND(ISNUMBER(C114),C114&gt;0,ISNUMBER(D114)),D114/C114,"")</f>
        <v/>
      </c>
      <c r="F114" s="21">
        <f>IF(A114="","",SUMIF(Fichas!$B$4:$B$603,A114,Fichas!$F$4:$F$603))</f>
        <v/>
      </c>
      <c r="G114" s="8">
        <f>IF(OR(A114="",F114="",N(C114)=0),"",ROUNDUP(F114/C114,0))</f>
        <v/>
      </c>
    </row>
    <row r="115">
      <c r="A115" s="19" t="n"/>
      <c r="B115" s="19" t="n"/>
      <c r="C115" s="19" t="n"/>
      <c r="D115" s="13" t="n"/>
      <c r="E115" s="20">
        <f>IF(AND(ISNUMBER(C115),C115&gt;0,ISNUMBER(D115)),D115/C115,"")</f>
        <v/>
      </c>
      <c r="F115" s="21">
        <f>IF(A115="","",SUMIF(Fichas!$B$4:$B$603,A115,Fichas!$F$4:$F$603))</f>
        <v/>
      </c>
      <c r="G115" s="8">
        <f>IF(OR(A115="",F115="",N(C115)=0),"",ROUNDUP(F115/C115,0))</f>
        <v/>
      </c>
    </row>
    <row r="116">
      <c r="A116" s="19" t="n"/>
      <c r="B116" s="19" t="n"/>
      <c r="C116" s="19" t="n"/>
      <c r="D116" s="13" t="n"/>
      <c r="E116" s="20">
        <f>IF(AND(ISNUMBER(C116),C116&gt;0,ISNUMBER(D116)),D116/C116,"")</f>
        <v/>
      </c>
      <c r="F116" s="21">
        <f>IF(A116="","",SUMIF(Fichas!$B$4:$B$603,A116,Fichas!$F$4:$F$603))</f>
        <v/>
      </c>
      <c r="G116" s="8">
        <f>IF(OR(A116="",F116="",N(C116)=0),"",ROUNDUP(F116/C116,0))</f>
        <v/>
      </c>
    </row>
    <row r="117">
      <c r="A117" s="19" t="n"/>
      <c r="B117" s="19" t="n"/>
      <c r="C117" s="19" t="n"/>
      <c r="D117" s="13" t="n"/>
      <c r="E117" s="20">
        <f>IF(AND(ISNUMBER(C117),C117&gt;0,ISNUMBER(D117)),D117/C117,"")</f>
        <v/>
      </c>
      <c r="F117" s="21">
        <f>IF(A117="","",SUMIF(Fichas!$B$4:$B$603,A117,Fichas!$F$4:$F$603))</f>
        <v/>
      </c>
      <c r="G117" s="8">
        <f>IF(OR(A117="",F117="",N(C117)=0),"",ROUNDUP(F117/C117,0))</f>
        <v/>
      </c>
    </row>
    <row r="118">
      <c r="A118" s="19" t="n"/>
      <c r="B118" s="19" t="n"/>
      <c r="C118" s="19" t="n"/>
      <c r="D118" s="13" t="n"/>
      <c r="E118" s="20">
        <f>IF(AND(ISNUMBER(C118),C118&gt;0,ISNUMBER(D118)),D118/C118,"")</f>
        <v/>
      </c>
      <c r="F118" s="21">
        <f>IF(A118="","",SUMIF(Fichas!$B$4:$B$603,A118,Fichas!$F$4:$F$603))</f>
        <v/>
      </c>
      <c r="G118" s="8">
        <f>IF(OR(A118="",F118="",N(C118)=0),"",ROUNDUP(F118/C118,0))</f>
        <v/>
      </c>
    </row>
    <row r="119">
      <c r="A119" s="19" t="n"/>
      <c r="B119" s="19" t="n"/>
      <c r="C119" s="19" t="n"/>
      <c r="D119" s="13" t="n"/>
      <c r="E119" s="20">
        <f>IF(AND(ISNUMBER(C119),C119&gt;0,ISNUMBER(D119)),D119/C119,"")</f>
        <v/>
      </c>
      <c r="F119" s="21">
        <f>IF(A119="","",SUMIF(Fichas!$B$4:$B$603,A119,Fichas!$F$4:$F$603))</f>
        <v/>
      </c>
      <c r="G119" s="8">
        <f>IF(OR(A119="",F119="",N(C119)=0),"",ROUNDUP(F119/C119,0))</f>
        <v/>
      </c>
    </row>
    <row r="120">
      <c r="A120" s="19" t="n"/>
      <c r="B120" s="19" t="n"/>
      <c r="C120" s="19" t="n"/>
      <c r="D120" s="13" t="n"/>
      <c r="E120" s="20">
        <f>IF(AND(ISNUMBER(C120),C120&gt;0,ISNUMBER(D120)),D120/C120,"")</f>
        <v/>
      </c>
      <c r="F120" s="21">
        <f>IF(A120="","",SUMIF(Fichas!$B$4:$B$603,A120,Fichas!$F$4:$F$603))</f>
        <v/>
      </c>
      <c r="G120" s="8">
        <f>IF(OR(A120="",F120="",N(C120)=0),"",ROUNDUP(F120/C120,0))</f>
        <v/>
      </c>
    </row>
    <row r="121">
      <c r="A121" s="19" t="n"/>
      <c r="B121" s="19" t="n"/>
      <c r="C121" s="19" t="n"/>
      <c r="D121" s="13" t="n"/>
      <c r="E121" s="20">
        <f>IF(AND(ISNUMBER(C121),C121&gt;0,ISNUMBER(D121)),D121/C121,"")</f>
        <v/>
      </c>
      <c r="F121" s="21">
        <f>IF(A121="","",SUMIF(Fichas!$B$4:$B$603,A121,Fichas!$F$4:$F$603))</f>
        <v/>
      </c>
      <c r="G121" s="8">
        <f>IF(OR(A121="",F121="",N(C121)=0),"",ROUNDUP(F121/C121,0))</f>
        <v/>
      </c>
    </row>
    <row r="122">
      <c r="A122" s="19" t="n"/>
      <c r="B122" s="19" t="n"/>
      <c r="C122" s="19" t="n"/>
      <c r="D122" s="13" t="n"/>
      <c r="E122" s="20">
        <f>IF(AND(ISNUMBER(C122),C122&gt;0,ISNUMBER(D122)),D122/C122,"")</f>
        <v/>
      </c>
      <c r="F122" s="21">
        <f>IF(A122="","",SUMIF(Fichas!$B$4:$B$603,A122,Fichas!$F$4:$F$603))</f>
        <v/>
      </c>
      <c r="G122" s="8">
        <f>IF(OR(A122="",F122="",N(C122)=0),"",ROUNDUP(F122/C122,0))</f>
        <v/>
      </c>
    </row>
    <row r="123">
      <c r="A123" s="19" t="n"/>
      <c r="B123" s="19" t="n"/>
      <c r="C123" s="19" t="n"/>
      <c r="D123" s="13" t="n"/>
      <c r="E123" s="20">
        <f>IF(AND(ISNUMBER(C123),C123&gt;0,ISNUMBER(D123)),D123/C123,"")</f>
        <v/>
      </c>
      <c r="F123" s="21">
        <f>IF(A123="","",SUMIF(Fichas!$B$4:$B$603,A123,Fichas!$F$4:$F$603))</f>
        <v/>
      </c>
      <c r="G123" s="8">
        <f>IF(OR(A123="",F123="",N(C123)=0),"",ROUNDUP(F123/C123,0))</f>
        <v/>
      </c>
    </row>
    <row r="124">
      <c r="A124" s="19" t="n"/>
      <c r="B124" s="19" t="n"/>
      <c r="C124" s="19" t="n"/>
      <c r="D124" s="13" t="n"/>
      <c r="E124" s="20">
        <f>IF(AND(ISNUMBER(C124),C124&gt;0,ISNUMBER(D124)),D124/C124,"")</f>
        <v/>
      </c>
      <c r="F124" s="21">
        <f>IF(A124="","",SUMIF(Fichas!$B$4:$B$603,A124,Fichas!$F$4:$F$603))</f>
        <v/>
      </c>
      <c r="G124" s="8">
        <f>IF(OR(A124="",F124="",N(C124)=0),"",ROUNDUP(F124/C124,0))</f>
        <v/>
      </c>
    </row>
    <row r="125">
      <c r="A125" s="19" t="n"/>
      <c r="B125" s="19" t="n"/>
      <c r="C125" s="19" t="n"/>
      <c r="D125" s="13" t="n"/>
      <c r="E125" s="20">
        <f>IF(AND(ISNUMBER(C125),C125&gt;0,ISNUMBER(D125)),D125/C125,"")</f>
        <v/>
      </c>
      <c r="F125" s="21">
        <f>IF(A125="","",SUMIF(Fichas!$B$4:$B$603,A125,Fichas!$F$4:$F$603))</f>
        <v/>
      </c>
      <c r="G125" s="8">
        <f>IF(OR(A125="",F125="",N(C125)=0),"",ROUNDUP(F125/C125,0))</f>
        <v/>
      </c>
    </row>
    <row r="126">
      <c r="A126" s="19" t="n"/>
      <c r="B126" s="19" t="n"/>
      <c r="C126" s="19" t="n"/>
      <c r="D126" s="13" t="n"/>
      <c r="E126" s="20">
        <f>IF(AND(ISNUMBER(C126),C126&gt;0,ISNUMBER(D126)),D126/C126,"")</f>
        <v/>
      </c>
      <c r="F126" s="21">
        <f>IF(A126="","",SUMIF(Fichas!$B$4:$B$603,A126,Fichas!$F$4:$F$603))</f>
        <v/>
      </c>
      <c r="G126" s="8">
        <f>IF(OR(A126="",F126="",N(C126)=0),"",ROUNDUP(F126/C126,0))</f>
        <v/>
      </c>
    </row>
    <row r="127">
      <c r="A127" s="19" t="n"/>
      <c r="B127" s="19" t="n"/>
      <c r="C127" s="19" t="n"/>
      <c r="D127" s="13" t="n"/>
      <c r="E127" s="20">
        <f>IF(AND(ISNUMBER(C127),C127&gt;0,ISNUMBER(D127)),D127/C127,"")</f>
        <v/>
      </c>
      <c r="F127" s="21">
        <f>IF(A127="","",SUMIF(Fichas!$B$4:$B$603,A127,Fichas!$F$4:$F$603))</f>
        <v/>
      </c>
      <c r="G127" s="8">
        <f>IF(OR(A127="",F127="",N(C127)=0),"",ROUNDUP(F127/C127,0))</f>
        <v/>
      </c>
    </row>
    <row r="128">
      <c r="A128" s="19" t="n"/>
      <c r="B128" s="19" t="n"/>
      <c r="C128" s="19" t="n"/>
      <c r="D128" s="13" t="n"/>
      <c r="E128" s="20">
        <f>IF(AND(ISNUMBER(C128),C128&gt;0,ISNUMBER(D128)),D128/C128,"")</f>
        <v/>
      </c>
      <c r="F128" s="21">
        <f>IF(A128="","",SUMIF(Fichas!$B$4:$B$603,A128,Fichas!$F$4:$F$603))</f>
        <v/>
      </c>
      <c r="G128" s="8">
        <f>IF(OR(A128="",F128="",N(C128)=0),"",ROUNDUP(F128/C128,0))</f>
        <v/>
      </c>
    </row>
    <row r="129">
      <c r="A129" s="19" t="n"/>
      <c r="B129" s="19" t="n"/>
      <c r="C129" s="19" t="n"/>
      <c r="D129" s="13" t="n"/>
      <c r="E129" s="20">
        <f>IF(AND(ISNUMBER(C129),C129&gt;0,ISNUMBER(D129)),D129/C129,"")</f>
        <v/>
      </c>
      <c r="F129" s="21">
        <f>IF(A129="","",SUMIF(Fichas!$B$4:$B$603,A129,Fichas!$F$4:$F$603))</f>
        <v/>
      </c>
      <c r="G129" s="8">
        <f>IF(OR(A129="",F129="",N(C129)=0),"",ROUNDUP(F129/C129,0))</f>
        <v/>
      </c>
    </row>
    <row r="130">
      <c r="A130" s="19" t="n"/>
      <c r="B130" s="19" t="n"/>
      <c r="C130" s="19" t="n"/>
      <c r="D130" s="13" t="n"/>
      <c r="E130" s="20">
        <f>IF(AND(ISNUMBER(C130),C130&gt;0,ISNUMBER(D130)),D130/C130,"")</f>
        <v/>
      </c>
      <c r="F130" s="21">
        <f>IF(A130="","",SUMIF(Fichas!$B$4:$B$603,A130,Fichas!$F$4:$F$603))</f>
        <v/>
      </c>
      <c r="G130" s="8">
        <f>IF(OR(A130="",F130="",N(C130)=0),"",ROUNDUP(F130/C130,0))</f>
        <v/>
      </c>
    </row>
    <row r="131">
      <c r="A131" s="19" t="n"/>
      <c r="B131" s="19" t="n"/>
      <c r="C131" s="19" t="n"/>
      <c r="D131" s="13" t="n"/>
      <c r="E131" s="20">
        <f>IF(AND(ISNUMBER(C131),C131&gt;0,ISNUMBER(D131)),D131/C131,"")</f>
        <v/>
      </c>
      <c r="F131" s="21">
        <f>IF(A131="","",SUMIF(Fichas!$B$4:$B$603,A131,Fichas!$F$4:$F$603))</f>
        <v/>
      </c>
      <c r="G131" s="8">
        <f>IF(OR(A131="",F131="",N(C131)=0),"",ROUNDUP(F131/C131,0))</f>
        <v/>
      </c>
    </row>
    <row r="132">
      <c r="A132" s="19" t="n"/>
      <c r="B132" s="19" t="n"/>
      <c r="C132" s="19" t="n"/>
      <c r="D132" s="13" t="n"/>
      <c r="E132" s="20">
        <f>IF(AND(ISNUMBER(C132),C132&gt;0,ISNUMBER(D132)),D132/C132,"")</f>
        <v/>
      </c>
      <c r="F132" s="21">
        <f>IF(A132="","",SUMIF(Fichas!$B$4:$B$603,A132,Fichas!$F$4:$F$603))</f>
        <v/>
      </c>
      <c r="G132" s="8">
        <f>IF(OR(A132="",F132="",N(C132)=0),"",ROUNDUP(F132/C132,0))</f>
        <v/>
      </c>
    </row>
    <row r="133">
      <c r="A133" s="19" t="n"/>
      <c r="B133" s="19" t="n"/>
      <c r="C133" s="19" t="n"/>
      <c r="D133" s="13" t="n"/>
      <c r="E133" s="20">
        <f>IF(AND(ISNUMBER(C133),C133&gt;0,ISNUMBER(D133)),D133/C133,"")</f>
        <v/>
      </c>
      <c r="F133" s="21">
        <f>IF(A133="","",SUMIF(Fichas!$B$4:$B$603,A133,Fichas!$F$4:$F$603))</f>
        <v/>
      </c>
      <c r="G133" s="8">
        <f>IF(OR(A133="",F133="",N(C133)=0),"",ROUNDUP(F133/C133,0))</f>
        <v/>
      </c>
    </row>
    <row r="134">
      <c r="A134" s="19" t="n"/>
      <c r="B134" s="19" t="n"/>
      <c r="C134" s="19" t="n"/>
      <c r="D134" s="13" t="n"/>
      <c r="E134" s="20">
        <f>IF(AND(ISNUMBER(C134),C134&gt;0,ISNUMBER(D134)),D134/C134,"")</f>
        <v/>
      </c>
      <c r="F134" s="21">
        <f>IF(A134="","",SUMIF(Fichas!$B$4:$B$603,A134,Fichas!$F$4:$F$603))</f>
        <v/>
      </c>
      <c r="G134" s="8">
        <f>IF(OR(A134="",F134="",N(C134)=0),"",ROUNDUP(F134/C134,0))</f>
        <v/>
      </c>
    </row>
    <row r="135">
      <c r="A135" s="19" t="n"/>
      <c r="B135" s="19" t="n"/>
      <c r="C135" s="19" t="n"/>
      <c r="D135" s="13" t="n"/>
      <c r="E135" s="20">
        <f>IF(AND(ISNUMBER(C135),C135&gt;0,ISNUMBER(D135)),D135/C135,"")</f>
        <v/>
      </c>
      <c r="F135" s="21">
        <f>IF(A135="","",SUMIF(Fichas!$B$4:$B$603,A135,Fichas!$F$4:$F$603))</f>
        <v/>
      </c>
      <c r="G135" s="8">
        <f>IF(OR(A135="",F135="",N(C135)=0),"",ROUNDUP(F135/C135,0))</f>
        <v/>
      </c>
    </row>
    <row r="136">
      <c r="A136" s="19" t="n"/>
      <c r="B136" s="19" t="n"/>
      <c r="C136" s="19" t="n"/>
      <c r="D136" s="13" t="n"/>
      <c r="E136" s="20">
        <f>IF(AND(ISNUMBER(C136),C136&gt;0,ISNUMBER(D136)),D136/C136,"")</f>
        <v/>
      </c>
      <c r="F136" s="21">
        <f>IF(A136="","",SUMIF(Fichas!$B$4:$B$603,A136,Fichas!$F$4:$F$603))</f>
        <v/>
      </c>
      <c r="G136" s="8">
        <f>IF(OR(A136="",F136="",N(C136)=0),"",ROUNDUP(F136/C136,0))</f>
        <v/>
      </c>
    </row>
    <row r="137">
      <c r="A137" s="19" t="n"/>
      <c r="B137" s="19" t="n"/>
      <c r="C137" s="19" t="n"/>
      <c r="D137" s="13" t="n"/>
      <c r="E137" s="20">
        <f>IF(AND(ISNUMBER(C137),C137&gt;0,ISNUMBER(D137)),D137/C137,"")</f>
        <v/>
      </c>
      <c r="F137" s="21">
        <f>IF(A137="","",SUMIF(Fichas!$B$4:$B$603,A137,Fichas!$F$4:$F$603))</f>
        <v/>
      </c>
      <c r="G137" s="8">
        <f>IF(OR(A137="",F137="",N(C137)=0),"",ROUNDUP(F137/C137,0))</f>
        <v/>
      </c>
    </row>
    <row r="138">
      <c r="A138" s="19" t="n"/>
      <c r="B138" s="19" t="n"/>
      <c r="C138" s="19" t="n"/>
      <c r="D138" s="13" t="n"/>
      <c r="E138" s="20">
        <f>IF(AND(ISNUMBER(C138),C138&gt;0,ISNUMBER(D138)),D138/C138,"")</f>
        <v/>
      </c>
      <c r="F138" s="21">
        <f>IF(A138="","",SUMIF(Fichas!$B$4:$B$603,A138,Fichas!$F$4:$F$603))</f>
        <v/>
      </c>
      <c r="G138" s="8">
        <f>IF(OR(A138="",F138="",N(C138)=0),"",ROUNDUP(F138/C138,0))</f>
        <v/>
      </c>
    </row>
    <row r="139">
      <c r="A139" s="19" t="n"/>
      <c r="B139" s="19" t="n"/>
      <c r="C139" s="19" t="n"/>
      <c r="D139" s="13" t="n"/>
      <c r="E139" s="20">
        <f>IF(AND(ISNUMBER(C139),C139&gt;0,ISNUMBER(D139)),D139/C139,"")</f>
        <v/>
      </c>
      <c r="F139" s="21">
        <f>IF(A139="","",SUMIF(Fichas!$B$4:$B$603,A139,Fichas!$F$4:$F$603))</f>
        <v/>
      </c>
      <c r="G139" s="8">
        <f>IF(OR(A139="",F139="",N(C139)=0),"",ROUNDUP(F139/C139,0))</f>
        <v/>
      </c>
    </row>
    <row r="140">
      <c r="A140" s="19" t="n"/>
      <c r="B140" s="19" t="n"/>
      <c r="C140" s="19" t="n"/>
      <c r="D140" s="13" t="n"/>
      <c r="E140" s="20">
        <f>IF(AND(ISNUMBER(C140),C140&gt;0,ISNUMBER(D140)),D140/C140,"")</f>
        <v/>
      </c>
      <c r="F140" s="21">
        <f>IF(A140="","",SUMIF(Fichas!$B$4:$B$603,A140,Fichas!$F$4:$F$603))</f>
        <v/>
      </c>
      <c r="G140" s="8">
        <f>IF(OR(A140="",F140="",N(C140)=0),"",ROUNDUP(F140/C140,0))</f>
        <v/>
      </c>
    </row>
    <row r="141">
      <c r="A141" s="19" t="n"/>
      <c r="B141" s="19" t="n"/>
      <c r="C141" s="19" t="n"/>
      <c r="D141" s="13" t="n"/>
      <c r="E141" s="20">
        <f>IF(AND(ISNUMBER(C141),C141&gt;0,ISNUMBER(D141)),D141/C141,"")</f>
        <v/>
      </c>
      <c r="F141" s="21">
        <f>IF(A141="","",SUMIF(Fichas!$B$4:$B$603,A141,Fichas!$F$4:$F$603))</f>
        <v/>
      </c>
      <c r="G141" s="8">
        <f>IF(OR(A141="",F141="",N(C141)=0),"",ROUNDUP(F141/C141,0))</f>
        <v/>
      </c>
    </row>
    <row r="142">
      <c r="A142" s="19" t="n"/>
      <c r="B142" s="19" t="n"/>
      <c r="C142" s="19" t="n"/>
      <c r="D142" s="13" t="n"/>
      <c r="E142" s="20">
        <f>IF(AND(ISNUMBER(C142),C142&gt;0,ISNUMBER(D142)),D142/C142,"")</f>
        <v/>
      </c>
      <c r="F142" s="21">
        <f>IF(A142="","",SUMIF(Fichas!$B$4:$B$603,A142,Fichas!$F$4:$F$603))</f>
        <v/>
      </c>
      <c r="G142" s="8">
        <f>IF(OR(A142="",F142="",N(C142)=0),"",ROUNDUP(F142/C142,0))</f>
        <v/>
      </c>
    </row>
    <row r="143">
      <c r="A143" s="19" t="n"/>
      <c r="B143" s="19" t="n"/>
      <c r="C143" s="19" t="n"/>
      <c r="D143" s="13" t="n"/>
      <c r="E143" s="20">
        <f>IF(AND(ISNUMBER(C143),C143&gt;0,ISNUMBER(D143)),D143/C143,"")</f>
        <v/>
      </c>
      <c r="F143" s="21">
        <f>IF(A143="","",SUMIF(Fichas!$B$4:$B$603,A143,Fichas!$F$4:$F$603))</f>
        <v/>
      </c>
      <c r="G143" s="8">
        <f>IF(OR(A143="",F143="",N(C143)=0),"",ROUNDUP(F143/C143,0))</f>
        <v/>
      </c>
    </row>
    <row r="144">
      <c r="A144" s="19" t="n"/>
      <c r="B144" s="19" t="n"/>
      <c r="C144" s="19" t="n"/>
      <c r="D144" s="13" t="n"/>
      <c r="E144" s="20">
        <f>IF(AND(ISNUMBER(C144),C144&gt;0,ISNUMBER(D144)),D144/C144,"")</f>
        <v/>
      </c>
      <c r="F144" s="21">
        <f>IF(A144="","",SUMIF(Fichas!$B$4:$B$603,A144,Fichas!$F$4:$F$603))</f>
        <v/>
      </c>
      <c r="G144" s="8">
        <f>IF(OR(A144="",F144="",N(C144)=0),"",ROUNDUP(F144/C144,0))</f>
        <v/>
      </c>
    </row>
    <row r="145">
      <c r="A145" s="19" t="n"/>
      <c r="B145" s="19" t="n"/>
      <c r="C145" s="19" t="n"/>
      <c r="D145" s="13" t="n"/>
      <c r="E145" s="20">
        <f>IF(AND(ISNUMBER(C145),C145&gt;0,ISNUMBER(D145)),D145/C145,"")</f>
        <v/>
      </c>
      <c r="F145" s="21">
        <f>IF(A145="","",SUMIF(Fichas!$B$4:$B$603,A145,Fichas!$F$4:$F$603))</f>
        <v/>
      </c>
      <c r="G145" s="8">
        <f>IF(OR(A145="",F145="",N(C145)=0),"",ROUNDUP(F145/C145,0))</f>
        <v/>
      </c>
    </row>
    <row r="146">
      <c r="A146" s="19" t="n"/>
      <c r="B146" s="19" t="n"/>
      <c r="C146" s="19" t="n"/>
      <c r="D146" s="13" t="n"/>
      <c r="E146" s="20">
        <f>IF(AND(ISNUMBER(C146),C146&gt;0,ISNUMBER(D146)),D146/C146,"")</f>
        <v/>
      </c>
      <c r="F146" s="21">
        <f>IF(A146="","",SUMIF(Fichas!$B$4:$B$603,A146,Fichas!$F$4:$F$603))</f>
        <v/>
      </c>
      <c r="G146" s="8">
        <f>IF(OR(A146="",F146="",N(C146)=0),"",ROUNDUP(F146/C146,0))</f>
        <v/>
      </c>
    </row>
    <row r="147">
      <c r="A147" s="19" t="n"/>
      <c r="B147" s="19" t="n"/>
      <c r="C147" s="19" t="n"/>
      <c r="D147" s="13" t="n"/>
      <c r="E147" s="20">
        <f>IF(AND(ISNUMBER(C147),C147&gt;0,ISNUMBER(D147)),D147/C147,"")</f>
        <v/>
      </c>
      <c r="F147" s="21">
        <f>IF(A147="","",SUMIF(Fichas!$B$4:$B$603,A147,Fichas!$F$4:$F$603))</f>
        <v/>
      </c>
      <c r="G147" s="8">
        <f>IF(OR(A147="",F147="",N(C147)=0),"",ROUNDUP(F147/C147,0))</f>
        <v/>
      </c>
    </row>
    <row r="148">
      <c r="A148" s="19" t="n"/>
      <c r="B148" s="19" t="n"/>
      <c r="C148" s="19" t="n"/>
      <c r="D148" s="13" t="n"/>
      <c r="E148" s="20">
        <f>IF(AND(ISNUMBER(C148),C148&gt;0,ISNUMBER(D148)),D148/C148,"")</f>
        <v/>
      </c>
      <c r="F148" s="21">
        <f>IF(A148="","",SUMIF(Fichas!$B$4:$B$603,A148,Fichas!$F$4:$F$603))</f>
        <v/>
      </c>
      <c r="G148" s="8">
        <f>IF(OR(A148="",F148="",N(C148)=0),"",ROUNDUP(F148/C148,0))</f>
        <v/>
      </c>
    </row>
    <row r="149">
      <c r="A149" s="19" t="n"/>
      <c r="B149" s="19" t="n"/>
      <c r="C149" s="19" t="n"/>
      <c r="D149" s="13" t="n"/>
      <c r="E149" s="20">
        <f>IF(AND(ISNUMBER(C149),C149&gt;0,ISNUMBER(D149)),D149/C149,"")</f>
        <v/>
      </c>
      <c r="F149" s="21">
        <f>IF(A149="","",SUMIF(Fichas!$B$4:$B$603,A149,Fichas!$F$4:$F$603))</f>
        <v/>
      </c>
      <c r="G149" s="8">
        <f>IF(OR(A149="",F149="",N(C149)=0),"",ROUNDUP(F149/C149,0))</f>
        <v/>
      </c>
    </row>
    <row r="150">
      <c r="A150" s="19" t="n"/>
      <c r="B150" s="19" t="n"/>
      <c r="C150" s="19" t="n"/>
      <c r="D150" s="13" t="n"/>
      <c r="E150" s="20">
        <f>IF(AND(ISNUMBER(C150),C150&gt;0,ISNUMBER(D150)),D150/C150,"")</f>
        <v/>
      </c>
      <c r="F150" s="21">
        <f>IF(A150="","",SUMIF(Fichas!$B$4:$B$603,A150,Fichas!$F$4:$F$603))</f>
        <v/>
      </c>
      <c r="G150" s="8">
        <f>IF(OR(A150="",F150="",N(C150)=0),"",ROUNDUP(F150/C150,0))</f>
        <v/>
      </c>
    </row>
    <row r="151">
      <c r="A151" s="19" t="n"/>
      <c r="B151" s="19" t="n"/>
      <c r="C151" s="19" t="n"/>
      <c r="D151" s="13" t="n"/>
      <c r="E151" s="20">
        <f>IF(AND(ISNUMBER(C151),C151&gt;0,ISNUMBER(D151)),D151/C151,"")</f>
        <v/>
      </c>
      <c r="F151" s="21">
        <f>IF(A151="","",SUMIF(Fichas!$B$4:$B$603,A151,Fichas!$F$4:$F$603))</f>
        <v/>
      </c>
      <c r="G151" s="8">
        <f>IF(OR(A151="",F151="",N(C151)=0),"",ROUNDUP(F151/C151,0))</f>
        <v/>
      </c>
    </row>
    <row r="152">
      <c r="A152" s="19" t="n"/>
      <c r="B152" s="19" t="n"/>
      <c r="C152" s="19" t="n"/>
      <c r="D152" s="13" t="n"/>
      <c r="E152" s="20">
        <f>IF(AND(ISNUMBER(C152),C152&gt;0,ISNUMBER(D152)),D152/C152,"")</f>
        <v/>
      </c>
      <c r="F152" s="21">
        <f>IF(A152="","",SUMIF(Fichas!$B$4:$B$603,A152,Fichas!$F$4:$F$603))</f>
        <v/>
      </c>
      <c r="G152" s="8">
        <f>IF(OR(A152="",F152="",N(C152)=0),"",ROUNDUP(F152/C152,0))</f>
        <v/>
      </c>
    </row>
    <row r="153">
      <c r="A153" s="19" t="n"/>
      <c r="B153" s="19" t="n"/>
      <c r="C153" s="19" t="n"/>
      <c r="D153" s="13" t="n"/>
      <c r="E153" s="20">
        <f>IF(AND(ISNUMBER(C153),C153&gt;0,ISNUMBER(D153)),D153/C153,"")</f>
        <v/>
      </c>
      <c r="F153" s="21">
        <f>IF(A153="","",SUMIF(Fichas!$B$4:$B$603,A153,Fichas!$F$4:$F$603))</f>
        <v/>
      </c>
      <c r="G153" s="8">
        <f>IF(OR(A153="",F153="",N(C153)=0),"",ROUNDUP(F153/C153,0))</f>
        <v/>
      </c>
    </row>
    <row r="154">
      <c r="A154" s="19" t="n"/>
      <c r="B154" s="19" t="n"/>
      <c r="C154" s="19" t="n"/>
      <c r="D154" s="13" t="n"/>
      <c r="E154" s="20">
        <f>IF(AND(ISNUMBER(C154),C154&gt;0,ISNUMBER(D154)),D154/C154,"")</f>
        <v/>
      </c>
      <c r="F154" s="21">
        <f>IF(A154="","",SUMIF(Fichas!$B$4:$B$603,A154,Fichas!$F$4:$F$603))</f>
        <v/>
      </c>
      <c r="G154" s="8">
        <f>IF(OR(A154="",F154="",N(C154)=0),"",ROUNDUP(F154/C154,0))</f>
        <v/>
      </c>
    </row>
    <row r="155">
      <c r="A155" s="19" t="n"/>
      <c r="B155" s="19" t="n"/>
      <c r="C155" s="19" t="n"/>
      <c r="D155" s="13" t="n"/>
      <c r="E155" s="20">
        <f>IF(AND(ISNUMBER(C155),C155&gt;0,ISNUMBER(D155)),D155/C155,"")</f>
        <v/>
      </c>
      <c r="F155" s="21">
        <f>IF(A155="","",SUMIF(Fichas!$B$4:$B$603,A155,Fichas!$F$4:$F$603))</f>
        <v/>
      </c>
      <c r="G155" s="8">
        <f>IF(OR(A155="",F155="",N(C155)=0),"",ROUNDUP(F155/C155,0))</f>
        <v/>
      </c>
    </row>
    <row r="156">
      <c r="A156" s="19" t="n"/>
      <c r="B156" s="19" t="n"/>
      <c r="C156" s="19" t="n"/>
      <c r="D156" s="13" t="n"/>
      <c r="E156" s="20">
        <f>IF(AND(ISNUMBER(C156),C156&gt;0,ISNUMBER(D156)),D156/C156,"")</f>
        <v/>
      </c>
      <c r="F156" s="21">
        <f>IF(A156="","",SUMIF(Fichas!$B$4:$B$603,A156,Fichas!$F$4:$F$603))</f>
        <v/>
      </c>
      <c r="G156" s="8">
        <f>IF(OR(A156="",F156="",N(C156)=0),"",ROUNDUP(F156/C156,0))</f>
        <v/>
      </c>
    </row>
    <row r="157">
      <c r="A157" s="19" t="n"/>
      <c r="B157" s="19" t="n"/>
      <c r="C157" s="19" t="n"/>
      <c r="D157" s="13" t="n"/>
      <c r="E157" s="20">
        <f>IF(AND(ISNUMBER(C157),C157&gt;0,ISNUMBER(D157)),D157/C157,"")</f>
        <v/>
      </c>
      <c r="F157" s="21">
        <f>IF(A157="","",SUMIF(Fichas!$B$4:$B$603,A157,Fichas!$F$4:$F$603))</f>
        <v/>
      </c>
      <c r="G157" s="8">
        <f>IF(OR(A157="",F157="",N(C157)=0),"",ROUNDUP(F157/C157,0))</f>
        <v/>
      </c>
    </row>
    <row r="158">
      <c r="A158" s="19" t="n"/>
      <c r="B158" s="19" t="n"/>
      <c r="C158" s="19" t="n"/>
      <c r="D158" s="13" t="n"/>
      <c r="E158" s="20">
        <f>IF(AND(ISNUMBER(C158),C158&gt;0,ISNUMBER(D158)),D158/C158,"")</f>
        <v/>
      </c>
      <c r="F158" s="21">
        <f>IF(A158="","",SUMIF(Fichas!$B$4:$B$603,A158,Fichas!$F$4:$F$603))</f>
        <v/>
      </c>
      <c r="G158" s="8">
        <f>IF(OR(A158="",F158="",N(C158)=0),"",ROUNDUP(F158/C158,0))</f>
        <v/>
      </c>
    </row>
    <row r="159">
      <c r="A159" s="19" t="n"/>
      <c r="B159" s="19" t="n"/>
      <c r="C159" s="19" t="n"/>
      <c r="D159" s="13" t="n"/>
      <c r="E159" s="20">
        <f>IF(AND(ISNUMBER(C159),C159&gt;0,ISNUMBER(D159)),D159/C159,"")</f>
        <v/>
      </c>
      <c r="F159" s="21">
        <f>IF(A159="","",SUMIF(Fichas!$B$4:$B$603,A159,Fichas!$F$4:$F$603))</f>
        <v/>
      </c>
      <c r="G159" s="8">
        <f>IF(OR(A159="",F159="",N(C159)=0),"",ROUNDUP(F159/C159,0))</f>
        <v/>
      </c>
    </row>
    <row r="160">
      <c r="A160" s="19" t="n"/>
      <c r="B160" s="19" t="n"/>
      <c r="C160" s="19" t="n"/>
      <c r="D160" s="13" t="n"/>
      <c r="E160" s="20">
        <f>IF(AND(ISNUMBER(C160),C160&gt;0,ISNUMBER(D160)),D160/C160,"")</f>
        <v/>
      </c>
      <c r="F160" s="21">
        <f>IF(A160="","",SUMIF(Fichas!$B$4:$B$603,A160,Fichas!$F$4:$F$603))</f>
        <v/>
      </c>
      <c r="G160" s="8">
        <f>IF(OR(A160="",F160="",N(C160)=0),"",ROUNDUP(F160/C160,0))</f>
        <v/>
      </c>
    </row>
    <row r="161">
      <c r="A161" s="19" t="n"/>
      <c r="B161" s="19" t="n"/>
      <c r="C161" s="19" t="n"/>
      <c r="D161" s="13" t="n"/>
      <c r="E161" s="20">
        <f>IF(AND(ISNUMBER(C161),C161&gt;0,ISNUMBER(D161)),D161/C161,"")</f>
        <v/>
      </c>
      <c r="F161" s="21">
        <f>IF(A161="","",SUMIF(Fichas!$B$4:$B$603,A161,Fichas!$F$4:$F$603))</f>
        <v/>
      </c>
      <c r="G161" s="8">
        <f>IF(OR(A161="",F161="",N(C161)=0),"",ROUNDUP(F161/C161,0))</f>
        <v/>
      </c>
    </row>
    <row r="162">
      <c r="A162" s="19" t="n"/>
      <c r="B162" s="19" t="n"/>
      <c r="C162" s="19" t="n"/>
      <c r="D162" s="13" t="n"/>
      <c r="E162" s="20">
        <f>IF(AND(ISNUMBER(C162),C162&gt;0,ISNUMBER(D162)),D162/C162,"")</f>
        <v/>
      </c>
      <c r="F162" s="21">
        <f>IF(A162="","",SUMIF(Fichas!$B$4:$B$603,A162,Fichas!$F$4:$F$603))</f>
        <v/>
      </c>
      <c r="G162" s="8">
        <f>IF(OR(A162="",F162="",N(C162)=0),"",ROUNDUP(F162/C162,0))</f>
        <v/>
      </c>
    </row>
    <row r="163">
      <c r="A163" s="19" t="n"/>
      <c r="B163" s="19" t="n"/>
      <c r="C163" s="19" t="n"/>
      <c r="D163" s="13" t="n"/>
      <c r="E163" s="20">
        <f>IF(AND(ISNUMBER(C163),C163&gt;0,ISNUMBER(D163)),D163/C163,"")</f>
        <v/>
      </c>
      <c r="F163" s="21">
        <f>IF(A163="","",SUMIF(Fichas!$B$4:$B$603,A163,Fichas!$F$4:$F$603))</f>
        <v/>
      </c>
      <c r="G163" s="8">
        <f>IF(OR(A163="",F163="",N(C163)=0),"",ROUNDUP(F163/C163,0))</f>
        <v/>
      </c>
    </row>
    <row r="164">
      <c r="A164" s="19" t="n"/>
      <c r="B164" s="19" t="n"/>
      <c r="C164" s="19" t="n"/>
      <c r="D164" s="13" t="n"/>
      <c r="E164" s="20">
        <f>IF(AND(ISNUMBER(C164),C164&gt;0,ISNUMBER(D164)),D164/C164,"")</f>
        <v/>
      </c>
      <c r="F164" s="21">
        <f>IF(A164="","",SUMIF(Fichas!$B$4:$B$603,A164,Fichas!$F$4:$F$603))</f>
        <v/>
      </c>
      <c r="G164" s="8">
        <f>IF(OR(A164="",F164="",N(C164)=0),"",ROUNDUP(F164/C164,0))</f>
        <v/>
      </c>
    </row>
    <row r="165">
      <c r="A165" s="19" t="n"/>
      <c r="B165" s="19" t="n"/>
      <c r="C165" s="19" t="n"/>
      <c r="D165" s="13" t="n"/>
      <c r="E165" s="20">
        <f>IF(AND(ISNUMBER(C165),C165&gt;0,ISNUMBER(D165)),D165/C165,"")</f>
        <v/>
      </c>
      <c r="F165" s="21">
        <f>IF(A165="","",SUMIF(Fichas!$B$4:$B$603,A165,Fichas!$F$4:$F$603))</f>
        <v/>
      </c>
      <c r="G165" s="8">
        <f>IF(OR(A165="",F165="",N(C165)=0),"",ROUNDUP(F165/C165,0))</f>
        <v/>
      </c>
    </row>
    <row r="166">
      <c r="A166" s="19" t="n"/>
      <c r="B166" s="19" t="n"/>
      <c r="C166" s="19" t="n"/>
      <c r="D166" s="13" t="n"/>
      <c r="E166" s="20">
        <f>IF(AND(ISNUMBER(C166),C166&gt;0,ISNUMBER(D166)),D166/C166,"")</f>
        <v/>
      </c>
      <c r="F166" s="21">
        <f>IF(A166="","",SUMIF(Fichas!$B$4:$B$603,A166,Fichas!$F$4:$F$603))</f>
        <v/>
      </c>
      <c r="G166" s="8">
        <f>IF(OR(A166="",F166="",N(C166)=0),"",ROUNDUP(F166/C166,0))</f>
        <v/>
      </c>
    </row>
    <row r="167">
      <c r="A167" s="19" t="n"/>
      <c r="B167" s="19" t="n"/>
      <c r="C167" s="19" t="n"/>
      <c r="D167" s="13" t="n"/>
      <c r="E167" s="20">
        <f>IF(AND(ISNUMBER(C167),C167&gt;0,ISNUMBER(D167)),D167/C167,"")</f>
        <v/>
      </c>
      <c r="F167" s="21">
        <f>IF(A167="","",SUMIF(Fichas!$B$4:$B$603,A167,Fichas!$F$4:$F$603))</f>
        <v/>
      </c>
      <c r="G167" s="8">
        <f>IF(OR(A167="",F167="",N(C167)=0),"",ROUNDUP(F167/C167,0))</f>
        <v/>
      </c>
    </row>
    <row r="168">
      <c r="A168" s="19" t="n"/>
      <c r="B168" s="19" t="n"/>
      <c r="C168" s="19" t="n"/>
      <c r="D168" s="13" t="n"/>
      <c r="E168" s="20">
        <f>IF(AND(ISNUMBER(C168),C168&gt;0,ISNUMBER(D168)),D168/C168,"")</f>
        <v/>
      </c>
      <c r="F168" s="21">
        <f>IF(A168="","",SUMIF(Fichas!$B$4:$B$603,A168,Fichas!$F$4:$F$603))</f>
        <v/>
      </c>
      <c r="G168" s="8">
        <f>IF(OR(A168="",F168="",N(C168)=0),"",ROUNDUP(F168/C168,0))</f>
        <v/>
      </c>
    </row>
    <row r="169">
      <c r="A169" s="19" t="n"/>
      <c r="B169" s="19" t="n"/>
      <c r="C169" s="19" t="n"/>
      <c r="D169" s="13" t="n"/>
      <c r="E169" s="20">
        <f>IF(AND(ISNUMBER(C169),C169&gt;0,ISNUMBER(D169)),D169/C169,"")</f>
        <v/>
      </c>
      <c r="F169" s="21">
        <f>IF(A169="","",SUMIF(Fichas!$B$4:$B$603,A169,Fichas!$F$4:$F$603))</f>
        <v/>
      </c>
      <c r="G169" s="8">
        <f>IF(OR(A169="",F169="",N(C169)=0),"",ROUNDUP(F169/C169,0))</f>
        <v/>
      </c>
    </row>
    <row r="170">
      <c r="A170" s="19" t="n"/>
      <c r="B170" s="19" t="n"/>
      <c r="C170" s="19" t="n"/>
      <c r="D170" s="13" t="n"/>
      <c r="E170" s="20">
        <f>IF(AND(ISNUMBER(C170),C170&gt;0,ISNUMBER(D170)),D170/C170,"")</f>
        <v/>
      </c>
      <c r="F170" s="21">
        <f>IF(A170="","",SUMIF(Fichas!$B$4:$B$603,A170,Fichas!$F$4:$F$603))</f>
        <v/>
      </c>
      <c r="G170" s="8">
        <f>IF(OR(A170="",F170="",N(C170)=0),"",ROUNDUP(F170/C170,0))</f>
        <v/>
      </c>
    </row>
    <row r="171">
      <c r="A171" s="19" t="n"/>
      <c r="B171" s="19" t="n"/>
      <c r="C171" s="19" t="n"/>
      <c r="D171" s="13" t="n"/>
      <c r="E171" s="20">
        <f>IF(AND(ISNUMBER(C171),C171&gt;0,ISNUMBER(D171)),D171/C171,"")</f>
        <v/>
      </c>
      <c r="F171" s="21">
        <f>IF(A171="","",SUMIF(Fichas!$B$4:$B$603,A171,Fichas!$F$4:$F$603))</f>
        <v/>
      </c>
      <c r="G171" s="8">
        <f>IF(OR(A171="",F171="",N(C171)=0),"",ROUNDUP(F171/C171,0))</f>
        <v/>
      </c>
    </row>
    <row r="172">
      <c r="A172" s="19" t="n"/>
      <c r="B172" s="19" t="n"/>
      <c r="C172" s="19" t="n"/>
      <c r="D172" s="13" t="n"/>
      <c r="E172" s="20">
        <f>IF(AND(ISNUMBER(C172),C172&gt;0,ISNUMBER(D172)),D172/C172,"")</f>
        <v/>
      </c>
      <c r="F172" s="21">
        <f>IF(A172="","",SUMIF(Fichas!$B$4:$B$603,A172,Fichas!$F$4:$F$603))</f>
        <v/>
      </c>
      <c r="G172" s="8">
        <f>IF(OR(A172="",F172="",N(C172)=0),"",ROUNDUP(F172/C172,0))</f>
        <v/>
      </c>
    </row>
    <row r="173">
      <c r="A173" s="19" t="n"/>
      <c r="B173" s="19" t="n"/>
      <c r="C173" s="19" t="n"/>
      <c r="D173" s="13" t="n"/>
      <c r="E173" s="20">
        <f>IF(AND(ISNUMBER(C173),C173&gt;0,ISNUMBER(D173)),D173/C173,"")</f>
        <v/>
      </c>
      <c r="F173" s="21">
        <f>IF(A173="","",SUMIF(Fichas!$B$4:$B$603,A173,Fichas!$F$4:$F$603))</f>
        <v/>
      </c>
      <c r="G173" s="8">
        <f>IF(OR(A173="",F173="",N(C173)=0),"",ROUNDUP(F173/C173,0))</f>
        <v/>
      </c>
    </row>
    <row r="174">
      <c r="A174" s="19" t="n"/>
      <c r="B174" s="19" t="n"/>
      <c r="C174" s="19" t="n"/>
      <c r="D174" s="13" t="n"/>
      <c r="E174" s="20">
        <f>IF(AND(ISNUMBER(C174),C174&gt;0,ISNUMBER(D174)),D174/C174,"")</f>
        <v/>
      </c>
      <c r="F174" s="21">
        <f>IF(A174="","",SUMIF(Fichas!$B$4:$B$603,A174,Fichas!$F$4:$F$603))</f>
        <v/>
      </c>
      <c r="G174" s="8">
        <f>IF(OR(A174="",F174="",N(C174)=0),"",ROUNDUP(F174/C174,0))</f>
        <v/>
      </c>
    </row>
    <row r="175">
      <c r="A175" s="19" t="n"/>
      <c r="B175" s="19" t="n"/>
      <c r="C175" s="19" t="n"/>
      <c r="D175" s="13" t="n"/>
      <c r="E175" s="20">
        <f>IF(AND(ISNUMBER(C175),C175&gt;0,ISNUMBER(D175)),D175/C175,"")</f>
        <v/>
      </c>
      <c r="F175" s="21">
        <f>IF(A175="","",SUMIF(Fichas!$B$4:$B$603,A175,Fichas!$F$4:$F$603))</f>
        <v/>
      </c>
      <c r="G175" s="8">
        <f>IF(OR(A175="",F175="",N(C175)=0),"",ROUNDUP(F175/C175,0))</f>
        <v/>
      </c>
    </row>
    <row r="176">
      <c r="A176" s="19" t="n"/>
      <c r="B176" s="19" t="n"/>
      <c r="C176" s="19" t="n"/>
      <c r="D176" s="13" t="n"/>
      <c r="E176" s="20">
        <f>IF(AND(ISNUMBER(C176),C176&gt;0,ISNUMBER(D176)),D176/C176,"")</f>
        <v/>
      </c>
      <c r="F176" s="21">
        <f>IF(A176="","",SUMIF(Fichas!$B$4:$B$603,A176,Fichas!$F$4:$F$603))</f>
        <v/>
      </c>
      <c r="G176" s="8">
        <f>IF(OR(A176="",F176="",N(C176)=0),"",ROUNDUP(F176/C176,0))</f>
        <v/>
      </c>
    </row>
    <row r="177">
      <c r="A177" s="19" t="n"/>
      <c r="B177" s="19" t="n"/>
      <c r="C177" s="19" t="n"/>
      <c r="D177" s="13" t="n"/>
      <c r="E177" s="20">
        <f>IF(AND(ISNUMBER(C177),C177&gt;0,ISNUMBER(D177)),D177/C177,"")</f>
        <v/>
      </c>
      <c r="F177" s="21">
        <f>IF(A177="","",SUMIF(Fichas!$B$4:$B$603,A177,Fichas!$F$4:$F$603))</f>
        <v/>
      </c>
      <c r="G177" s="8">
        <f>IF(OR(A177="",F177="",N(C177)=0),"",ROUNDUP(F177/C177,0))</f>
        <v/>
      </c>
    </row>
    <row r="178">
      <c r="A178" s="19" t="n"/>
      <c r="B178" s="19" t="n"/>
      <c r="C178" s="19" t="n"/>
      <c r="D178" s="13" t="n"/>
      <c r="E178" s="20">
        <f>IF(AND(ISNUMBER(C178),C178&gt;0,ISNUMBER(D178)),D178/C178,"")</f>
        <v/>
      </c>
      <c r="F178" s="21">
        <f>IF(A178="","",SUMIF(Fichas!$B$4:$B$603,A178,Fichas!$F$4:$F$603))</f>
        <v/>
      </c>
      <c r="G178" s="8">
        <f>IF(OR(A178="",F178="",N(C178)=0),"",ROUNDUP(F178/C178,0))</f>
        <v/>
      </c>
    </row>
    <row r="179">
      <c r="A179" s="19" t="n"/>
      <c r="B179" s="19" t="n"/>
      <c r="C179" s="19" t="n"/>
      <c r="D179" s="13" t="n"/>
      <c r="E179" s="20">
        <f>IF(AND(ISNUMBER(C179),C179&gt;0,ISNUMBER(D179)),D179/C179,"")</f>
        <v/>
      </c>
      <c r="F179" s="21">
        <f>IF(A179="","",SUMIF(Fichas!$B$4:$B$603,A179,Fichas!$F$4:$F$603))</f>
        <v/>
      </c>
      <c r="G179" s="8">
        <f>IF(OR(A179="",F179="",N(C179)=0),"",ROUNDUP(F179/C179,0))</f>
        <v/>
      </c>
    </row>
    <row r="180">
      <c r="A180" s="19" t="n"/>
      <c r="B180" s="19" t="n"/>
      <c r="C180" s="19" t="n"/>
      <c r="D180" s="13" t="n"/>
      <c r="E180" s="20">
        <f>IF(AND(ISNUMBER(C180),C180&gt;0,ISNUMBER(D180)),D180/C180,"")</f>
        <v/>
      </c>
      <c r="F180" s="21">
        <f>IF(A180="","",SUMIF(Fichas!$B$4:$B$603,A180,Fichas!$F$4:$F$603))</f>
        <v/>
      </c>
      <c r="G180" s="8">
        <f>IF(OR(A180="",F180="",N(C180)=0),"",ROUNDUP(F180/C180,0))</f>
        <v/>
      </c>
    </row>
    <row r="181">
      <c r="A181" s="19" t="n"/>
      <c r="B181" s="19" t="n"/>
      <c r="C181" s="19" t="n"/>
      <c r="D181" s="13" t="n"/>
      <c r="E181" s="20">
        <f>IF(AND(ISNUMBER(C181),C181&gt;0,ISNUMBER(D181)),D181/C181,"")</f>
        <v/>
      </c>
      <c r="F181" s="21">
        <f>IF(A181="","",SUMIF(Fichas!$B$4:$B$603,A181,Fichas!$F$4:$F$603))</f>
        <v/>
      </c>
      <c r="G181" s="8">
        <f>IF(OR(A181="",F181="",N(C181)=0),"",ROUNDUP(F181/C181,0))</f>
        <v/>
      </c>
    </row>
    <row r="182">
      <c r="A182" s="19" t="n"/>
      <c r="B182" s="19" t="n"/>
      <c r="C182" s="19" t="n"/>
      <c r="D182" s="13" t="n"/>
      <c r="E182" s="20">
        <f>IF(AND(ISNUMBER(C182),C182&gt;0,ISNUMBER(D182)),D182/C182,"")</f>
        <v/>
      </c>
      <c r="F182" s="21">
        <f>IF(A182="","",SUMIF(Fichas!$B$4:$B$603,A182,Fichas!$F$4:$F$603))</f>
        <v/>
      </c>
      <c r="G182" s="8">
        <f>IF(OR(A182="",F182="",N(C182)=0),"",ROUNDUP(F182/C182,0))</f>
        <v/>
      </c>
    </row>
    <row r="183">
      <c r="A183" s="19" t="n"/>
      <c r="B183" s="19" t="n"/>
      <c r="C183" s="19" t="n"/>
      <c r="D183" s="13" t="n"/>
      <c r="E183" s="20">
        <f>IF(AND(ISNUMBER(C183),C183&gt;0,ISNUMBER(D183)),D183/C183,"")</f>
        <v/>
      </c>
      <c r="F183" s="21">
        <f>IF(A183="","",SUMIF(Fichas!$B$4:$B$603,A183,Fichas!$F$4:$F$603))</f>
        <v/>
      </c>
      <c r="G183" s="8">
        <f>IF(OR(A183="",F183="",N(C183)=0),"",ROUNDUP(F183/C183,0))</f>
        <v/>
      </c>
    </row>
    <row r="184">
      <c r="A184" s="19" t="n"/>
      <c r="B184" s="19" t="n"/>
      <c r="C184" s="19" t="n"/>
      <c r="D184" s="13" t="n"/>
      <c r="E184" s="20">
        <f>IF(AND(ISNUMBER(C184),C184&gt;0,ISNUMBER(D184)),D184/C184,"")</f>
        <v/>
      </c>
      <c r="F184" s="21">
        <f>IF(A184="","",SUMIF(Fichas!$B$4:$B$603,A184,Fichas!$F$4:$F$603))</f>
        <v/>
      </c>
      <c r="G184" s="8">
        <f>IF(OR(A184="",F184="",N(C184)=0),"",ROUNDUP(F184/C184,0))</f>
        <v/>
      </c>
    </row>
    <row r="185">
      <c r="A185" s="19" t="n"/>
      <c r="B185" s="19" t="n"/>
      <c r="C185" s="19" t="n"/>
      <c r="D185" s="13" t="n"/>
      <c r="E185" s="20">
        <f>IF(AND(ISNUMBER(C185),C185&gt;0,ISNUMBER(D185)),D185/C185,"")</f>
        <v/>
      </c>
      <c r="F185" s="21">
        <f>IF(A185="","",SUMIF(Fichas!$B$4:$B$603,A185,Fichas!$F$4:$F$603))</f>
        <v/>
      </c>
      <c r="G185" s="8">
        <f>IF(OR(A185="",F185="",N(C185)=0),"",ROUNDUP(F185/C185,0))</f>
        <v/>
      </c>
    </row>
    <row r="186">
      <c r="A186" s="19" t="n"/>
      <c r="B186" s="19" t="n"/>
      <c r="C186" s="19" t="n"/>
      <c r="D186" s="13" t="n"/>
      <c r="E186" s="20">
        <f>IF(AND(ISNUMBER(C186),C186&gt;0,ISNUMBER(D186)),D186/C186,"")</f>
        <v/>
      </c>
      <c r="F186" s="21">
        <f>IF(A186="","",SUMIF(Fichas!$B$4:$B$603,A186,Fichas!$F$4:$F$603))</f>
        <v/>
      </c>
      <c r="G186" s="8">
        <f>IF(OR(A186="",F186="",N(C186)=0),"",ROUNDUP(F186/C186,0))</f>
        <v/>
      </c>
    </row>
    <row r="187">
      <c r="A187" s="19" t="n"/>
      <c r="B187" s="19" t="n"/>
      <c r="C187" s="19" t="n"/>
      <c r="D187" s="13" t="n"/>
      <c r="E187" s="20">
        <f>IF(AND(ISNUMBER(C187),C187&gt;0,ISNUMBER(D187)),D187/C187,"")</f>
        <v/>
      </c>
      <c r="F187" s="21">
        <f>IF(A187="","",SUMIF(Fichas!$B$4:$B$603,A187,Fichas!$F$4:$F$603))</f>
        <v/>
      </c>
      <c r="G187" s="8">
        <f>IF(OR(A187="",F187="",N(C187)=0),"",ROUNDUP(F187/C187,0))</f>
        <v/>
      </c>
    </row>
    <row r="188">
      <c r="A188" s="19" t="n"/>
      <c r="B188" s="19" t="n"/>
      <c r="C188" s="19" t="n"/>
      <c r="D188" s="13" t="n"/>
      <c r="E188" s="20">
        <f>IF(AND(ISNUMBER(C188),C188&gt;0,ISNUMBER(D188)),D188/C188,"")</f>
        <v/>
      </c>
      <c r="F188" s="21">
        <f>IF(A188="","",SUMIF(Fichas!$B$4:$B$603,A188,Fichas!$F$4:$F$603))</f>
        <v/>
      </c>
      <c r="G188" s="8">
        <f>IF(OR(A188="",F188="",N(C188)=0),"",ROUNDUP(F188/C188,0))</f>
        <v/>
      </c>
    </row>
    <row r="189">
      <c r="A189" s="19" t="n"/>
      <c r="B189" s="19" t="n"/>
      <c r="C189" s="19" t="n"/>
      <c r="D189" s="13" t="n"/>
      <c r="E189" s="20">
        <f>IF(AND(ISNUMBER(C189),C189&gt;0,ISNUMBER(D189)),D189/C189,"")</f>
        <v/>
      </c>
      <c r="F189" s="21">
        <f>IF(A189="","",SUMIF(Fichas!$B$4:$B$603,A189,Fichas!$F$4:$F$603))</f>
        <v/>
      </c>
      <c r="G189" s="8">
        <f>IF(OR(A189="",F189="",N(C189)=0),"",ROUNDUP(F189/C189,0))</f>
        <v/>
      </c>
    </row>
    <row r="190">
      <c r="A190" s="19" t="n"/>
      <c r="B190" s="19" t="n"/>
      <c r="C190" s="19" t="n"/>
      <c r="D190" s="13" t="n"/>
      <c r="E190" s="20">
        <f>IF(AND(ISNUMBER(C190),C190&gt;0,ISNUMBER(D190)),D190/C190,"")</f>
        <v/>
      </c>
      <c r="F190" s="21">
        <f>IF(A190="","",SUMIF(Fichas!$B$4:$B$603,A190,Fichas!$F$4:$F$603))</f>
        <v/>
      </c>
      <c r="G190" s="8">
        <f>IF(OR(A190="",F190="",N(C190)=0),"",ROUNDUP(F190/C190,0))</f>
        <v/>
      </c>
    </row>
    <row r="191">
      <c r="A191" s="19" t="n"/>
      <c r="B191" s="19" t="n"/>
      <c r="C191" s="19" t="n"/>
      <c r="D191" s="13" t="n"/>
      <c r="E191" s="20">
        <f>IF(AND(ISNUMBER(C191),C191&gt;0,ISNUMBER(D191)),D191/C191,"")</f>
        <v/>
      </c>
      <c r="F191" s="21">
        <f>IF(A191="","",SUMIF(Fichas!$B$4:$B$603,A191,Fichas!$F$4:$F$603))</f>
        <v/>
      </c>
      <c r="G191" s="8">
        <f>IF(OR(A191="",F191="",N(C191)=0),"",ROUNDUP(F191/C191,0))</f>
        <v/>
      </c>
    </row>
    <row r="192">
      <c r="A192" s="19" t="n"/>
      <c r="B192" s="19" t="n"/>
      <c r="C192" s="19" t="n"/>
      <c r="D192" s="13" t="n"/>
      <c r="E192" s="20">
        <f>IF(AND(ISNUMBER(C192),C192&gt;0,ISNUMBER(D192)),D192/C192,"")</f>
        <v/>
      </c>
      <c r="F192" s="21">
        <f>IF(A192="","",SUMIF(Fichas!$B$4:$B$603,A192,Fichas!$F$4:$F$603))</f>
        <v/>
      </c>
      <c r="G192" s="8">
        <f>IF(OR(A192="",F192="",N(C192)=0),"",ROUNDUP(F192/C192,0))</f>
        <v/>
      </c>
    </row>
    <row r="193">
      <c r="A193" s="19" t="n"/>
      <c r="B193" s="19" t="n"/>
      <c r="C193" s="19" t="n"/>
      <c r="D193" s="13" t="n"/>
      <c r="E193" s="20">
        <f>IF(AND(ISNUMBER(C193),C193&gt;0,ISNUMBER(D193)),D193/C193,"")</f>
        <v/>
      </c>
      <c r="F193" s="21">
        <f>IF(A193="","",SUMIF(Fichas!$B$4:$B$603,A193,Fichas!$F$4:$F$603))</f>
        <v/>
      </c>
      <c r="G193" s="8">
        <f>IF(OR(A193="",F193="",N(C193)=0),"",ROUNDUP(F193/C193,0))</f>
        <v/>
      </c>
    </row>
    <row r="194">
      <c r="A194" s="19" t="n"/>
      <c r="B194" s="19" t="n"/>
      <c r="C194" s="19" t="n"/>
      <c r="D194" s="13" t="n"/>
      <c r="E194" s="20">
        <f>IF(AND(ISNUMBER(C194),C194&gt;0,ISNUMBER(D194)),D194/C194,"")</f>
        <v/>
      </c>
      <c r="F194" s="21">
        <f>IF(A194="","",SUMIF(Fichas!$B$4:$B$603,A194,Fichas!$F$4:$F$603))</f>
        <v/>
      </c>
      <c r="G194" s="8">
        <f>IF(OR(A194="",F194="",N(C194)=0),"",ROUNDUP(F194/C194,0))</f>
        <v/>
      </c>
    </row>
    <row r="195">
      <c r="A195" s="19" t="n"/>
      <c r="B195" s="19" t="n"/>
      <c r="C195" s="19" t="n"/>
      <c r="D195" s="13" t="n"/>
      <c r="E195" s="20">
        <f>IF(AND(ISNUMBER(C195),C195&gt;0,ISNUMBER(D195)),D195/C195,"")</f>
        <v/>
      </c>
      <c r="F195" s="21">
        <f>IF(A195="","",SUMIF(Fichas!$B$4:$B$603,A195,Fichas!$F$4:$F$603))</f>
        <v/>
      </c>
      <c r="G195" s="8">
        <f>IF(OR(A195="",F195="",N(C195)=0),"",ROUNDUP(F195/C195,0))</f>
        <v/>
      </c>
    </row>
    <row r="196">
      <c r="A196" s="19" t="n"/>
      <c r="B196" s="19" t="n"/>
      <c r="C196" s="19" t="n"/>
      <c r="D196" s="13" t="n"/>
      <c r="E196" s="20">
        <f>IF(AND(ISNUMBER(C196),C196&gt;0,ISNUMBER(D196)),D196/C196,"")</f>
        <v/>
      </c>
      <c r="F196" s="21">
        <f>IF(A196="","",SUMIF(Fichas!$B$4:$B$603,A196,Fichas!$F$4:$F$603))</f>
        <v/>
      </c>
      <c r="G196" s="8">
        <f>IF(OR(A196="",F196="",N(C196)=0),"",ROUNDUP(F196/C196,0))</f>
        <v/>
      </c>
    </row>
    <row r="197">
      <c r="A197" s="19" t="n"/>
      <c r="B197" s="19" t="n"/>
      <c r="C197" s="19" t="n"/>
      <c r="D197" s="13" t="n"/>
      <c r="E197" s="20">
        <f>IF(AND(ISNUMBER(C197),C197&gt;0,ISNUMBER(D197)),D197/C197,"")</f>
        <v/>
      </c>
      <c r="F197" s="21">
        <f>IF(A197="","",SUMIF(Fichas!$B$4:$B$603,A197,Fichas!$F$4:$F$603))</f>
        <v/>
      </c>
      <c r="G197" s="8">
        <f>IF(OR(A197="",F197="",N(C197)=0),"",ROUNDUP(F197/C197,0))</f>
        <v/>
      </c>
    </row>
    <row r="198">
      <c r="A198" s="19" t="n"/>
      <c r="B198" s="19" t="n"/>
      <c r="C198" s="19" t="n"/>
      <c r="D198" s="13" t="n"/>
      <c r="E198" s="20">
        <f>IF(AND(ISNUMBER(C198),C198&gt;0,ISNUMBER(D198)),D198/C198,"")</f>
        <v/>
      </c>
      <c r="F198" s="21">
        <f>IF(A198="","",SUMIF(Fichas!$B$4:$B$603,A198,Fichas!$F$4:$F$603))</f>
        <v/>
      </c>
      <c r="G198" s="8">
        <f>IF(OR(A198="",F198="",N(C198)=0),"",ROUNDUP(F198/C198,0))</f>
        <v/>
      </c>
    </row>
    <row r="199">
      <c r="A199" s="19" t="n"/>
      <c r="B199" s="19" t="n"/>
      <c r="C199" s="19" t="n"/>
      <c r="D199" s="13" t="n"/>
      <c r="E199" s="20">
        <f>IF(AND(ISNUMBER(C199),C199&gt;0,ISNUMBER(D199)),D199/C199,"")</f>
        <v/>
      </c>
      <c r="F199" s="21">
        <f>IF(A199="","",SUMIF(Fichas!$B$4:$B$603,A199,Fichas!$F$4:$F$603))</f>
        <v/>
      </c>
      <c r="G199" s="8">
        <f>IF(OR(A199="",F199="",N(C199)=0),"",ROUNDUP(F199/C199,0))</f>
        <v/>
      </c>
    </row>
    <row r="200">
      <c r="A200" s="19" t="n"/>
      <c r="B200" s="19" t="n"/>
      <c r="C200" s="19" t="n"/>
      <c r="D200" s="13" t="n"/>
      <c r="E200" s="20">
        <f>IF(AND(ISNUMBER(C200),C200&gt;0,ISNUMBER(D200)),D200/C200,"")</f>
        <v/>
      </c>
      <c r="F200" s="21">
        <f>IF(A200="","",SUMIF(Fichas!$B$4:$B$603,A200,Fichas!$F$4:$F$603))</f>
        <v/>
      </c>
      <c r="G200" s="8">
        <f>IF(OR(A200="",F200="",N(C200)=0),"",ROUNDUP(F200/C200,0))</f>
        <v/>
      </c>
    </row>
    <row r="201">
      <c r="A201" s="19" t="n"/>
      <c r="B201" s="19" t="n"/>
      <c r="C201" s="19" t="n"/>
      <c r="D201" s="13" t="n"/>
      <c r="E201" s="20">
        <f>IF(AND(ISNUMBER(C201),C201&gt;0,ISNUMBER(D201)),D201/C201,"")</f>
        <v/>
      </c>
      <c r="F201" s="21">
        <f>IF(A201="","",SUMIF(Fichas!$B$4:$B$603,A201,Fichas!$F$4:$F$603))</f>
        <v/>
      </c>
      <c r="G201" s="8">
        <f>IF(OR(A201="",F201="",N(C201)=0),"",ROUNDUP(F201/C201,0))</f>
        <v/>
      </c>
    </row>
    <row r="202">
      <c r="A202" s="19" t="n"/>
      <c r="B202" s="19" t="n"/>
      <c r="C202" s="19" t="n"/>
      <c r="D202" s="13" t="n"/>
      <c r="E202" s="20">
        <f>IF(AND(ISNUMBER(C202),C202&gt;0,ISNUMBER(D202)),D202/C202,"")</f>
        <v/>
      </c>
      <c r="F202" s="21">
        <f>IF(A202="","",SUMIF(Fichas!$B$4:$B$603,A202,Fichas!$F$4:$F$603))</f>
        <v/>
      </c>
      <c r="G202" s="8">
        <f>IF(OR(A202="",F202="",N(C202)=0),"",ROUNDUP(F202/C202,0))</f>
        <v/>
      </c>
    </row>
    <row r="203">
      <c r="A203" s="19" t="n"/>
      <c r="B203" s="19" t="n"/>
      <c r="C203" s="19" t="n"/>
      <c r="D203" s="13" t="n"/>
      <c r="E203" s="20">
        <f>IF(AND(ISNUMBER(C203),C203&gt;0,ISNUMBER(D203)),D203/C203,"")</f>
        <v/>
      </c>
      <c r="F203" s="21">
        <f>IF(A203="","",SUMIF(Fichas!$B$4:$B$603,A203,Fichas!$F$4:$F$603))</f>
        <v/>
      </c>
      <c r="G203" s="8">
        <f>IF(OR(A203="",F203="",N(C203)=0),"",ROUNDUP(F203/C203,0))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D3A"/>
    <outlinePr summaryBelow="1" summaryRight="1"/>
    <pageSetUpPr/>
  </sheetPr>
  <dimension ref="A1:F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3. Fichas técnicas (receitas)</t>
        </is>
      </c>
    </row>
    <row r="2">
      <c r="A2" s="2" t="inlineStr">
        <is>
          <t>Uma linha por ingrediente. Escreva o nome da receita igual em todas as linhas dela. Quantidade na MESMA unidade da aba Ingredientes. Inclua só o que vai na receita; a embalagem por unidade vai na aba Produtos.</t>
        </is>
      </c>
    </row>
    <row r="3" ht="42" customHeight="1">
      <c r="A3" s="18" t="inlineStr">
        <is>
          <t>Receita (= nome do produto)</t>
        </is>
      </c>
      <c r="B3" s="18" t="inlineStr">
        <is>
          <t>Ingrediente (escolha da lista)</t>
        </is>
      </c>
      <c r="C3" s="18" t="inlineStr">
        <is>
          <t>Quantidade usada</t>
        </is>
      </c>
      <c r="D3" s="18" t="inlineStr">
        <is>
          <t>Unidade</t>
        </is>
      </c>
      <c r="E3" s="18" t="inlineStr">
        <is>
          <t>Custo na receita (R$)</t>
        </is>
      </c>
      <c r="F3" s="18" t="inlineStr">
        <is>
          <t>Quantidade p/ a semana</t>
        </is>
      </c>
    </row>
    <row r="4">
      <c r="A4" s="19" t="inlineStr">
        <is>
          <t>Marmita frango grelhado</t>
        </is>
      </c>
      <c r="B4" s="19" t="inlineStr">
        <is>
          <t>Arroz</t>
        </is>
      </c>
      <c r="C4" s="22" t="n">
        <v>1000</v>
      </c>
      <c r="D4" s="12">
        <f>IF(B4="","",IFERROR(VLOOKUP(B4,Ingredientes!$A$4:$E$203,2,0),"?"))</f>
        <v/>
      </c>
      <c r="E4" s="9">
        <f>IF(B4="","",IFERROR(VLOOKUP(B4,Ingredientes!$A$4:$E$203,5,0)*C4,"ITEM NÃO CADASTRADO"))</f>
        <v/>
      </c>
      <c r="F4" s="21">
        <f>IF(A4="","",IFERROR(C4*VLOOKUP(A4,Semana!$A$5:$E$54,5,0),0))</f>
        <v/>
      </c>
    </row>
    <row r="5">
      <c r="A5" s="19" t="inlineStr">
        <is>
          <t>Marmita frango grelhado</t>
        </is>
      </c>
      <c r="B5" s="19" t="inlineStr">
        <is>
          <t>Feijão carioca</t>
        </is>
      </c>
      <c r="C5" s="22" t="n">
        <v>500</v>
      </c>
      <c r="D5" s="12">
        <f>IF(B5="","",IFERROR(VLOOKUP(B5,Ingredientes!$A$4:$E$203,2,0),"?"))</f>
        <v/>
      </c>
      <c r="E5" s="9">
        <f>IF(B5="","",IFERROR(VLOOKUP(B5,Ingredientes!$A$4:$E$203,5,0)*C5,"ITEM NÃO CADASTRADO"))</f>
        <v/>
      </c>
      <c r="F5" s="21">
        <f>IF(A5="","",IFERROR(C5*VLOOKUP(A5,Semana!$A$5:$E$54,5,0),0))</f>
        <v/>
      </c>
    </row>
    <row r="6">
      <c r="A6" s="19" t="inlineStr">
        <is>
          <t>Marmita frango grelhado</t>
        </is>
      </c>
      <c r="B6" s="19" t="inlineStr">
        <is>
          <t>Peito de frango</t>
        </is>
      </c>
      <c r="C6" s="22" t="n">
        <v>1500</v>
      </c>
      <c r="D6" s="12">
        <f>IF(B6="","",IFERROR(VLOOKUP(B6,Ingredientes!$A$4:$E$203,2,0),"?"))</f>
        <v/>
      </c>
      <c r="E6" s="9">
        <f>IF(B6="","",IFERROR(VLOOKUP(B6,Ingredientes!$A$4:$E$203,5,0)*C6,"ITEM NÃO CADASTRADO"))</f>
        <v/>
      </c>
      <c r="F6" s="21">
        <f>IF(A6="","",IFERROR(C6*VLOOKUP(A6,Semana!$A$5:$E$54,5,0),0))</f>
        <v/>
      </c>
    </row>
    <row r="7">
      <c r="A7" s="19" t="inlineStr">
        <is>
          <t>Marmita frango grelhado</t>
        </is>
      </c>
      <c r="B7" s="19" t="inlineStr">
        <is>
          <t>Óleo de soja</t>
        </is>
      </c>
      <c r="C7" s="22" t="n">
        <v>120</v>
      </c>
      <c r="D7" s="12">
        <f>IF(B7="","",IFERROR(VLOOKUP(B7,Ingredientes!$A$4:$E$203,2,0),"?"))</f>
        <v/>
      </c>
      <c r="E7" s="9">
        <f>IF(B7="","",IFERROR(VLOOKUP(B7,Ingredientes!$A$4:$E$203,5,0)*C7,"ITEM NÃO CADASTRADO"))</f>
        <v/>
      </c>
      <c r="F7" s="21">
        <f>IF(A7="","",IFERROR(C7*VLOOKUP(A7,Semana!$A$5:$E$54,5,0),0))</f>
        <v/>
      </c>
    </row>
    <row r="8">
      <c r="A8" s="19" t="inlineStr">
        <is>
          <t>Marmita frango grelhado</t>
        </is>
      </c>
      <c r="B8" s="19" t="inlineStr">
        <is>
          <t>Alho</t>
        </is>
      </c>
      <c r="C8" s="22" t="n">
        <v>30</v>
      </c>
      <c r="D8" s="12">
        <f>IF(B8="","",IFERROR(VLOOKUP(B8,Ingredientes!$A$4:$E$203,2,0),"?"))</f>
        <v/>
      </c>
      <c r="E8" s="9">
        <f>IF(B8="","",IFERROR(VLOOKUP(B8,Ingredientes!$A$4:$E$203,5,0)*C8,"ITEM NÃO CADASTRADO"))</f>
        <v/>
      </c>
      <c r="F8" s="21">
        <f>IF(A8="","",IFERROR(C8*VLOOKUP(A8,Semana!$A$5:$E$54,5,0),0))</f>
        <v/>
      </c>
    </row>
    <row r="9">
      <c r="A9" s="19" t="inlineStr">
        <is>
          <t>Marmita frango grelhado</t>
        </is>
      </c>
      <c r="B9" s="19" t="inlineStr">
        <is>
          <t>Cebola</t>
        </is>
      </c>
      <c r="C9" s="22" t="n">
        <v>200</v>
      </c>
      <c r="D9" s="12">
        <f>IF(B9="","",IFERROR(VLOOKUP(B9,Ingredientes!$A$4:$E$203,2,0),"?"))</f>
        <v/>
      </c>
      <c r="E9" s="9">
        <f>IF(B9="","",IFERROR(VLOOKUP(B9,Ingredientes!$A$4:$E$203,5,0)*C9,"ITEM NÃO CADASTRADO"))</f>
        <v/>
      </c>
      <c r="F9" s="21">
        <f>IF(A9="","",IFERROR(C9*VLOOKUP(A9,Semana!$A$5:$E$54,5,0),0))</f>
        <v/>
      </c>
    </row>
    <row r="10">
      <c r="A10" s="19" t="inlineStr">
        <is>
          <t>Marmita frango grelhado</t>
        </is>
      </c>
      <c r="B10" s="19" t="inlineStr">
        <is>
          <t>Sal</t>
        </is>
      </c>
      <c r="C10" s="22" t="n">
        <v>30</v>
      </c>
      <c r="D10" s="12">
        <f>IF(B10="","",IFERROR(VLOOKUP(B10,Ingredientes!$A$4:$E$203,2,0),"?"))</f>
        <v/>
      </c>
      <c r="E10" s="9">
        <f>IF(B10="","",IFERROR(VLOOKUP(B10,Ingredientes!$A$4:$E$203,5,0)*C10,"ITEM NÃO CADASTRADO"))</f>
        <v/>
      </c>
      <c r="F10" s="21">
        <f>IF(A10="","",IFERROR(C10*VLOOKUP(A10,Semana!$A$5:$E$54,5,0),0))</f>
        <v/>
      </c>
    </row>
    <row r="11">
      <c r="A11" s="19" t="inlineStr">
        <is>
          <t>Marmita frango grelhado</t>
        </is>
      </c>
      <c r="B11" s="19" t="inlineStr">
        <is>
          <t>Tomate</t>
        </is>
      </c>
      <c r="C11" s="22" t="n">
        <v>400</v>
      </c>
      <c r="D11" s="12">
        <f>IF(B11="","",IFERROR(VLOOKUP(B11,Ingredientes!$A$4:$E$203,2,0),"?"))</f>
        <v/>
      </c>
      <c r="E11" s="9">
        <f>IF(B11="","",IFERROR(VLOOKUP(B11,Ingredientes!$A$4:$E$203,5,0)*C11,"ITEM NÃO CADASTRADO"))</f>
        <v/>
      </c>
      <c r="F11" s="21">
        <f>IF(A11="","",IFERROR(C11*VLOOKUP(A11,Semana!$A$5:$E$54,5,0),0))</f>
        <v/>
      </c>
    </row>
    <row r="12">
      <c r="A12" s="19" t="inlineStr">
        <is>
          <t>Marmita frango grelhado</t>
        </is>
      </c>
      <c r="B12" s="19" t="inlineStr">
        <is>
          <t>Cenoura</t>
        </is>
      </c>
      <c r="C12" s="22" t="n">
        <v>300</v>
      </c>
      <c r="D12" s="12">
        <f>IF(B12="","",IFERROR(VLOOKUP(B12,Ingredientes!$A$4:$E$203,2,0),"?"))</f>
        <v/>
      </c>
      <c r="E12" s="9">
        <f>IF(B12="","",IFERROR(VLOOKUP(B12,Ingredientes!$A$4:$E$203,5,0)*C12,"ITEM NÃO CADASTRADO"))</f>
        <v/>
      </c>
      <c r="F12" s="21">
        <f>IF(A12="","",IFERROR(C12*VLOOKUP(A12,Semana!$A$5:$E$54,5,0),0))</f>
        <v/>
      </c>
    </row>
    <row r="13">
      <c r="A13" s="19" t="inlineStr">
        <is>
          <t>Coxinha de frango (unid.)</t>
        </is>
      </c>
      <c r="B13" s="19" t="inlineStr">
        <is>
          <t>Peito de frango</t>
        </is>
      </c>
      <c r="C13" s="22" t="n">
        <v>1000</v>
      </c>
      <c r="D13" s="12">
        <f>IF(B13="","",IFERROR(VLOOKUP(B13,Ingredientes!$A$4:$E$203,2,0),"?"))</f>
        <v/>
      </c>
      <c r="E13" s="9">
        <f>IF(B13="","",IFERROR(VLOOKUP(B13,Ingredientes!$A$4:$E$203,5,0)*C13,"ITEM NÃO CADASTRADO"))</f>
        <v/>
      </c>
      <c r="F13" s="21">
        <f>IF(A13="","",IFERROR(C13*VLOOKUP(A13,Semana!$A$5:$E$54,5,0),0))</f>
        <v/>
      </c>
    </row>
    <row r="14">
      <c r="A14" s="19" t="inlineStr">
        <is>
          <t>Coxinha de frango (unid.)</t>
        </is>
      </c>
      <c r="B14" s="19" t="inlineStr">
        <is>
          <t>Farinha de trigo</t>
        </is>
      </c>
      <c r="C14" s="22" t="n">
        <v>1000</v>
      </c>
      <c r="D14" s="12">
        <f>IF(B14="","",IFERROR(VLOOKUP(B14,Ingredientes!$A$4:$E$203,2,0),"?"))</f>
        <v/>
      </c>
      <c r="E14" s="9">
        <f>IF(B14="","",IFERROR(VLOOKUP(B14,Ingredientes!$A$4:$E$203,5,0)*C14,"ITEM NÃO CADASTRADO"))</f>
        <v/>
      </c>
      <c r="F14" s="21">
        <f>IF(A14="","",IFERROR(C14*VLOOKUP(A14,Semana!$A$5:$E$54,5,0),0))</f>
        <v/>
      </c>
    </row>
    <row r="15">
      <c r="A15" s="19" t="inlineStr">
        <is>
          <t>Coxinha de frango (unid.)</t>
        </is>
      </c>
      <c r="B15" s="19" t="inlineStr">
        <is>
          <t>Leite integral</t>
        </is>
      </c>
      <c r="C15" s="22" t="n">
        <v>1000</v>
      </c>
      <c r="D15" s="12">
        <f>IF(B15="","",IFERROR(VLOOKUP(B15,Ingredientes!$A$4:$E$203,2,0),"?"))</f>
        <v/>
      </c>
      <c r="E15" s="9">
        <f>IF(B15="","",IFERROR(VLOOKUP(B15,Ingredientes!$A$4:$E$203,5,0)*C15,"ITEM NÃO CADASTRADO"))</f>
        <v/>
      </c>
      <c r="F15" s="21">
        <f>IF(A15="","",IFERROR(C15*VLOOKUP(A15,Semana!$A$5:$E$54,5,0),0))</f>
        <v/>
      </c>
    </row>
    <row r="16">
      <c r="A16" s="19" t="inlineStr">
        <is>
          <t>Coxinha de frango (unid.)</t>
        </is>
      </c>
      <c r="B16" s="19" t="inlineStr">
        <is>
          <t>Margarina</t>
        </is>
      </c>
      <c r="C16" s="22" t="n">
        <v>50</v>
      </c>
      <c r="D16" s="12">
        <f>IF(B16="","",IFERROR(VLOOKUP(B16,Ingredientes!$A$4:$E$203,2,0),"?"))</f>
        <v/>
      </c>
      <c r="E16" s="9">
        <f>IF(B16="","",IFERROR(VLOOKUP(B16,Ingredientes!$A$4:$E$203,5,0)*C16,"ITEM NÃO CADASTRADO"))</f>
        <v/>
      </c>
      <c r="F16" s="21">
        <f>IF(A16="","",IFERROR(C16*VLOOKUP(A16,Semana!$A$5:$E$54,5,0),0))</f>
        <v/>
      </c>
    </row>
    <row r="17">
      <c r="A17" s="19" t="inlineStr">
        <is>
          <t>Coxinha de frango (unid.)</t>
        </is>
      </c>
      <c r="B17" s="19" t="inlineStr">
        <is>
          <t>Caldo de galinha (tablete)</t>
        </is>
      </c>
      <c r="C17" s="22" t="n">
        <v>2</v>
      </c>
      <c r="D17" s="12">
        <f>IF(B17="","",IFERROR(VLOOKUP(B17,Ingredientes!$A$4:$E$203,2,0),"?"))</f>
        <v/>
      </c>
      <c r="E17" s="9">
        <f>IF(B17="","",IFERROR(VLOOKUP(B17,Ingredientes!$A$4:$E$203,5,0)*C17,"ITEM NÃO CADASTRADO"))</f>
        <v/>
      </c>
      <c r="F17" s="21">
        <f>IF(A17="","",IFERROR(C17*VLOOKUP(A17,Semana!$A$5:$E$54,5,0),0))</f>
        <v/>
      </c>
    </row>
    <row r="18">
      <c r="A18" s="19" t="inlineStr">
        <is>
          <t>Coxinha de frango (unid.)</t>
        </is>
      </c>
      <c r="B18" s="19" t="inlineStr">
        <is>
          <t>Cebola</t>
        </is>
      </c>
      <c r="C18" s="22" t="n">
        <v>150</v>
      </c>
      <c r="D18" s="12">
        <f>IF(B18="","",IFERROR(VLOOKUP(B18,Ingredientes!$A$4:$E$203,2,0),"?"))</f>
        <v/>
      </c>
      <c r="E18" s="9">
        <f>IF(B18="","",IFERROR(VLOOKUP(B18,Ingredientes!$A$4:$E$203,5,0)*C18,"ITEM NÃO CADASTRADO"))</f>
        <v/>
      </c>
      <c r="F18" s="21">
        <f>IF(A18="","",IFERROR(C18*VLOOKUP(A18,Semana!$A$5:$E$54,5,0),0))</f>
        <v/>
      </c>
    </row>
    <row r="19">
      <c r="A19" s="19" t="inlineStr">
        <is>
          <t>Coxinha de frango (unid.)</t>
        </is>
      </c>
      <c r="B19" s="19" t="inlineStr">
        <is>
          <t>Alho</t>
        </is>
      </c>
      <c r="C19" s="22" t="n">
        <v>20</v>
      </c>
      <c r="D19" s="12">
        <f>IF(B19="","",IFERROR(VLOOKUP(B19,Ingredientes!$A$4:$E$203,2,0),"?"))</f>
        <v/>
      </c>
      <c r="E19" s="9">
        <f>IF(B19="","",IFERROR(VLOOKUP(B19,Ingredientes!$A$4:$E$203,5,0)*C19,"ITEM NÃO CADASTRADO"))</f>
        <v/>
      </c>
      <c r="F19" s="21">
        <f>IF(A19="","",IFERROR(C19*VLOOKUP(A19,Semana!$A$5:$E$54,5,0),0))</f>
        <v/>
      </c>
    </row>
    <row r="20">
      <c r="A20" s="19" t="inlineStr">
        <is>
          <t>Coxinha de frango (unid.)</t>
        </is>
      </c>
      <c r="B20" s="19" t="inlineStr">
        <is>
          <t>Requeijão</t>
        </is>
      </c>
      <c r="C20" s="22" t="n">
        <v>200</v>
      </c>
      <c r="D20" s="12">
        <f>IF(B20="","",IFERROR(VLOOKUP(B20,Ingredientes!$A$4:$E$203,2,0),"?"))</f>
        <v/>
      </c>
      <c r="E20" s="9">
        <f>IF(B20="","",IFERROR(VLOOKUP(B20,Ingredientes!$A$4:$E$203,5,0)*C20,"ITEM NÃO CADASTRADO"))</f>
        <v/>
      </c>
      <c r="F20" s="21">
        <f>IF(A20="","",IFERROR(C20*VLOOKUP(A20,Semana!$A$5:$E$54,5,0),0))</f>
        <v/>
      </c>
    </row>
    <row r="21">
      <c r="A21" s="19" t="inlineStr">
        <is>
          <t>Coxinha de frango (unid.)</t>
        </is>
      </c>
      <c r="B21" s="19" t="inlineStr">
        <is>
          <t>Ovo</t>
        </is>
      </c>
      <c r="C21" s="22" t="n">
        <v>3</v>
      </c>
      <c r="D21" s="12">
        <f>IF(B21="","",IFERROR(VLOOKUP(B21,Ingredientes!$A$4:$E$203,2,0),"?"))</f>
        <v/>
      </c>
      <c r="E21" s="9">
        <f>IF(B21="","",IFERROR(VLOOKUP(B21,Ingredientes!$A$4:$E$203,5,0)*C21,"ITEM NÃO CADASTRADO"))</f>
        <v/>
      </c>
      <c r="F21" s="21">
        <f>IF(A21="","",IFERROR(C21*VLOOKUP(A21,Semana!$A$5:$E$54,5,0),0))</f>
        <v/>
      </c>
    </row>
    <row r="22">
      <c r="A22" s="19" t="inlineStr">
        <is>
          <t>Coxinha de frango (unid.)</t>
        </is>
      </c>
      <c r="B22" s="19" t="inlineStr">
        <is>
          <t>Farinha de rosca</t>
        </is>
      </c>
      <c r="C22" s="22" t="n">
        <v>400</v>
      </c>
      <c r="D22" s="12">
        <f>IF(B22="","",IFERROR(VLOOKUP(B22,Ingredientes!$A$4:$E$203,2,0),"?"))</f>
        <v/>
      </c>
      <c r="E22" s="9">
        <f>IF(B22="","",IFERROR(VLOOKUP(B22,Ingredientes!$A$4:$E$203,5,0)*C22,"ITEM NÃO CADASTRADO"))</f>
        <v/>
      </c>
      <c r="F22" s="21">
        <f>IF(A22="","",IFERROR(C22*VLOOKUP(A22,Semana!$A$5:$E$54,5,0),0))</f>
        <v/>
      </c>
    </row>
    <row r="23">
      <c r="A23" s="19" t="inlineStr">
        <is>
          <t>Coxinha de frango (unid.)</t>
        </is>
      </c>
      <c r="B23" s="19" t="inlineStr">
        <is>
          <t>Óleo de soja</t>
        </is>
      </c>
      <c r="C23" s="22" t="n">
        <v>900</v>
      </c>
      <c r="D23" s="12">
        <f>IF(B23="","",IFERROR(VLOOKUP(B23,Ingredientes!$A$4:$E$203,2,0),"?"))</f>
        <v/>
      </c>
      <c r="E23" s="9">
        <f>IF(B23="","",IFERROR(VLOOKUP(B23,Ingredientes!$A$4:$E$203,5,0)*C23,"ITEM NÃO CADASTRADO"))</f>
        <v/>
      </c>
      <c r="F23" s="21">
        <f>IF(A23="","",IFERROR(C23*VLOOKUP(A23,Semana!$A$5:$E$54,5,0),0))</f>
        <v/>
      </c>
    </row>
    <row r="24">
      <c r="A24" s="19" t="inlineStr">
        <is>
          <t>Brigadeiro gourmet (unid.)</t>
        </is>
      </c>
      <c r="B24" s="19" t="inlineStr">
        <is>
          <t>Leite condensado</t>
        </is>
      </c>
      <c r="C24" s="22" t="n">
        <v>790</v>
      </c>
      <c r="D24" s="12">
        <f>IF(B24="","",IFERROR(VLOOKUP(B24,Ingredientes!$A$4:$E$203,2,0),"?"))</f>
        <v/>
      </c>
      <c r="E24" s="9">
        <f>IF(B24="","",IFERROR(VLOOKUP(B24,Ingredientes!$A$4:$E$203,5,0)*C24,"ITEM NÃO CADASTRADO"))</f>
        <v/>
      </c>
      <c r="F24" s="21">
        <f>IF(A24="","",IFERROR(C24*VLOOKUP(A24,Semana!$A$5:$E$54,5,0),0))</f>
        <v/>
      </c>
    </row>
    <row r="25">
      <c r="A25" s="19" t="inlineStr">
        <is>
          <t>Brigadeiro gourmet (unid.)</t>
        </is>
      </c>
      <c r="B25" s="19" t="inlineStr">
        <is>
          <t>Creme de leite</t>
        </is>
      </c>
      <c r="C25" s="22" t="n">
        <v>200</v>
      </c>
      <c r="D25" s="12">
        <f>IF(B25="","",IFERROR(VLOOKUP(B25,Ingredientes!$A$4:$E$203,2,0),"?"))</f>
        <v/>
      </c>
      <c r="E25" s="9">
        <f>IF(B25="","",IFERROR(VLOOKUP(B25,Ingredientes!$A$4:$E$203,5,0)*C25,"ITEM NÃO CADASTRADO"))</f>
        <v/>
      </c>
      <c r="F25" s="21">
        <f>IF(A25="","",IFERROR(C25*VLOOKUP(A25,Semana!$A$5:$E$54,5,0),0))</f>
        <v/>
      </c>
    </row>
    <row r="26">
      <c r="A26" s="19" t="inlineStr">
        <is>
          <t>Brigadeiro gourmet (unid.)</t>
        </is>
      </c>
      <c r="B26" s="19" t="inlineStr">
        <is>
          <t>Chocolate em pó 50%</t>
        </is>
      </c>
      <c r="C26" s="22" t="n">
        <v>80</v>
      </c>
      <c r="D26" s="12">
        <f>IF(B26="","",IFERROR(VLOOKUP(B26,Ingredientes!$A$4:$E$203,2,0),"?"))</f>
        <v/>
      </c>
      <c r="E26" s="9">
        <f>IF(B26="","",IFERROR(VLOOKUP(B26,Ingredientes!$A$4:$E$203,5,0)*C26,"ITEM NÃO CADASTRADO"))</f>
        <v/>
      </c>
      <c r="F26" s="21">
        <f>IF(A26="","",IFERROR(C26*VLOOKUP(A26,Semana!$A$5:$E$54,5,0),0))</f>
        <v/>
      </c>
    </row>
    <row r="27">
      <c r="A27" s="19" t="inlineStr">
        <is>
          <t>Brigadeiro gourmet (unid.)</t>
        </is>
      </c>
      <c r="B27" s="19" t="inlineStr">
        <is>
          <t>Margarina</t>
        </is>
      </c>
      <c r="C27" s="22" t="n">
        <v>30</v>
      </c>
      <c r="D27" s="12">
        <f>IF(B27="","",IFERROR(VLOOKUP(B27,Ingredientes!$A$4:$E$203,2,0),"?"))</f>
        <v/>
      </c>
      <c r="E27" s="9">
        <f>IF(B27="","",IFERROR(VLOOKUP(B27,Ingredientes!$A$4:$E$203,5,0)*C27,"ITEM NÃO CADASTRADO"))</f>
        <v/>
      </c>
      <c r="F27" s="21">
        <f>IF(A27="","",IFERROR(C27*VLOOKUP(A27,Semana!$A$5:$E$54,5,0),0))</f>
        <v/>
      </c>
    </row>
    <row r="28">
      <c r="A28" s="19" t="inlineStr">
        <is>
          <t>Brigadeiro gourmet (unid.)</t>
        </is>
      </c>
      <c r="B28" s="19" t="inlineStr">
        <is>
          <t>Chocolate granulado</t>
        </is>
      </c>
      <c r="C28" s="22" t="n">
        <v>250</v>
      </c>
      <c r="D28" s="12">
        <f>IF(B28="","",IFERROR(VLOOKUP(B28,Ingredientes!$A$4:$E$203,2,0),"?"))</f>
        <v/>
      </c>
      <c r="E28" s="9">
        <f>IF(B28="","",IFERROR(VLOOKUP(B28,Ingredientes!$A$4:$E$203,5,0)*C28,"ITEM NÃO CADASTRADO"))</f>
        <v/>
      </c>
      <c r="F28" s="21">
        <f>IF(A28="","",IFERROR(C28*VLOOKUP(A28,Semana!$A$5:$E$54,5,0),0))</f>
        <v/>
      </c>
    </row>
    <row r="29">
      <c r="A29" s="19" t="inlineStr">
        <is>
          <t>Brigadeiro gourmet (unid.)</t>
        </is>
      </c>
      <c r="B29" s="19" t="inlineStr">
        <is>
          <t>Forminha nº 4 (cento)</t>
        </is>
      </c>
      <c r="C29" s="22" t="n">
        <v>40</v>
      </c>
      <c r="D29" s="12">
        <f>IF(B29="","",IFERROR(VLOOKUP(B29,Ingredientes!$A$4:$E$203,2,0),"?"))</f>
        <v/>
      </c>
      <c r="E29" s="9">
        <f>IF(B29="","",IFERROR(VLOOKUP(B29,Ingredientes!$A$4:$E$203,5,0)*C29,"ITEM NÃO CADASTRADO"))</f>
        <v/>
      </c>
      <c r="F29" s="21">
        <f>IF(A29="","",IFERROR(C29*VLOOKUP(A29,Semana!$A$5:$E$54,5,0),0))</f>
        <v/>
      </c>
    </row>
    <row r="30">
      <c r="A30" s="19" t="n"/>
      <c r="B30" s="19" t="n"/>
      <c r="C30" s="22" t="n"/>
      <c r="D30" s="12">
        <f>IF(B30="","",IFERROR(VLOOKUP(B30,Ingredientes!$A$4:$E$203,2,0),"?"))</f>
        <v/>
      </c>
      <c r="E30" s="9">
        <f>IF(B30="","",IFERROR(VLOOKUP(B30,Ingredientes!$A$4:$E$203,5,0)*C30,"ITEM NÃO CADASTRADO"))</f>
        <v/>
      </c>
      <c r="F30" s="21">
        <f>IF(A30="","",IFERROR(C30*VLOOKUP(A30,Semana!$A$5:$E$54,5,0),0))</f>
        <v/>
      </c>
    </row>
    <row r="31">
      <c r="A31" s="19" t="n"/>
      <c r="B31" s="19" t="n"/>
      <c r="C31" s="22" t="n"/>
      <c r="D31" s="12">
        <f>IF(B31="","",IFERROR(VLOOKUP(B31,Ingredientes!$A$4:$E$203,2,0),"?"))</f>
        <v/>
      </c>
      <c r="E31" s="9">
        <f>IF(B31="","",IFERROR(VLOOKUP(B31,Ingredientes!$A$4:$E$203,5,0)*C31,"ITEM NÃO CADASTRADO"))</f>
        <v/>
      </c>
      <c r="F31" s="21">
        <f>IF(A31="","",IFERROR(C31*VLOOKUP(A31,Semana!$A$5:$E$54,5,0),0))</f>
        <v/>
      </c>
    </row>
    <row r="32">
      <c r="A32" s="19" t="n"/>
      <c r="B32" s="19" t="n"/>
      <c r="C32" s="22" t="n"/>
      <c r="D32" s="12">
        <f>IF(B32="","",IFERROR(VLOOKUP(B32,Ingredientes!$A$4:$E$203,2,0),"?"))</f>
        <v/>
      </c>
      <c r="E32" s="9">
        <f>IF(B32="","",IFERROR(VLOOKUP(B32,Ingredientes!$A$4:$E$203,5,0)*C32,"ITEM NÃO CADASTRADO"))</f>
        <v/>
      </c>
      <c r="F32" s="21">
        <f>IF(A32="","",IFERROR(C32*VLOOKUP(A32,Semana!$A$5:$E$54,5,0),0))</f>
        <v/>
      </c>
    </row>
    <row r="33">
      <c r="A33" s="19" t="n"/>
      <c r="B33" s="19" t="n"/>
      <c r="C33" s="22" t="n"/>
      <c r="D33" s="12">
        <f>IF(B33="","",IFERROR(VLOOKUP(B33,Ingredientes!$A$4:$E$203,2,0),"?"))</f>
        <v/>
      </c>
      <c r="E33" s="9">
        <f>IF(B33="","",IFERROR(VLOOKUP(B33,Ingredientes!$A$4:$E$203,5,0)*C33,"ITEM NÃO CADASTRADO"))</f>
        <v/>
      </c>
      <c r="F33" s="21">
        <f>IF(A33="","",IFERROR(C33*VLOOKUP(A33,Semana!$A$5:$E$54,5,0),0))</f>
        <v/>
      </c>
    </row>
    <row r="34">
      <c r="A34" s="19" t="n"/>
      <c r="B34" s="19" t="n"/>
      <c r="C34" s="22" t="n"/>
      <c r="D34" s="12">
        <f>IF(B34="","",IFERROR(VLOOKUP(B34,Ingredientes!$A$4:$E$203,2,0),"?"))</f>
        <v/>
      </c>
      <c r="E34" s="9">
        <f>IF(B34="","",IFERROR(VLOOKUP(B34,Ingredientes!$A$4:$E$203,5,0)*C34,"ITEM NÃO CADASTRADO"))</f>
        <v/>
      </c>
      <c r="F34" s="21">
        <f>IF(A34="","",IFERROR(C34*VLOOKUP(A34,Semana!$A$5:$E$54,5,0),0))</f>
        <v/>
      </c>
    </row>
    <row r="35">
      <c r="A35" s="19" t="n"/>
      <c r="B35" s="19" t="n"/>
      <c r="C35" s="22" t="n"/>
      <c r="D35" s="12">
        <f>IF(B35="","",IFERROR(VLOOKUP(B35,Ingredientes!$A$4:$E$203,2,0),"?"))</f>
        <v/>
      </c>
      <c r="E35" s="9">
        <f>IF(B35="","",IFERROR(VLOOKUP(B35,Ingredientes!$A$4:$E$203,5,0)*C35,"ITEM NÃO CADASTRADO"))</f>
        <v/>
      </c>
      <c r="F35" s="21">
        <f>IF(A35="","",IFERROR(C35*VLOOKUP(A35,Semana!$A$5:$E$54,5,0),0))</f>
        <v/>
      </c>
    </row>
    <row r="36">
      <c r="A36" s="19" t="n"/>
      <c r="B36" s="19" t="n"/>
      <c r="C36" s="22" t="n"/>
      <c r="D36" s="12">
        <f>IF(B36="","",IFERROR(VLOOKUP(B36,Ingredientes!$A$4:$E$203,2,0),"?"))</f>
        <v/>
      </c>
      <c r="E36" s="9">
        <f>IF(B36="","",IFERROR(VLOOKUP(B36,Ingredientes!$A$4:$E$203,5,0)*C36,"ITEM NÃO CADASTRADO"))</f>
        <v/>
      </c>
      <c r="F36" s="21">
        <f>IF(A36="","",IFERROR(C36*VLOOKUP(A36,Semana!$A$5:$E$54,5,0),0))</f>
        <v/>
      </c>
    </row>
    <row r="37">
      <c r="A37" s="19" t="n"/>
      <c r="B37" s="19" t="n"/>
      <c r="C37" s="22" t="n"/>
      <c r="D37" s="12">
        <f>IF(B37="","",IFERROR(VLOOKUP(B37,Ingredientes!$A$4:$E$203,2,0),"?"))</f>
        <v/>
      </c>
      <c r="E37" s="9">
        <f>IF(B37="","",IFERROR(VLOOKUP(B37,Ingredientes!$A$4:$E$203,5,0)*C37,"ITEM NÃO CADASTRADO"))</f>
        <v/>
      </c>
      <c r="F37" s="21">
        <f>IF(A37="","",IFERROR(C37*VLOOKUP(A37,Semana!$A$5:$E$54,5,0),0))</f>
        <v/>
      </c>
    </row>
    <row r="38">
      <c r="A38" s="19" t="n"/>
      <c r="B38" s="19" t="n"/>
      <c r="C38" s="22" t="n"/>
      <c r="D38" s="12">
        <f>IF(B38="","",IFERROR(VLOOKUP(B38,Ingredientes!$A$4:$E$203,2,0),"?"))</f>
        <v/>
      </c>
      <c r="E38" s="9">
        <f>IF(B38="","",IFERROR(VLOOKUP(B38,Ingredientes!$A$4:$E$203,5,0)*C38,"ITEM NÃO CADASTRADO"))</f>
        <v/>
      </c>
      <c r="F38" s="21">
        <f>IF(A38="","",IFERROR(C38*VLOOKUP(A38,Semana!$A$5:$E$54,5,0),0))</f>
        <v/>
      </c>
    </row>
    <row r="39">
      <c r="A39" s="19" t="n"/>
      <c r="B39" s="19" t="n"/>
      <c r="C39" s="22" t="n"/>
      <c r="D39" s="12">
        <f>IF(B39="","",IFERROR(VLOOKUP(B39,Ingredientes!$A$4:$E$203,2,0),"?"))</f>
        <v/>
      </c>
      <c r="E39" s="9">
        <f>IF(B39="","",IFERROR(VLOOKUP(B39,Ingredientes!$A$4:$E$203,5,0)*C39,"ITEM NÃO CADASTRADO"))</f>
        <v/>
      </c>
      <c r="F39" s="21">
        <f>IF(A39="","",IFERROR(C39*VLOOKUP(A39,Semana!$A$5:$E$54,5,0),0))</f>
        <v/>
      </c>
    </row>
    <row r="40">
      <c r="A40" s="19" t="n"/>
      <c r="B40" s="19" t="n"/>
      <c r="C40" s="22" t="n"/>
      <c r="D40" s="12">
        <f>IF(B40="","",IFERROR(VLOOKUP(B40,Ingredientes!$A$4:$E$203,2,0),"?"))</f>
        <v/>
      </c>
      <c r="E40" s="9">
        <f>IF(B40="","",IFERROR(VLOOKUP(B40,Ingredientes!$A$4:$E$203,5,0)*C40,"ITEM NÃO CADASTRADO"))</f>
        <v/>
      </c>
      <c r="F40" s="21">
        <f>IF(A40="","",IFERROR(C40*VLOOKUP(A40,Semana!$A$5:$E$54,5,0),0))</f>
        <v/>
      </c>
    </row>
    <row r="41">
      <c r="A41" s="19" t="n"/>
      <c r="B41" s="19" t="n"/>
      <c r="C41" s="22" t="n"/>
      <c r="D41" s="12">
        <f>IF(B41="","",IFERROR(VLOOKUP(B41,Ingredientes!$A$4:$E$203,2,0),"?"))</f>
        <v/>
      </c>
      <c r="E41" s="9">
        <f>IF(B41="","",IFERROR(VLOOKUP(B41,Ingredientes!$A$4:$E$203,5,0)*C41,"ITEM NÃO CADASTRADO"))</f>
        <v/>
      </c>
      <c r="F41" s="21">
        <f>IF(A41="","",IFERROR(C41*VLOOKUP(A41,Semana!$A$5:$E$54,5,0),0))</f>
        <v/>
      </c>
    </row>
    <row r="42">
      <c r="A42" s="19" t="n"/>
      <c r="B42" s="19" t="n"/>
      <c r="C42" s="22" t="n"/>
      <c r="D42" s="12">
        <f>IF(B42="","",IFERROR(VLOOKUP(B42,Ingredientes!$A$4:$E$203,2,0),"?"))</f>
        <v/>
      </c>
      <c r="E42" s="9">
        <f>IF(B42="","",IFERROR(VLOOKUP(B42,Ingredientes!$A$4:$E$203,5,0)*C42,"ITEM NÃO CADASTRADO"))</f>
        <v/>
      </c>
      <c r="F42" s="21">
        <f>IF(A42="","",IFERROR(C42*VLOOKUP(A42,Semana!$A$5:$E$54,5,0),0))</f>
        <v/>
      </c>
    </row>
    <row r="43">
      <c r="A43" s="19" t="n"/>
      <c r="B43" s="19" t="n"/>
      <c r="C43" s="22" t="n"/>
      <c r="D43" s="12">
        <f>IF(B43="","",IFERROR(VLOOKUP(B43,Ingredientes!$A$4:$E$203,2,0),"?"))</f>
        <v/>
      </c>
      <c r="E43" s="9">
        <f>IF(B43="","",IFERROR(VLOOKUP(B43,Ingredientes!$A$4:$E$203,5,0)*C43,"ITEM NÃO CADASTRADO"))</f>
        <v/>
      </c>
      <c r="F43" s="21">
        <f>IF(A43="","",IFERROR(C43*VLOOKUP(A43,Semana!$A$5:$E$54,5,0),0))</f>
        <v/>
      </c>
    </row>
    <row r="44">
      <c r="A44" s="19" t="n"/>
      <c r="B44" s="19" t="n"/>
      <c r="C44" s="22" t="n"/>
      <c r="D44" s="12">
        <f>IF(B44="","",IFERROR(VLOOKUP(B44,Ingredientes!$A$4:$E$203,2,0),"?"))</f>
        <v/>
      </c>
      <c r="E44" s="9">
        <f>IF(B44="","",IFERROR(VLOOKUP(B44,Ingredientes!$A$4:$E$203,5,0)*C44,"ITEM NÃO CADASTRADO"))</f>
        <v/>
      </c>
      <c r="F44" s="21">
        <f>IF(A44="","",IFERROR(C44*VLOOKUP(A44,Semana!$A$5:$E$54,5,0),0))</f>
        <v/>
      </c>
    </row>
    <row r="45">
      <c r="A45" s="19" t="n"/>
      <c r="B45" s="19" t="n"/>
      <c r="C45" s="22" t="n"/>
      <c r="D45" s="12">
        <f>IF(B45="","",IFERROR(VLOOKUP(B45,Ingredientes!$A$4:$E$203,2,0),"?"))</f>
        <v/>
      </c>
      <c r="E45" s="9">
        <f>IF(B45="","",IFERROR(VLOOKUP(B45,Ingredientes!$A$4:$E$203,5,0)*C45,"ITEM NÃO CADASTRADO"))</f>
        <v/>
      </c>
      <c r="F45" s="21">
        <f>IF(A45="","",IFERROR(C45*VLOOKUP(A45,Semana!$A$5:$E$54,5,0),0))</f>
        <v/>
      </c>
    </row>
    <row r="46">
      <c r="A46" s="19" t="n"/>
      <c r="B46" s="19" t="n"/>
      <c r="C46" s="22" t="n"/>
      <c r="D46" s="12">
        <f>IF(B46="","",IFERROR(VLOOKUP(B46,Ingredientes!$A$4:$E$203,2,0),"?"))</f>
        <v/>
      </c>
      <c r="E46" s="9">
        <f>IF(B46="","",IFERROR(VLOOKUP(B46,Ingredientes!$A$4:$E$203,5,0)*C46,"ITEM NÃO CADASTRADO"))</f>
        <v/>
      </c>
      <c r="F46" s="21">
        <f>IF(A46="","",IFERROR(C46*VLOOKUP(A46,Semana!$A$5:$E$54,5,0),0))</f>
        <v/>
      </c>
    </row>
    <row r="47">
      <c r="A47" s="19" t="n"/>
      <c r="B47" s="19" t="n"/>
      <c r="C47" s="22" t="n"/>
      <c r="D47" s="12">
        <f>IF(B47="","",IFERROR(VLOOKUP(B47,Ingredientes!$A$4:$E$203,2,0),"?"))</f>
        <v/>
      </c>
      <c r="E47" s="9">
        <f>IF(B47="","",IFERROR(VLOOKUP(B47,Ingredientes!$A$4:$E$203,5,0)*C47,"ITEM NÃO CADASTRADO"))</f>
        <v/>
      </c>
      <c r="F47" s="21">
        <f>IF(A47="","",IFERROR(C47*VLOOKUP(A47,Semana!$A$5:$E$54,5,0),0))</f>
        <v/>
      </c>
    </row>
    <row r="48">
      <c r="A48" s="19" t="n"/>
      <c r="B48" s="19" t="n"/>
      <c r="C48" s="22" t="n"/>
      <c r="D48" s="12">
        <f>IF(B48="","",IFERROR(VLOOKUP(B48,Ingredientes!$A$4:$E$203,2,0),"?"))</f>
        <v/>
      </c>
      <c r="E48" s="9">
        <f>IF(B48="","",IFERROR(VLOOKUP(B48,Ingredientes!$A$4:$E$203,5,0)*C48,"ITEM NÃO CADASTRADO"))</f>
        <v/>
      </c>
      <c r="F48" s="21">
        <f>IF(A48="","",IFERROR(C48*VLOOKUP(A48,Semana!$A$5:$E$54,5,0),0))</f>
        <v/>
      </c>
    </row>
    <row r="49">
      <c r="A49" s="19" t="n"/>
      <c r="B49" s="19" t="n"/>
      <c r="C49" s="22" t="n"/>
      <c r="D49" s="12">
        <f>IF(B49="","",IFERROR(VLOOKUP(B49,Ingredientes!$A$4:$E$203,2,0),"?"))</f>
        <v/>
      </c>
      <c r="E49" s="9">
        <f>IF(B49="","",IFERROR(VLOOKUP(B49,Ingredientes!$A$4:$E$203,5,0)*C49,"ITEM NÃO CADASTRADO"))</f>
        <v/>
      </c>
      <c r="F49" s="21">
        <f>IF(A49="","",IFERROR(C49*VLOOKUP(A49,Semana!$A$5:$E$54,5,0),0))</f>
        <v/>
      </c>
    </row>
    <row r="50">
      <c r="A50" s="19" t="n"/>
      <c r="B50" s="19" t="n"/>
      <c r="C50" s="22" t="n"/>
      <c r="D50" s="12">
        <f>IF(B50="","",IFERROR(VLOOKUP(B50,Ingredientes!$A$4:$E$203,2,0),"?"))</f>
        <v/>
      </c>
      <c r="E50" s="9">
        <f>IF(B50="","",IFERROR(VLOOKUP(B50,Ingredientes!$A$4:$E$203,5,0)*C50,"ITEM NÃO CADASTRADO"))</f>
        <v/>
      </c>
      <c r="F50" s="21">
        <f>IF(A50="","",IFERROR(C50*VLOOKUP(A50,Semana!$A$5:$E$54,5,0),0))</f>
        <v/>
      </c>
    </row>
    <row r="51">
      <c r="A51" s="19" t="n"/>
      <c r="B51" s="19" t="n"/>
      <c r="C51" s="22" t="n"/>
      <c r="D51" s="12">
        <f>IF(B51="","",IFERROR(VLOOKUP(B51,Ingredientes!$A$4:$E$203,2,0),"?"))</f>
        <v/>
      </c>
      <c r="E51" s="9">
        <f>IF(B51="","",IFERROR(VLOOKUP(B51,Ingredientes!$A$4:$E$203,5,0)*C51,"ITEM NÃO CADASTRADO"))</f>
        <v/>
      </c>
      <c r="F51" s="21">
        <f>IF(A51="","",IFERROR(C51*VLOOKUP(A51,Semana!$A$5:$E$54,5,0),0))</f>
        <v/>
      </c>
    </row>
    <row r="52">
      <c r="A52" s="19" t="n"/>
      <c r="B52" s="19" t="n"/>
      <c r="C52" s="22" t="n"/>
      <c r="D52" s="12">
        <f>IF(B52="","",IFERROR(VLOOKUP(B52,Ingredientes!$A$4:$E$203,2,0),"?"))</f>
        <v/>
      </c>
      <c r="E52" s="9">
        <f>IF(B52="","",IFERROR(VLOOKUP(B52,Ingredientes!$A$4:$E$203,5,0)*C52,"ITEM NÃO CADASTRADO"))</f>
        <v/>
      </c>
      <c r="F52" s="21">
        <f>IF(A52="","",IFERROR(C52*VLOOKUP(A52,Semana!$A$5:$E$54,5,0),0))</f>
        <v/>
      </c>
    </row>
    <row r="53">
      <c r="A53" s="19" t="n"/>
      <c r="B53" s="19" t="n"/>
      <c r="C53" s="22" t="n"/>
      <c r="D53" s="12">
        <f>IF(B53="","",IFERROR(VLOOKUP(B53,Ingredientes!$A$4:$E$203,2,0),"?"))</f>
        <v/>
      </c>
      <c r="E53" s="9">
        <f>IF(B53="","",IFERROR(VLOOKUP(B53,Ingredientes!$A$4:$E$203,5,0)*C53,"ITEM NÃO CADASTRADO"))</f>
        <v/>
      </c>
      <c r="F53" s="21">
        <f>IF(A53="","",IFERROR(C53*VLOOKUP(A53,Semana!$A$5:$E$54,5,0),0))</f>
        <v/>
      </c>
    </row>
    <row r="54">
      <c r="A54" s="19" t="n"/>
      <c r="B54" s="19" t="n"/>
      <c r="C54" s="22" t="n"/>
      <c r="D54" s="12">
        <f>IF(B54="","",IFERROR(VLOOKUP(B54,Ingredientes!$A$4:$E$203,2,0),"?"))</f>
        <v/>
      </c>
      <c r="E54" s="9">
        <f>IF(B54="","",IFERROR(VLOOKUP(B54,Ingredientes!$A$4:$E$203,5,0)*C54,"ITEM NÃO CADASTRADO"))</f>
        <v/>
      </c>
      <c r="F54" s="21">
        <f>IF(A54="","",IFERROR(C54*VLOOKUP(A54,Semana!$A$5:$E$54,5,0),0))</f>
        <v/>
      </c>
    </row>
    <row r="55">
      <c r="A55" s="19" t="n"/>
      <c r="B55" s="19" t="n"/>
      <c r="C55" s="22" t="n"/>
      <c r="D55" s="12">
        <f>IF(B55="","",IFERROR(VLOOKUP(B55,Ingredientes!$A$4:$E$203,2,0),"?"))</f>
        <v/>
      </c>
      <c r="E55" s="9">
        <f>IF(B55="","",IFERROR(VLOOKUP(B55,Ingredientes!$A$4:$E$203,5,0)*C55,"ITEM NÃO CADASTRADO"))</f>
        <v/>
      </c>
      <c r="F55" s="21">
        <f>IF(A55="","",IFERROR(C55*VLOOKUP(A55,Semana!$A$5:$E$54,5,0),0))</f>
        <v/>
      </c>
    </row>
    <row r="56">
      <c r="A56" s="19" t="n"/>
      <c r="B56" s="19" t="n"/>
      <c r="C56" s="22" t="n"/>
      <c r="D56" s="12">
        <f>IF(B56="","",IFERROR(VLOOKUP(B56,Ingredientes!$A$4:$E$203,2,0),"?"))</f>
        <v/>
      </c>
      <c r="E56" s="9">
        <f>IF(B56="","",IFERROR(VLOOKUP(B56,Ingredientes!$A$4:$E$203,5,0)*C56,"ITEM NÃO CADASTRADO"))</f>
        <v/>
      </c>
      <c r="F56" s="21">
        <f>IF(A56="","",IFERROR(C56*VLOOKUP(A56,Semana!$A$5:$E$54,5,0),0))</f>
        <v/>
      </c>
    </row>
    <row r="57">
      <c r="A57" s="19" t="n"/>
      <c r="B57" s="19" t="n"/>
      <c r="C57" s="22" t="n"/>
      <c r="D57" s="12">
        <f>IF(B57="","",IFERROR(VLOOKUP(B57,Ingredientes!$A$4:$E$203,2,0),"?"))</f>
        <v/>
      </c>
      <c r="E57" s="9">
        <f>IF(B57="","",IFERROR(VLOOKUP(B57,Ingredientes!$A$4:$E$203,5,0)*C57,"ITEM NÃO CADASTRADO"))</f>
        <v/>
      </c>
      <c r="F57" s="21">
        <f>IF(A57="","",IFERROR(C57*VLOOKUP(A57,Semana!$A$5:$E$54,5,0),0))</f>
        <v/>
      </c>
    </row>
    <row r="58">
      <c r="A58" s="19" t="n"/>
      <c r="B58" s="19" t="n"/>
      <c r="C58" s="22" t="n"/>
      <c r="D58" s="12">
        <f>IF(B58="","",IFERROR(VLOOKUP(B58,Ingredientes!$A$4:$E$203,2,0),"?"))</f>
        <v/>
      </c>
      <c r="E58" s="9">
        <f>IF(B58="","",IFERROR(VLOOKUP(B58,Ingredientes!$A$4:$E$203,5,0)*C58,"ITEM NÃO CADASTRADO"))</f>
        <v/>
      </c>
      <c r="F58" s="21">
        <f>IF(A58="","",IFERROR(C58*VLOOKUP(A58,Semana!$A$5:$E$54,5,0),0))</f>
        <v/>
      </c>
    </row>
    <row r="59">
      <c r="A59" s="19" t="n"/>
      <c r="B59" s="19" t="n"/>
      <c r="C59" s="22" t="n"/>
      <c r="D59" s="12">
        <f>IF(B59="","",IFERROR(VLOOKUP(B59,Ingredientes!$A$4:$E$203,2,0),"?"))</f>
        <v/>
      </c>
      <c r="E59" s="9">
        <f>IF(B59="","",IFERROR(VLOOKUP(B59,Ingredientes!$A$4:$E$203,5,0)*C59,"ITEM NÃO CADASTRADO"))</f>
        <v/>
      </c>
      <c r="F59" s="21">
        <f>IF(A59="","",IFERROR(C59*VLOOKUP(A59,Semana!$A$5:$E$54,5,0),0))</f>
        <v/>
      </c>
    </row>
    <row r="60">
      <c r="A60" s="19" t="n"/>
      <c r="B60" s="19" t="n"/>
      <c r="C60" s="22" t="n"/>
      <c r="D60" s="12">
        <f>IF(B60="","",IFERROR(VLOOKUP(B60,Ingredientes!$A$4:$E$203,2,0),"?"))</f>
        <v/>
      </c>
      <c r="E60" s="9">
        <f>IF(B60="","",IFERROR(VLOOKUP(B60,Ingredientes!$A$4:$E$203,5,0)*C60,"ITEM NÃO CADASTRADO"))</f>
        <v/>
      </c>
      <c r="F60" s="21">
        <f>IF(A60="","",IFERROR(C60*VLOOKUP(A60,Semana!$A$5:$E$54,5,0),0))</f>
        <v/>
      </c>
    </row>
    <row r="61">
      <c r="A61" s="19" t="n"/>
      <c r="B61" s="19" t="n"/>
      <c r="C61" s="22" t="n"/>
      <c r="D61" s="12">
        <f>IF(B61="","",IFERROR(VLOOKUP(B61,Ingredientes!$A$4:$E$203,2,0),"?"))</f>
        <v/>
      </c>
      <c r="E61" s="9">
        <f>IF(B61="","",IFERROR(VLOOKUP(B61,Ingredientes!$A$4:$E$203,5,0)*C61,"ITEM NÃO CADASTRADO"))</f>
        <v/>
      </c>
      <c r="F61" s="21">
        <f>IF(A61="","",IFERROR(C61*VLOOKUP(A61,Semana!$A$5:$E$54,5,0),0))</f>
        <v/>
      </c>
    </row>
    <row r="62">
      <c r="A62" s="19" t="n"/>
      <c r="B62" s="19" t="n"/>
      <c r="C62" s="22" t="n"/>
      <c r="D62" s="12">
        <f>IF(B62="","",IFERROR(VLOOKUP(B62,Ingredientes!$A$4:$E$203,2,0),"?"))</f>
        <v/>
      </c>
      <c r="E62" s="9">
        <f>IF(B62="","",IFERROR(VLOOKUP(B62,Ingredientes!$A$4:$E$203,5,0)*C62,"ITEM NÃO CADASTRADO"))</f>
        <v/>
      </c>
      <c r="F62" s="21">
        <f>IF(A62="","",IFERROR(C62*VLOOKUP(A62,Semana!$A$5:$E$54,5,0),0))</f>
        <v/>
      </c>
    </row>
    <row r="63">
      <c r="A63" s="19" t="n"/>
      <c r="B63" s="19" t="n"/>
      <c r="C63" s="22" t="n"/>
      <c r="D63" s="12">
        <f>IF(B63="","",IFERROR(VLOOKUP(B63,Ingredientes!$A$4:$E$203,2,0),"?"))</f>
        <v/>
      </c>
      <c r="E63" s="9">
        <f>IF(B63="","",IFERROR(VLOOKUP(B63,Ingredientes!$A$4:$E$203,5,0)*C63,"ITEM NÃO CADASTRADO"))</f>
        <v/>
      </c>
      <c r="F63" s="21">
        <f>IF(A63="","",IFERROR(C63*VLOOKUP(A63,Semana!$A$5:$E$54,5,0),0))</f>
        <v/>
      </c>
    </row>
    <row r="64">
      <c r="A64" s="19" t="n"/>
      <c r="B64" s="19" t="n"/>
      <c r="C64" s="22" t="n"/>
      <c r="D64" s="12">
        <f>IF(B64="","",IFERROR(VLOOKUP(B64,Ingredientes!$A$4:$E$203,2,0),"?"))</f>
        <v/>
      </c>
      <c r="E64" s="9">
        <f>IF(B64="","",IFERROR(VLOOKUP(B64,Ingredientes!$A$4:$E$203,5,0)*C64,"ITEM NÃO CADASTRADO"))</f>
        <v/>
      </c>
      <c r="F64" s="21">
        <f>IF(A64="","",IFERROR(C64*VLOOKUP(A64,Semana!$A$5:$E$54,5,0),0))</f>
        <v/>
      </c>
    </row>
    <row r="65">
      <c r="A65" s="19" t="n"/>
      <c r="B65" s="19" t="n"/>
      <c r="C65" s="22" t="n"/>
      <c r="D65" s="12">
        <f>IF(B65="","",IFERROR(VLOOKUP(B65,Ingredientes!$A$4:$E$203,2,0),"?"))</f>
        <v/>
      </c>
      <c r="E65" s="9">
        <f>IF(B65="","",IFERROR(VLOOKUP(B65,Ingredientes!$A$4:$E$203,5,0)*C65,"ITEM NÃO CADASTRADO"))</f>
        <v/>
      </c>
      <c r="F65" s="21">
        <f>IF(A65="","",IFERROR(C65*VLOOKUP(A65,Semana!$A$5:$E$54,5,0),0))</f>
        <v/>
      </c>
    </row>
    <row r="66">
      <c r="A66" s="19" t="n"/>
      <c r="B66" s="19" t="n"/>
      <c r="C66" s="22" t="n"/>
      <c r="D66" s="12">
        <f>IF(B66="","",IFERROR(VLOOKUP(B66,Ingredientes!$A$4:$E$203,2,0),"?"))</f>
        <v/>
      </c>
      <c r="E66" s="9">
        <f>IF(B66="","",IFERROR(VLOOKUP(B66,Ingredientes!$A$4:$E$203,5,0)*C66,"ITEM NÃO CADASTRADO"))</f>
        <v/>
      </c>
      <c r="F66" s="21">
        <f>IF(A66="","",IFERROR(C66*VLOOKUP(A66,Semana!$A$5:$E$54,5,0),0))</f>
        <v/>
      </c>
    </row>
    <row r="67">
      <c r="A67" s="19" t="n"/>
      <c r="B67" s="19" t="n"/>
      <c r="C67" s="22" t="n"/>
      <c r="D67" s="12">
        <f>IF(B67="","",IFERROR(VLOOKUP(B67,Ingredientes!$A$4:$E$203,2,0),"?"))</f>
        <v/>
      </c>
      <c r="E67" s="9">
        <f>IF(B67="","",IFERROR(VLOOKUP(B67,Ingredientes!$A$4:$E$203,5,0)*C67,"ITEM NÃO CADASTRADO"))</f>
        <v/>
      </c>
      <c r="F67" s="21">
        <f>IF(A67="","",IFERROR(C67*VLOOKUP(A67,Semana!$A$5:$E$54,5,0),0))</f>
        <v/>
      </c>
    </row>
    <row r="68">
      <c r="A68" s="19" t="n"/>
      <c r="B68" s="19" t="n"/>
      <c r="C68" s="22" t="n"/>
      <c r="D68" s="12">
        <f>IF(B68="","",IFERROR(VLOOKUP(B68,Ingredientes!$A$4:$E$203,2,0),"?"))</f>
        <v/>
      </c>
      <c r="E68" s="9">
        <f>IF(B68="","",IFERROR(VLOOKUP(B68,Ingredientes!$A$4:$E$203,5,0)*C68,"ITEM NÃO CADASTRADO"))</f>
        <v/>
      </c>
      <c r="F68" s="21">
        <f>IF(A68="","",IFERROR(C68*VLOOKUP(A68,Semana!$A$5:$E$54,5,0),0))</f>
        <v/>
      </c>
    </row>
    <row r="69">
      <c r="A69" s="19" t="n"/>
      <c r="B69" s="19" t="n"/>
      <c r="C69" s="22" t="n"/>
      <c r="D69" s="12">
        <f>IF(B69="","",IFERROR(VLOOKUP(B69,Ingredientes!$A$4:$E$203,2,0),"?"))</f>
        <v/>
      </c>
      <c r="E69" s="9">
        <f>IF(B69="","",IFERROR(VLOOKUP(B69,Ingredientes!$A$4:$E$203,5,0)*C69,"ITEM NÃO CADASTRADO"))</f>
        <v/>
      </c>
      <c r="F69" s="21">
        <f>IF(A69="","",IFERROR(C69*VLOOKUP(A69,Semana!$A$5:$E$54,5,0),0))</f>
        <v/>
      </c>
    </row>
    <row r="70">
      <c r="A70" s="19" t="n"/>
      <c r="B70" s="19" t="n"/>
      <c r="C70" s="22" t="n"/>
      <c r="D70" s="12">
        <f>IF(B70="","",IFERROR(VLOOKUP(B70,Ingredientes!$A$4:$E$203,2,0),"?"))</f>
        <v/>
      </c>
      <c r="E70" s="9">
        <f>IF(B70="","",IFERROR(VLOOKUP(B70,Ingredientes!$A$4:$E$203,5,0)*C70,"ITEM NÃO CADASTRADO"))</f>
        <v/>
      </c>
      <c r="F70" s="21">
        <f>IF(A70="","",IFERROR(C70*VLOOKUP(A70,Semana!$A$5:$E$54,5,0),0))</f>
        <v/>
      </c>
    </row>
    <row r="71">
      <c r="A71" s="19" t="n"/>
      <c r="B71" s="19" t="n"/>
      <c r="C71" s="22" t="n"/>
      <c r="D71" s="12">
        <f>IF(B71="","",IFERROR(VLOOKUP(B71,Ingredientes!$A$4:$E$203,2,0),"?"))</f>
        <v/>
      </c>
      <c r="E71" s="9">
        <f>IF(B71="","",IFERROR(VLOOKUP(B71,Ingredientes!$A$4:$E$203,5,0)*C71,"ITEM NÃO CADASTRADO"))</f>
        <v/>
      </c>
      <c r="F71" s="21">
        <f>IF(A71="","",IFERROR(C71*VLOOKUP(A71,Semana!$A$5:$E$54,5,0),0))</f>
        <v/>
      </c>
    </row>
    <row r="72">
      <c r="A72" s="19" t="n"/>
      <c r="B72" s="19" t="n"/>
      <c r="C72" s="22" t="n"/>
      <c r="D72" s="12">
        <f>IF(B72="","",IFERROR(VLOOKUP(B72,Ingredientes!$A$4:$E$203,2,0),"?"))</f>
        <v/>
      </c>
      <c r="E72" s="9">
        <f>IF(B72="","",IFERROR(VLOOKUP(B72,Ingredientes!$A$4:$E$203,5,0)*C72,"ITEM NÃO CADASTRADO"))</f>
        <v/>
      </c>
      <c r="F72" s="21">
        <f>IF(A72="","",IFERROR(C72*VLOOKUP(A72,Semana!$A$5:$E$54,5,0),0))</f>
        <v/>
      </c>
    </row>
    <row r="73">
      <c r="A73" s="19" t="n"/>
      <c r="B73" s="19" t="n"/>
      <c r="C73" s="22" t="n"/>
      <c r="D73" s="12">
        <f>IF(B73="","",IFERROR(VLOOKUP(B73,Ingredientes!$A$4:$E$203,2,0),"?"))</f>
        <v/>
      </c>
      <c r="E73" s="9">
        <f>IF(B73="","",IFERROR(VLOOKUP(B73,Ingredientes!$A$4:$E$203,5,0)*C73,"ITEM NÃO CADASTRADO"))</f>
        <v/>
      </c>
      <c r="F73" s="21">
        <f>IF(A73="","",IFERROR(C73*VLOOKUP(A73,Semana!$A$5:$E$54,5,0),0))</f>
        <v/>
      </c>
    </row>
    <row r="74">
      <c r="A74" s="19" t="n"/>
      <c r="B74" s="19" t="n"/>
      <c r="C74" s="22" t="n"/>
      <c r="D74" s="12">
        <f>IF(B74="","",IFERROR(VLOOKUP(B74,Ingredientes!$A$4:$E$203,2,0),"?"))</f>
        <v/>
      </c>
      <c r="E74" s="9">
        <f>IF(B74="","",IFERROR(VLOOKUP(B74,Ingredientes!$A$4:$E$203,5,0)*C74,"ITEM NÃO CADASTRADO"))</f>
        <v/>
      </c>
      <c r="F74" s="21">
        <f>IF(A74="","",IFERROR(C74*VLOOKUP(A74,Semana!$A$5:$E$54,5,0),0))</f>
        <v/>
      </c>
    </row>
    <row r="75">
      <c r="A75" s="19" t="n"/>
      <c r="B75" s="19" t="n"/>
      <c r="C75" s="22" t="n"/>
      <c r="D75" s="12">
        <f>IF(B75="","",IFERROR(VLOOKUP(B75,Ingredientes!$A$4:$E$203,2,0),"?"))</f>
        <v/>
      </c>
      <c r="E75" s="9">
        <f>IF(B75="","",IFERROR(VLOOKUP(B75,Ingredientes!$A$4:$E$203,5,0)*C75,"ITEM NÃO CADASTRADO"))</f>
        <v/>
      </c>
      <c r="F75" s="21">
        <f>IF(A75="","",IFERROR(C75*VLOOKUP(A75,Semana!$A$5:$E$54,5,0),0))</f>
        <v/>
      </c>
    </row>
    <row r="76">
      <c r="A76" s="19" t="n"/>
      <c r="B76" s="19" t="n"/>
      <c r="C76" s="22" t="n"/>
      <c r="D76" s="12">
        <f>IF(B76="","",IFERROR(VLOOKUP(B76,Ingredientes!$A$4:$E$203,2,0),"?"))</f>
        <v/>
      </c>
      <c r="E76" s="9">
        <f>IF(B76="","",IFERROR(VLOOKUP(B76,Ingredientes!$A$4:$E$203,5,0)*C76,"ITEM NÃO CADASTRADO"))</f>
        <v/>
      </c>
      <c r="F76" s="21">
        <f>IF(A76="","",IFERROR(C76*VLOOKUP(A76,Semana!$A$5:$E$54,5,0),0))</f>
        <v/>
      </c>
    </row>
    <row r="77">
      <c r="A77" s="19" t="n"/>
      <c r="B77" s="19" t="n"/>
      <c r="C77" s="22" t="n"/>
      <c r="D77" s="12">
        <f>IF(B77="","",IFERROR(VLOOKUP(B77,Ingredientes!$A$4:$E$203,2,0),"?"))</f>
        <v/>
      </c>
      <c r="E77" s="9">
        <f>IF(B77="","",IFERROR(VLOOKUP(B77,Ingredientes!$A$4:$E$203,5,0)*C77,"ITEM NÃO CADASTRADO"))</f>
        <v/>
      </c>
      <c r="F77" s="21">
        <f>IF(A77="","",IFERROR(C77*VLOOKUP(A77,Semana!$A$5:$E$54,5,0),0))</f>
        <v/>
      </c>
    </row>
    <row r="78">
      <c r="A78" s="19" t="n"/>
      <c r="B78" s="19" t="n"/>
      <c r="C78" s="22" t="n"/>
      <c r="D78" s="12">
        <f>IF(B78="","",IFERROR(VLOOKUP(B78,Ingredientes!$A$4:$E$203,2,0),"?"))</f>
        <v/>
      </c>
      <c r="E78" s="9">
        <f>IF(B78="","",IFERROR(VLOOKUP(B78,Ingredientes!$A$4:$E$203,5,0)*C78,"ITEM NÃO CADASTRADO"))</f>
        <v/>
      </c>
      <c r="F78" s="21">
        <f>IF(A78="","",IFERROR(C78*VLOOKUP(A78,Semana!$A$5:$E$54,5,0),0))</f>
        <v/>
      </c>
    </row>
    <row r="79">
      <c r="A79" s="19" t="n"/>
      <c r="B79" s="19" t="n"/>
      <c r="C79" s="22" t="n"/>
      <c r="D79" s="12">
        <f>IF(B79="","",IFERROR(VLOOKUP(B79,Ingredientes!$A$4:$E$203,2,0),"?"))</f>
        <v/>
      </c>
      <c r="E79" s="9">
        <f>IF(B79="","",IFERROR(VLOOKUP(B79,Ingredientes!$A$4:$E$203,5,0)*C79,"ITEM NÃO CADASTRADO"))</f>
        <v/>
      </c>
      <c r="F79" s="21">
        <f>IF(A79="","",IFERROR(C79*VLOOKUP(A79,Semana!$A$5:$E$54,5,0),0))</f>
        <v/>
      </c>
    </row>
    <row r="80">
      <c r="A80" s="19" t="n"/>
      <c r="B80" s="19" t="n"/>
      <c r="C80" s="22" t="n"/>
      <c r="D80" s="12">
        <f>IF(B80="","",IFERROR(VLOOKUP(B80,Ingredientes!$A$4:$E$203,2,0),"?"))</f>
        <v/>
      </c>
      <c r="E80" s="9">
        <f>IF(B80="","",IFERROR(VLOOKUP(B80,Ingredientes!$A$4:$E$203,5,0)*C80,"ITEM NÃO CADASTRADO"))</f>
        <v/>
      </c>
      <c r="F80" s="21">
        <f>IF(A80="","",IFERROR(C80*VLOOKUP(A80,Semana!$A$5:$E$54,5,0),0))</f>
        <v/>
      </c>
    </row>
    <row r="81">
      <c r="A81" s="19" t="n"/>
      <c r="B81" s="19" t="n"/>
      <c r="C81" s="22" t="n"/>
      <c r="D81" s="12">
        <f>IF(B81="","",IFERROR(VLOOKUP(B81,Ingredientes!$A$4:$E$203,2,0),"?"))</f>
        <v/>
      </c>
      <c r="E81" s="9">
        <f>IF(B81="","",IFERROR(VLOOKUP(B81,Ingredientes!$A$4:$E$203,5,0)*C81,"ITEM NÃO CADASTRADO"))</f>
        <v/>
      </c>
      <c r="F81" s="21">
        <f>IF(A81="","",IFERROR(C81*VLOOKUP(A81,Semana!$A$5:$E$54,5,0),0))</f>
        <v/>
      </c>
    </row>
    <row r="82">
      <c r="A82" s="19" t="n"/>
      <c r="B82" s="19" t="n"/>
      <c r="C82" s="22" t="n"/>
      <c r="D82" s="12">
        <f>IF(B82="","",IFERROR(VLOOKUP(B82,Ingredientes!$A$4:$E$203,2,0),"?"))</f>
        <v/>
      </c>
      <c r="E82" s="9">
        <f>IF(B82="","",IFERROR(VLOOKUP(B82,Ingredientes!$A$4:$E$203,5,0)*C82,"ITEM NÃO CADASTRADO"))</f>
        <v/>
      </c>
      <c r="F82" s="21">
        <f>IF(A82="","",IFERROR(C82*VLOOKUP(A82,Semana!$A$5:$E$54,5,0),0))</f>
        <v/>
      </c>
    </row>
    <row r="83">
      <c r="A83" s="19" t="n"/>
      <c r="B83" s="19" t="n"/>
      <c r="C83" s="22" t="n"/>
      <c r="D83" s="12">
        <f>IF(B83="","",IFERROR(VLOOKUP(B83,Ingredientes!$A$4:$E$203,2,0),"?"))</f>
        <v/>
      </c>
      <c r="E83" s="9">
        <f>IF(B83="","",IFERROR(VLOOKUP(B83,Ingredientes!$A$4:$E$203,5,0)*C83,"ITEM NÃO CADASTRADO"))</f>
        <v/>
      </c>
      <c r="F83" s="21">
        <f>IF(A83="","",IFERROR(C83*VLOOKUP(A83,Semana!$A$5:$E$54,5,0),0))</f>
        <v/>
      </c>
    </row>
    <row r="84">
      <c r="A84" s="19" t="n"/>
      <c r="B84" s="19" t="n"/>
      <c r="C84" s="22" t="n"/>
      <c r="D84" s="12">
        <f>IF(B84="","",IFERROR(VLOOKUP(B84,Ingredientes!$A$4:$E$203,2,0),"?"))</f>
        <v/>
      </c>
      <c r="E84" s="9">
        <f>IF(B84="","",IFERROR(VLOOKUP(B84,Ingredientes!$A$4:$E$203,5,0)*C84,"ITEM NÃO CADASTRADO"))</f>
        <v/>
      </c>
      <c r="F84" s="21">
        <f>IF(A84="","",IFERROR(C84*VLOOKUP(A84,Semana!$A$5:$E$54,5,0),0))</f>
        <v/>
      </c>
    </row>
    <row r="85">
      <c r="A85" s="19" t="n"/>
      <c r="B85" s="19" t="n"/>
      <c r="C85" s="22" t="n"/>
      <c r="D85" s="12">
        <f>IF(B85="","",IFERROR(VLOOKUP(B85,Ingredientes!$A$4:$E$203,2,0),"?"))</f>
        <v/>
      </c>
      <c r="E85" s="9">
        <f>IF(B85="","",IFERROR(VLOOKUP(B85,Ingredientes!$A$4:$E$203,5,0)*C85,"ITEM NÃO CADASTRADO"))</f>
        <v/>
      </c>
      <c r="F85" s="21">
        <f>IF(A85="","",IFERROR(C85*VLOOKUP(A85,Semana!$A$5:$E$54,5,0),0))</f>
        <v/>
      </c>
    </row>
    <row r="86">
      <c r="A86" s="19" t="n"/>
      <c r="B86" s="19" t="n"/>
      <c r="C86" s="22" t="n"/>
      <c r="D86" s="12">
        <f>IF(B86="","",IFERROR(VLOOKUP(B86,Ingredientes!$A$4:$E$203,2,0),"?"))</f>
        <v/>
      </c>
      <c r="E86" s="9">
        <f>IF(B86="","",IFERROR(VLOOKUP(B86,Ingredientes!$A$4:$E$203,5,0)*C86,"ITEM NÃO CADASTRADO"))</f>
        <v/>
      </c>
      <c r="F86" s="21">
        <f>IF(A86="","",IFERROR(C86*VLOOKUP(A86,Semana!$A$5:$E$54,5,0),0))</f>
        <v/>
      </c>
    </row>
    <row r="87">
      <c r="A87" s="19" t="n"/>
      <c r="B87" s="19" t="n"/>
      <c r="C87" s="22" t="n"/>
      <c r="D87" s="12">
        <f>IF(B87="","",IFERROR(VLOOKUP(B87,Ingredientes!$A$4:$E$203,2,0),"?"))</f>
        <v/>
      </c>
      <c r="E87" s="9">
        <f>IF(B87="","",IFERROR(VLOOKUP(B87,Ingredientes!$A$4:$E$203,5,0)*C87,"ITEM NÃO CADASTRADO"))</f>
        <v/>
      </c>
      <c r="F87" s="21">
        <f>IF(A87="","",IFERROR(C87*VLOOKUP(A87,Semana!$A$5:$E$54,5,0),0))</f>
        <v/>
      </c>
    </row>
    <row r="88">
      <c r="A88" s="19" t="n"/>
      <c r="B88" s="19" t="n"/>
      <c r="C88" s="22" t="n"/>
      <c r="D88" s="12">
        <f>IF(B88="","",IFERROR(VLOOKUP(B88,Ingredientes!$A$4:$E$203,2,0),"?"))</f>
        <v/>
      </c>
      <c r="E88" s="9">
        <f>IF(B88="","",IFERROR(VLOOKUP(B88,Ingredientes!$A$4:$E$203,5,0)*C88,"ITEM NÃO CADASTRADO"))</f>
        <v/>
      </c>
      <c r="F88" s="21">
        <f>IF(A88="","",IFERROR(C88*VLOOKUP(A88,Semana!$A$5:$E$54,5,0),0))</f>
        <v/>
      </c>
    </row>
    <row r="89">
      <c r="A89" s="19" t="n"/>
      <c r="B89" s="19" t="n"/>
      <c r="C89" s="22" t="n"/>
      <c r="D89" s="12">
        <f>IF(B89="","",IFERROR(VLOOKUP(B89,Ingredientes!$A$4:$E$203,2,0),"?"))</f>
        <v/>
      </c>
      <c r="E89" s="9">
        <f>IF(B89="","",IFERROR(VLOOKUP(B89,Ingredientes!$A$4:$E$203,5,0)*C89,"ITEM NÃO CADASTRADO"))</f>
        <v/>
      </c>
      <c r="F89" s="21">
        <f>IF(A89="","",IFERROR(C89*VLOOKUP(A89,Semana!$A$5:$E$54,5,0),0))</f>
        <v/>
      </c>
    </row>
    <row r="90">
      <c r="A90" s="19" t="n"/>
      <c r="B90" s="19" t="n"/>
      <c r="C90" s="22" t="n"/>
      <c r="D90" s="12">
        <f>IF(B90="","",IFERROR(VLOOKUP(B90,Ingredientes!$A$4:$E$203,2,0),"?"))</f>
        <v/>
      </c>
      <c r="E90" s="9">
        <f>IF(B90="","",IFERROR(VLOOKUP(B90,Ingredientes!$A$4:$E$203,5,0)*C90,"ITEM NÃO CADASTRADO"))</f>
        <v/>
      </c>
      <c r="F90" s="21">
        <f>IF(A90="","",IFERROR(C90*VLOOKUP(A90,Semana!$A$5:$E$54,5,0),0))</f>
        <v/>
      </c>
    </row>
    <row r="91">
      <c r="A91" s="19" t="n"/>
      <c r="B91" s="19" t="n"/>
      <c r="C91" s="22" t="n"/>
      <c r="D91" s="12">
        <f>IF(B91="","",IFERROR(VLOOKUP(B91,Ingredientes!$A$4:$E$203,2,0),"?"))</f>
        <v/>
      </c>
      <c r="E91" s="9">
        <f>IF(B91="","",IFERROR(VLOOKUP(B91,Ingredientes!$A$4:$E$203,5,0)*C91,"ITEM NÃO CADASTRADO"))</f>
        <v/>
      </c>
      <c r="F91" s="21">
        <f>IF(A91="","",IFERROR(C91*VLOOKUP(A91,Semana!$A$5:$E$54,5,0),0))</f>
        <v/>
      </c>
    </row>
    <row r="92">
      <c r="A92" s="19" t="n"/>
      <c r="B92" s="19" t="n"/>
      <c r="C92" s="22" t="n"/>
      <c r="D92" s="12">
        <f>IF(B92="","",IFERROR(VLOOKUP(B92,Ingredientes!$A$4:$E$203,2,0),"?"))</f>
        <v/>
      </c>
      <c r="E92" s="9">
        <f>IF(B92="","",IFERROR(VLOOKUP(B92,Ingredientes!$A$4:$E$203,5,0)*C92,"ITEM NÃO CADASTRADO"))</f>
        <v/>
      </c>
      <c r="F92" s="21">
        <f>IF(A92="","",IFERROR(C92*VLOOKUP(A92,Semana!$A$5:$E$54,5,0),0))</f>
        <v/>
      </c>
    </row>
    <row r="93">
      <c r="A93" s="19" t="n"/>
      <c r="B93" s="19" t="n"/>
      <c r="C93" s="22" t="n"/>
      <c r="D93" s="12">
        <f>IF(B93="","",IFERROR(VLOOKUP(B93,Ingredientes!$A$4:$E$203,2,0),"?"))</f>
        <v/>
      </c>
      <c r="E93" s="9">
        <f>IF(B93="","",IFERROR(VLOOKUP(B93,Ingredientes!$A$4:$E$203,5,0)*C93,"ITEM NÃO CADASTRADO"))</f>
        <v/>
      </c>
      <c r="F93" s="21">
        <f>IF(A93="","",IFERROR(C93*VLOOKUP(A93,Semana!$A$5:$E$54,5,0),0))</f>
        <v/>
      </c>
    </row>
    <row r="94">
      <c r="A94" s="19" t="n"/>
      <c r="B94" s="19" t="n"/>
      <c r="C94" s="22" t="n"/>
      <c r="D94" s="12">
        <f>IF(B94="","",IFERROR(VLOOKUP(B94,Ingredientes!$A$4:$E$203,2,0),"?"))</f>
        <v/>
      </c>
      <c r="E94" s="9">
        <f>IF(B94="","",IFERROR(VLOOKUP(B94,Ingredientes!$A$4:$E$203,5,0)*C94,"ITEM NÃO CADASTRADO"))</f>
        <v/>
      </c>
      <c r="F94" s="21">
        <f>IF(A94="","",IFERROR(C94*VLOOKUP(A94,Semana!$A$5:$E$54,5,0),0))</f>
        <v/>
      </c>
    </row>
    <row r="95">
      <c r="A95" s="19" t="n"/>
      <c r="B95" s="19" t="n"/>
      <c r="C95" s="22" t="n"/>
      <c r="D95" s="12">
        <f>IF(B95="","",IFERROR(VLOOKUP(B95,Ingredientes!$A$4:$E$203,2,0),"?"))</f>
        <v/>
      </c>
      <c r="E95" s="9">
        <f>IF(B95="","",IFERROR(VLOOKUP(B95,Ingredientes!$A$4:$E$203,5,0)*C95,"ITEM NÃO CADASTRADO"))</f>
        <v/>
      </c>
      <c r="F95" s="21">
        <f>IF(A95="","",IFERROR(C95*VLOOKUP(A95,Semana!$A$5:$E$54,5,0),0))</f>
        <v/>
      </c>
    </row>
    <row r="96">
      <c r="A96" s="19" t="n"/>
      <c r="B96" s="19" t="n"/>
      <c r="C96" s="22" t="n"/>
      <c r="D96" s="12">
        <f>IF(B96="","",IFERROR(VLOOKUP(B96,Ingredientes!$A$4:$E$203,2,0),"?"))</f>
        <v/>
      </c>
      <c r="E96" s="9">
        <f>IF(B96="","",IFERROR(VLOOKUP(B96,Ingredientes!$A$4:$E$203,5,0)*C96,"ITEM NÃO CADASTRADO"))</f>
        <v/>
      </c>
      <c r="F96" s="21">
        <f>IF(A96="","",IFERROR(C96*VLOOKUP(A96,Semana!$A$5:$E$54,5,0),0))</f>
        <v/>
      </c>
    </row>
    <row r="97">
      <c r="A97" s="19" t="n"/>
      <c r="B97" s="19" t="n"/>
      <c r="C97" s="22" t="n"/>
      <c r="D97" s="12">
        <f>IF(B97="","",IFERROR(VLOOKUP(B97,Ingredientes!$A$4:$E$203,2,0),"?"))</f>
        <v/>
      </c>
      <c r="E97" s="9">
        <f>IF(B97="","",IFERROR(VLOOKUP(B97,Ingredientes!$A$4:$E$203,5,0)*C97,"ITEM NÃO CADASTRADO"))</f>
        <v/>
      </c>
      <c r="F97" s="21">
        <f>IF(A97="","",IFERROR(C97*VLOOKUP(A97,Semana!$A$5:$E$54,5,0),0))</f>
        <v/>
      </c>
    </row>
    <row r="98">
      <c r="A98" s="19" t="n"/>
      <c r="B98" s="19" t="n"/>
      <c r="C98" s="22" t="n"/>
      <c r="D98" s="12">
        <f>IF(B98="","",IFERROR(VLOOKUP(B98,Ingredientes!$A$4:$E$203,2,0),"?"))</f>
        <v/>
      </c>
      <c r="E98" s="9">
        <f>IF(B98="","",IFERROR(VLOOKUP(B98,Ingredientes!$A$4:$E$203,5,0)*C98,"ITEM NÃO CADASTRADO"))</f>
        <v/>
      </c>
      <c r="F98" s="21">
        <f>IF(A98="","",IFERROR(C98*VLOOKUP(A98,Semana!$A$5:$E$54,5,0),0))</f>
        <v/>
      </c>
    </row>
    <row r="99">
      <c r="A99" s="19" t="n"/>
      <c r="B99" s="19" t="n"/>
      <c r="C99" s="22" t="n"/>
      <c r="D99" s="12">
        <f>IF(B99="","",IFERROR(VLOOKUP(B99,Ingredientes!$A$4:$E$203,2,0),"?"))</f>
        <v/>
      </c>
      <c r="E99" s="9">
        <f>IF(B99="","",IFERROR(VLOOKUP(B99,Ingredientes!$A$4:$E$203,5,0)*C99,"ITEM NÃO CADASTRADO"))</f>
        <v/>
      </c>
      <c r="F99" s="21">
        <f>IF(A99="","",IFERROR(C99*VLOOKUP(A99,Semana!$A$5:$E$54,5,0),0))</f>
        <v/>
      </c>
    </row>
    <row r="100">
      <c r="A100" s="19" t="n"/>
      <c r="B100" s="19" t="n"/>
      <c r="C100" s="22" t="n"/>
      <c r="D100" s="12">
        <f>IF(B100="","",IFERROR(VLOOKUP(B100,Ingredientes!$A$4:$E$203,2,0),"?"))</f>
        <v/>
      </c>
      <c r="E100" s="9">
        <f>IF(B100="","",IFERROR(VLOOKUP(B100,Ingredientes!$A$4:$E$203,5,0)*C100,"ITEM NÃO CADASTRADO"))</f>
        <v/>
      </c>
      <c r="F100" s="21">
        <f>IF(A100="","",IFERROR(C100*VLOOKUP(A100,Semana!$A$5:$E$54,5,0),0))</f>
        <v/>
      </c>
    </row>
    <row r="101">
      <c r="A101" s="19" t="n"/>
      <c r="B101" s="19" t="n"/>
      <c r="C101" s="22" t="n"/>
      <c r="D101" s="12">
        <f>IF(B101="","",IFERROR(VLOOKUP(B101,Ingredientes!$A$4:$E$203,2,0),"?"))</f>
        <v/>
      </c>
      <c r="E101" s="9">
        <f>IF(B101="","",IFERROR(VLOOKUP(B101,Ingredientes!$A$4:$E$203,5,0)*C101,"ITEM NÃO CADASTRADO"))</f>
        <v/>
      </c>
      <c r="F101" s="21">
        <f>IF(A101="","",IFERROR(C101*VLOOKUP(A101,Semana!$A$5:$E$54,5,0),0))</f>
        <v/>
      </c>
    </row>
    <row r="102">
      <c r="A102" s="19" t="n"/>
      <c r="B102" s="19" t="n"/>
      <c r="C102" s="22" t="n"/>
      <c r="D102" s="12">
        <f>IF(B102="","",IFERROR(VLOOKUP(B102,Ingredientes!$A$4:$E$203,2,0),"?"))</f>
        <v/>
      </c>
      <c r="E102" s="9">
        <f>IF(B102="","",IFERROR(VLOOKUP(B102,Ingredientes!$A$4:$E$203,5,0)*C102,"ITEM NÃO CADASTRADO"))</f>
        <v/>
      </c>
      <c r="F102" s="21">
        <f>IF(A102="","",IFERROR(C102*VLOOKUP(A102,Semana!$A$5:$E$54,5,0),0))</f>
        <v/>
      </c>
    </row>
    <row r="103">
      <c r="A103" s="19" t="n"/>
      <c r="B103" s="19" t="n"/>
      <c r="C103" s="22" t="n"/>
      <c r="D103" s="12">
        <f>IF(B103="","",IFERROR(VLOOKUP(B103,Ingredientes!$A$4:$E$203,2,0),"?"))</f>
        <v/>
      </c>
      <c r="E103" s="9">
        <f>IF(B103="","",IFERROR(VLOOKUP(B103,Ingredientes!$A$4:$E$203,5,0)*C103,"ITEM NÃO CADASTRADO"))</f>
        <v/>
      </c>
      <c r="F103" s="21">
        <f>IF(A103="","",IFERROR(C103*VLOOKUP(A103,Semana!$A$5:$E$54,5,0),0))</f>
        <v/>
      </c>
    </row>
    <row r="104">
      <c r="A104" s="19" t="n"/>
      <c r="B104" s="19" t="n"/>
      <c r="C104" s="22" t="n"/>
      <c r="D104" s="12">
        <f>IF(B104="","",IFERROR(VLOOKUP(B104,Ingredientes!$A$4:$E$203,2,0),"?"))</f>
        <v/>
      </c>
      <c r="E104" s="9">
        <f>IF(B104="","",IFERROR(VLOOKUP(B104,Ingredientes!$A$4:$E$203,5,0)*C104,"ITEM NÃO CADASTRADO"))</f>
        <v/>
      </c>
      <c r="F104" s="21">
        <f>IF(A104="","",IFERROR(C104*VLOOKUP(A104,Semana!$A$5:$E$54,5,0),0))</f>
        <v/>
      </c>
    </row>
    <row r="105">
      <c r="A105" s="19" t="n"/>
      <c r="B105" s="19" t="n"/>
      <c r="C105" s="22" t="n"/>
      <c r="D105" s="12">
        <f>IF(B105="","",IFERROR(VLOOKUP(B105,Ingredientes!$A$4:$E$203,2,0),"?"))</f>
        <v/>
      </c>
      <c r="E105" s="9">
        <f>IF(B105="","",IFERROR(VLOOKUP(B105,Ingredientes!$A$4:$E$203,5,0)*C105,"ITEM NÃO CADASTRADO"))</f>
        <v/>
      </c>
      <c r="F105" s="21">
        <f>IF(A105="","",IFERROR(C105*VLOOKUP(A105,Semana!$A$5:$E$54,5,0),0))</f>
        <v/>
      </c>
    </row>
    <row r="106">
      <c r="A106" s="19" t="n"/>
      <c r="B106" s="19" t="n"/>
      <c r="C106" s="22" t="n"/>
      <c r="D106" s="12">
        <f>IF(B106="","",IFERROR(VLOOKUP(B106,Ingredientes!$A$4:$E$203,2,0),"?"))</f>
        <v/>
      </c>
      <c r="E106" s="9">
        <f>IF(B106="","",IFERROR(VLOOKUP(B106,Ingredientes!$A$4:$E$203,5,0)*C106,"ITEM NÃO CADASTRADO"))</f>
        <v/>
      </c>
      <c r="F106" s="21">
        <f>IF(A106="","",IFERROR(C106*VLOOKUP(A106,Semana!$A$5:$E$54,5,0),0))</f>
        <v/>
      </c>
    </row>
    <row r="107">
      <c r="A107" s="19" t="n"/>
      <c r="B107" s="19" t="n"/>
      <c r="C107" s="22" t="n"/>
      <c r="D107" s="12">
        <f>IF(B107="","",IFERROR(VLOOKUP(B107,Ingredientes!$A$4:$E$203,2,0),"?"))</f>
        <v/>
      </c>
      <c r="E107" s="9">
        <f>IF(B107="","",IFERROR(VLOOKUP(B107,Ingredientes!$A$4:$E$203,5,0)*C107,"ITEM NÃO CADASTRADO"))</f>
        <v/>
      </c>
      <c r="F107" s="21">
        <f>IF(A107="","",IFERROR(C107*VLOOKUP(A107,Semana!$A$5:$E$54,5,0),0))</f>
        <v/>
      </c>
    </row>
    <row r="108">
      <c r="A108" s="19" t="n"/>
      <c r="B108" s="19" t="n"/>
      <c r="C108" s="22" t="n"/>
      <c r="D108" s="12">
        <f>IF(B108="","",IFERROR(VLOOKUP(B108,Ingredientes!$A$4:$E$203,2,0),"?"))</f>
        <v/>
      </c>
      <c r="E108" s="9">
        <f>IF(B108="","",IFERROR(VLOOKUP(B108,Ingredientes!$A$4:$E$203,5,0)*C108,"ITEM NÃO CADASTRADO"))</f>
        <v/>
      </c>
      <c r="F108" s="21">
        <f>IF(A108="","",IFERROR(C108*VLOOKUP(A108,Semana!$A$5:$E$54,5,0),0))</f>
        <v/>
      </c>
    </row>
    <row r="109">
      <c r="A109" s="19" t="n"/>
      <c r="B109" s="19" t="n"/>
      <c r="C109" s="22" t="n"/>
      <c r="D109" s="12">
        <f>IF(B109="","",IFERROR(VLOOKUP(B109,Ingredientes!$A$4:$E$203,2,0),"?"))</f>
        <v/>
      </c>
      <c r="E109" s="9">
        <f>IF(B109="","",IFERROR(VLOOKUP(B109,Ingredientes!$A$4:$E$203,5,0)*C109,"ITEM NÃO CADASTRADO"))</f>
        <v/>
      </c>
      <c r="F109" s="21">
        <f>IF(A109="","",IFERROR(C109*VLOOKUP(A109,Semana!$A$5:$E$54,5,0),0))</f>
        <v/>
      </c>
    </row>
    <row r="110">
      <c r="A110" s="19" t="n"/>
      <c r="B110" s="19" t="n"/>
      <c r="C110" s="22" t="n"/>
      <c r="D110" s="12">
        <f>IF(B110="","",IFERROR(VLOOKUP(B110,Ingredientes!$A$4:$E$203,2,0),"?"))</f>
        <v/>
      </c>
      <c r="E110" s="9">
        <f>IF(B110="","",IFERROR(VLOOKUP(B110,Ingredientes!$A$4:$E$203,5,0)*C110,"ITEM NÃO CADASTRADO"))</f>
        <v/>
      </c>
      <c r="F110" s="21">
        <f>IF(A110="","",IFERROR(C110*VLOOKUP(A110,Semana!$A$5:$E$54,5,0),0))</f>
        <v/>
      </c>
    </row>
    <row r="111">
      <c r="A111" s="19" t="n"/>
      <c r="B111" s="19" t="n"/>
      <c r="C111" s="22" t="n"/>
      <c r="D111" s="12">
        <f>IF(B111="","",IFERROR(VLOOKUP(B111,Ingredientes!$A$4:$E$203,2,0),"?"))</f>
        <v/>
      </c>
      <c r="E111" s="9">
        <f>IF(B111="","",IFERROR(VLOOKUP(B111,Ingredientes!$A$4:$E$203,5,0)*C111,"ITEM NÃO CADASTRADO"))</f>
        <v/>
      </c>
      <c r="F111" s="21">
        <f>IF(A111="","",IFERROR(C111*VLOOKUP(A111,Semana!$A$5:$E$54,5,0),0))</f>
        <v/>
      </c>
    </row>
    <row r="112">
      <c r="A112" s="19" t="n"/>
      <c r="B112" s="19" t="n"/>
      <c r="C112" s="22" t="n"/>
      <c r="D112" s="12">
        <f>IF(B112="","",IFERROR(VLOOKUP(B112,Ingredientes!$A$4:$E$203,2,0),"?"))</f>
        <v/>
      </c>
      <c r="E112" s="9">
        <f>IF(B112="","",IFERROR(VLOOKUP(B112,Ingredientes!$A$4:$E$203,5,0)*C112,"ITEM NÃO CADASTRADO"))</f>
        <v/>
      </c>
      <c r="F112" s="21">
        <f>IF(A112="","",IFERROR(C112*VLOOKUP(A112,Semana!$A$5:$E$54,5,0),0))</f>
        <v/>
      </c>
    </row>
    <row r="113">
      <c r="A113" s="19" t="n"/>
      <c r="B113" s="19" t="n"/>
      <c r="C113" s="22" t="n"/>
      <c r="D113" s="12">
        <f>IF(B113="","",IFERROR(VLOOKUP(B113,Ingredientes!$A$4:$E$203,2,0),"?"))</f>
        <v/>
      </c>
      <c r="E113" s="9">
        <f>IF(B113="","",IFERROR(VLOOKUP(B113,Ingredientes!$A$4:$E$203,5,0)*C113,"ITEM NÃO CADASTRADO"))</f>
        <v/>
      </c>
      <c r="F113" s="21">
        <f>IF(A113="","",IFERROR(C113*VLOOKUP(A113,Semana!$A$5:$E$54,5,0),0))</f>
        <v/>
      </c>
    </row>
    <row r="114">
      <c r="A114" s="19" t="n"/>
      <c r="B114" s="19" t="n"/>
      <c r="C114" s="22" t="n"/>
      <c r="D114" s="12">
        <f>IF(B114="","",IFERROR(VLOOKUP(B114,Ingredientes!$A$4:$E$203,2,0),"?"))</f>
        <v/>
      </c>
      <c r="E114" s="9">
        <f>IF(B114="","",IFERROR(VLOOKUP(B114,Ingredientes!$A$4:$E$203,5,0)*C114,"ITEM NÃO CADASTRADO"))</f>
        <v/>
      </c>
      <c r="F114" s="21">
        <f>IF(A114="","",IFERROR(C114*VLOOKUP(A114,Semana!$A$5:$E$54,5,0),0))</f>
        <v/>
      </c>
    </row>
    <row r="115">
      <c r="A115" s="19" t="n"/>
      <c r="B115" s="19" t="n"/>
      <c r="C115" s="22" t="n"/>
      <c r="D115" s="12">
        <f>IF(B115="","",IFERROR(VLOOKUP(B115,Ingredientes!$A$4:$E$203,2,0),"?"))</f>
        <v/>
      </c>
      <c r="E115" s="9">
        <f>IF(B115="","",IFERROR(VLOOKUP(B115,Ingredientes!$A$4:$E$203,5,0)*C115,"ITEM NÃO CADASTRADO"))</f>
        <v/>
      </c>
      <c r="F115" s="21">
        <f>IF(A115="","",IFERROR(C115*VLOOKUP(A115,Semana!$A$5:$E$54,5,0),0))</f>
        <v/>
      </c>
    </row>
    <row r="116">
      <c r="A116" s="19" t="n"/>
      <c r="B116" s="19" t="n"/>
      <c r="C116" s="22" t="n"/>
      <c r="D116" s="12">
        <f>IF(B116="","",IFERROR(VLOOKUP(B116,Ingredientes!$A$4:$E$203,2,0),"?"))</f>
        <v/>
      </c>
      <c r="E116" s="9">
        <f>IF(B116="","",IFERROR(VLOOKUP(B116,Ingredientes!$A$4:$E$203,5,0)*C116,"ITEM NÃO CADASTRADO"))</f>
        <v/>
      </c>
      <c r="F116" s="21">
        <f>IF(A116="","",IFERROR(C116*VLOOKUP(A116,Semana!$A$5:$E$54,5,0),0))</f>
        <v/>
      </c>
    </row>
    <row r="117">
      <c r="A117" s="19" t="n"/>
      <c r="B117" s="19" t="n"/>
      <c r="C117" s="22" t="n"/>
      <c r="D117" s="12">
        <f>IF(B117="","",IFERROR(VLOOKUP(B117,Ingredientes!$A$4:$E$203,2,0),"?"))</f>
        <v/>
      </c>
      <c r="E117" s="9">
        <f>IF(B117="","",IFERROR(VLOOKUP(B117,Ingredientes!$A$4:$E$203,5,0)*C117,"ITEM NÃO CADASTRADO"))</f>
        <v/>
      </c>
      <c r="F117" s="21">
        <f>IF(A117="","",IFERROR(C117*VLOOKUP(A117,Semana!$A$5:$E$54,5,0),0))</f>
        <v/>
      </c>
    </row>
    <row r="118">
      <c r="A118" s="19" t="n"/>
      <c r="B118" s="19" t="n"/>
      <c r="C118" s="22" t="n"/>
      <c r="D118" s="12">
        <f>IF(B118="","",IFERROR(VLOOKUP(B118,Ingredientes!$A$4:$E$203,2,0),"?"))</f>
        <v/>
      </c>
      <c r="E118" s="9">
        <f>IF(B118="","",IFERROR(VLOOKUP(B118,Ingredientes!$A$4:$E$203,5,0)*C118,"ITEM NÃO CADASTRADO"))</f>
        <v/>
      </c>
      <c r="F118" s="21">
        <f>IF(A118="","",IFERROR(C118*VLOOKUP(A118,Semana!$A$5:$E$54,5,0),0))</f>
        <v/>
      </c>
    </row>
    <row r="119">
      <c r="A119" s="19" t="n"/>
      <c r="B119" s="19" t="n"/>
      <c r="C119" s="22" t="n"/>
      <c r="D119" s="12">
        <f>IF(B119="","",IFERROR(VLOOKUP(B119,Ingredientes!$A$4:$E$203,2,0),"?"))</f>
        <v/>
      </c>
      <c r="E119" s="9">
        <f>IF(B119="","",IFERROR(VLOOKUP(B119,Ingredientes!$A$4:$E$203,5,0)*C119,"ITEM NÃO CADASTRADO"))</f>
        <v/>
      </c>
      <c r="F119" s="21">
        <f>IF(A119="","",IFERROR(C119*VLOOKUP(A119,Semana!$A$5:$E$54,5,0),0))</f>
        <v/>
      </c>
    </row>
    <row r="120">
      <c r="A120" s="19" t="n"/>
      <c r="B120" s="19" t="n"/>
      <c r="C120" s="22" t="n"/>
      <c r="D120" s="12">
        <f>IF(B120="","",IFERROR(VLOOKUP(B120,Ingredientes!$A$4:$E$203,2,0),"?"))</f>
        <v/>
      </c>
      <c r="E120" s="9">
        <f>IF(B120="","",IFERROR(VLOOKUP(B120,Ingredientes!$A$4:$E$203,5,0)*C120,"ITEM NÃO CADASTRADO"))</f>
        <v/>
      </c>
      <c r="F120" s="21">
        <f>IF(A120="","",IFERROR(C120*VLOOKUP(A120,Semana!$A$5:$E$54,5,0),0))</f>
        <v/>
      </c>
    </row>
    <row r="121">
      <c r="A121" s="19" t="n"/>
      <c r="B121" s="19" t="n"/>
      <c r="C121" s="22" t="n"/>
      <c r="D121" s="12">
        <f>IF(B121="","",IFERROR(VLOOKUP(B121,Ingredientes!$A$4:$E$203,2,0),"?"))</f>
        <v/>
      </c>
      <c r="E121" s="9">
        <f>IF(B121="","",IFERROR(VLOOKUP(B121,Ingredientes!$A$4:$E$203,5,0)*C121,"ITEM NÃO CADASTRADO"))</f>
        <v/>
      </c>
      <c r="F121" s="21">
        <f>IF(A121="","",IFERROR(C121*VLOOKUP(A121,Semana!$A$5:$E$54,5,0),0))</f>
        <v/>
      </c>
    </row>
    <row r="122">
      <c r="A122" s="19" t="n"/>
      <c r="B122" s="19" t="n"/>
      <c r="C122" s="22" t="n"/>
      <c r="D122" s="12">
        <f>IF(B122="","",IFERROR(VLOOKUP(B122,Ingredientes!$A$4:$E$203,2,0),"?"))</f>
        <v/>
      </c>
      <c r="E122" s="9">
        <f>IF(B122="","",IFERROR(VLOOKUP(B122,Ingredientes!$A$4:$E$203,5,0)*C122,"ITEM NÃO CADASTRADO"))</f>
        <v/>
      </c>
      <c r="F122" s="21">
        <f>IF(A122="","",IFERROR(C122*VLOOKUP(A122,Semana!$A$5:$E$54,5,0),0))</f>
        <v/>
      </c>
    </row>
    <row r="123">
      <c r="A123" s="19" t="n"/>
      <c r="B123" s="19" t="n"/>
      <c r="C123" s="22" t="n"/>
      <c r="D123" s="12">
        <f>IF(B123="","",IFERROR(VLOOKUP(B123,Ingredientes!$A$4:$E$203,2,0),"?"))</f>
        <v/>
      </c>
      <c r="E123" s="9">
        <f>IF(B123="","",IFERROR(VLOOKUP(B123,Ingredientes!$A$4:$E$203,5,0)*C123,"ITEM NÃO CADASTRADO"))</f>
        <v/>
      </c>
      <c r="F123" s="21">
        <f>IF(A123="","",IFERROR(C123*VLOOKUP(A123,Semana!$A$5:$E$54,5,0),0))</f>
        <v/>
      </c>
    </row>
    <row r="124">
      <c r="A124" s="19" t="n"/>
      <c r="B124" s="19" t="n"/>
      <c r="C124" s="22" t="n"/>
      <c r="D124" s="12">
        <f>IF(B124="","",IFERROR(VLOOKUP(B124,Ingredientes!$A$4:$E$203,2,0),"?"))</f>
        <v/>
      </c>
      <c r="E124" s="9">
        <f>IF(B124="","",IFERROR(VLOOKUP(B124,Ingredientes!$A$4:$E$203,5,0)*C124,"ITEM NÃO CADASTRADO"))</f>
        <v/>
      </c>
      <c r="F124" s="21">
        <f>IF(A124="","",IFERROR(C124*VLOOKUP(A124,Semana!$A$5:$E$54,5,0),0))</f>
        <v/>
      </c>
    </row>
    <row r="125">
      <c r="A125" s="19" t="n"/>
      <c r="B125" s="19" t="n"/>
      <c r="C125" s="22" t="n"/>
      <c r="D125" s="12">
        <f>IF(B125="","",IFERROR(VLOOKUP(B125,Ingredientes!$A$4:$E$203,2,0),"?"))</f>
        <v/>
      </c>
      <c r="E125" s="9">
        <f>IF(B125="","",IFERROR(VLOOKUP(B125,Ingredientes!$A$4:$E$203,5,0)*C125,"ITEM NÃO CADASTRADO"))</f>
        <v/>
      </c>
      <c r="F125" s="21">
        <f>IF(A125="","",IFERROR(C125*VLOOKUP(A125,Semana!$A$5:$E$54,5,0),0))</f>
        <v/>
      </c>
    </row>
    <row r="126">
      <c r="A126" s="19" t="n"/>
      <c r="B126" s="19" t="n"/>
      <c r="C126" s="22" t="n"/>
      <c r="D126" s="12">
        <f>IF(B126="","",IFERROR(VLOOKUP(B126,Ingredientes!$A$4:$E$203,2,0),"?"))</f>
        <v/>
      </c>
      <c r="E126" s="9">
        <f>IF(B126="","",IFERROR(VLOOKUP(B126,Ingredientes!$A$4:$E$203,5,0)*C126,"ITEM NÃO CADASTRADO"))</f>
        <v/>
      </c>
      <c r="F126" s="21">
        <f>IF(A126="","",IFERROR(C126*VLOOKUP(A126,Semana!$A$5:$E$54,5,0),0))</f>
        <v/>
      </c>
    </row>
    <row r="127">
      <c r="A127" s="19" t="n"/>
      <c r="B127" s="19" t="n"/>
      <c r="C127" s="22" t="n"/>
      <c r="D127" s="12">
        <f>IF(B127="","",IFERROR(VLOOKUP(B127,Ingredientes!$A$4:$E$203,2,0),"?"))</f>
        <v/>
      </c>
      <c r="E127" s="9">
        <f>IF(B127="","",IFERROR(VLOOKUP(B127,Ingredientes!$A$4:$E$203,5,0)*C127,"ITEM NÃO CADASTRADO"))</f>
        <v/>
      </c>
      <c r="F127" s="21">
        <f>IF(A127="","",IFERROR(C127*VLOOKUP(A127,Semana!$A$5:$E$54,5,0),0))</f>
        <v/>
      </c>
    </row>
    <row r="128">
      <c r="A128" s="19" t="n"/>
      <c r="B128" s="19" t="n"/>
      <c r="C128" s="22" t="n"/>
      <c r="D128" s="12">
        <f>IF(B128="","",IFERROR(VLOOKUP(B128,Ingredientes!$A$4:$E$203,2,0),"?"))</f>
        <v/>
      </c>
      <c r="E128" s="9">
        <f>IF(B128="","",IFERROR(VLOOKUP(B128,Ingredientes!$A$4:$E$203,5,0)*C128,"ITEM NÃO CADASTRADO"))</f>
        <v/>
      </c>
      <c r="F128" s="21">
        <f>IF(A128="","",IFERROR(C128*VLOOKUP(A128,Semana!$A$5:$E$54,5,0),0))</f>
        <v/>
      </c>
    </row>
    <row r="129">
      <c r="A129" s="19" t="n"/>
      <c r="B129" s="19" t="n"/>
      <c r="C129" s="22" t="n"/>
      <c r="D129" s="12">
        <f>IF(B129="","",IFERROR(VLOOKUP(B129,Ingredientes!$A$4:$E$203,2,0),"?"))</f>
        <v/>
      </c>
      <c r="E129" s="9">
        <f>IF(B129="","",IFERROR(VLOOKUP(B129,Ingredientes!$A$4:$E$203,5,0)*C129,"ITEM NÃO CADASTRADO"))</f>
        <v/>
      </c>
      <c r="F129" s="21">
        <f>IF(A129="","",IFERROR(C129*VLOOKUP(A129,Semana!$A$5:$E$54,5,0),0))</f>
        <v/>
      </c>
    </row>
    <row r="130">
      <c r="A130" s="19" t="n"/>
      <c r="B130" s="19" t="n"/>
      <c r="C130" s="22" t="n"/>
      <c r="D130" s="12">
        <f>IF(B130="","",IFERROR(VLOOKUP(B130,Ingredientes!$A$4:$E$203,2,0),"?"))</f>
        <v/>
      </c>
      <c r="E130" s="9">
        <f>IF(B130="","",IFERROR(VLOOKUP(B130,Ingredientes!$A$4:$E$203,5,0)*C130,"ITEM NÃO CADASTRADO"))</f>
        <v/>
      </c>
      <c r="F130" s="21">
        <f>IF(A130="","",IFERROR(C130*VLOOKUP(A130,Semana!$A$5:$E$54,5,0),0))</f>
        <v/>
      </c>
    </row>
    <row r="131">
      <c r="A131" s="19" t="n"/>
      <c r="B131" s="19" t="n"/>
      <c r="C131" s="22" t="n"/>
      <c r="D131" s="12">
        <f>IF(B131="","",IFERROR(VLOOKUP(B131,Ingredientes!$A$4:$E$203,2,0),"?"))</f>
        <v/>
      </c>
      <c r="E131" s="9">
        <f>IF(B131="","",IFERROR(VLOOKUP(B131,Ingredientes!$A$4:$E$203,5,0)*C131,"ITEM NÃO CADASTRADO"))</f>
        <v/>
      </c>
      <c r="F131" s="21">
        <f>IF(A131="","",IFERROR(C131*VLOOKUP(A131,Semana!$A$5:$E$54,5,0),0))</f>
        <v/>
      </c>
    </row>
    <row r="132">
      <c r="A132" s="19" t="n"/>
      <c r="B132" s="19" t="n"/>
      <c r="C132" s="22" t="n"/>
      <c r="D132" s="12">
        <f>IF(B132="","",IFERROR(VLOOKUP(B132,Ingredientes!$A$4:$E$203,2,0),"?"))</f>
        <v/>
      </c>
      <c r="E132" s="9">
        <f>IF(B132="","",IFERROR(VLOOKUP(B132,Ingredientes!$A$4:$E$203,5,0)*C132,"ITEM NÃO CADASTRADO"))</f>
        <v/>
      </c>
      <c r="F132" s="21">
        <f>IF(A132="","",IFERROR(C132*VLOOKUP(A132,Semana!$A$5:$E$54,5,0),0))</f>
        <v/>
      </c>
    </row>
    <row r="133">
      <c r="A133" s="19" t="n"/>
      <c r="B133" s="19" t="n"/>
      <c r="C133" s="22" t="n"/>
      <c r="D133" s="12">
        <f>IF(B133="","",IFERROR(VLOOKUP(B133,Ingredientes!$A$4:$E$203,2,0),"?"))</f>
        <v/>
      </c>
      <c r="E133" s="9">
        <f>IF(B133="","",IFERROR(VLOOKUP(B133,Ingredientes!$A$4:$E$203,5,0)*C133,"ITEM NÃO CADASTRADO"))</f>
        <v/>
      </c>
      <c r="F133" s="21">
        <f>IF(A133="","",IFERROR(C133*VLOOKUP(A133,Semana!$A$5:$E$54,5,0),0))</f>
        <v/>
      </c>
    </row>
    <row r="134">
      <c r="A134" s="19" t="n"/>
      <c r="B134" s="19" t="n"/>
      <c r="C134" s="22" t="n"/>
      <c r="D134" s="12">
        <f>IF(B134="","",IFERROR(VLOOKUP(B134,Ingredientes!$A$4:$E$203,2,0),"?"))</f>
        <v/>
      </c>
      <c r="E134" s="9">
        <f>IF(B134="","",IFERROR(VLOOKUP(B134,Ingredientes!$A$4:$E$203,5,0)*C134,"ITEM NÃO CADASTRADO"))</f>
        <v/>
      </c>
      <c r="F134" s="21">
        <f>IF(A134="","",IFERROR(C134*VLOOKUP(A134,Semana!$A$5:$E$54,5,0),0))</f>
        <v/>
      </c>
    </row>
    <row r="135">
      <c r="A135" s="19" t="n"/>
      <c r="B135" s="19" t="n"/>
      <c r="C135" s="22" t="n"/>
      <c r="D135" s="12">
        <f>IF(B135="","",IFERROR(VLOOKUP(B135,Ingredientes!$A$4:$E$203,2,0),"?"))</f>
        <v/>
      </c>
      <c r="E135" s="9">
        <f>IF(B135="","",IFERROR(VLOOKUP(B135,Ingredientes!$A$4:$E$203,5,0)*C135,"ITEM NÃO CADASTRADO"))</f>
        <v/>
      </c>
      <c r="F135" s="21">
        <f>IF(A135="","",IFERROR(C135*VLOOKUP(A135,Semana!$A$5:$E$54,5,0),0))</f>
        <v/>
      </c>
    </row>
    <row r="136">
      <c r="A136" s="19" t="n"/>
      <c r="B136" s="19" t="n"/>
      <c r="C136" s="22" t="n"/>
      <c r="D136" s="12">
        <f>IF(B136="","",IFERROR(VLOOKUP(B136,Ingredientes!$A$4:$E$203,2,0),"?"))</f>
        <v/>
      </c>
      <c r="E136" s="9">
        <f>IF(B136="","",IFERROR(VLOOKUP(B136,Ingredientes!$A$4:$E$203,5,0)*C136,"ITEM NÃO CADASTRADO"))</f>
        <v/>
      </c>
      <c r="F136" s="21">
        <f>IF(A136="","",IFERROR(C136*VLOOKUP(A136,Semana!$A$5:$E$54,5,0),0))</f>
        <v/>
      </c>
    </row>
    <row r="137">
      <c r="A137" s="19" t="n"/>
      <c r="B137" s="19" t="n"/>
      <c r="C137" s="22" t="n"/>
      <c r="D137" s="12">
        <f>IF(B137="","",IFERROR(VLOOKUP(B137,Ingredientes!$A$4:$E$203,2,0),"?"))</f>
        <v/>
      </c>
      <c r="E137" s="9">
        <f>IF(B137="","",IFERROR(VLOOKUP(B137,Ingredientes!$A$4:$E$203,5,0)*C137,"ITEM NÃO CADASTRADO"))</f>
        <v/>
      </c>
      <c r="F137" s="21">
        <f>IF(A137="","",IFERROR(C137*VLOOKUP(A137,Semana!$A$5:$E$54,5,0),0))</f>
        <v/>
      </c>
    </row>
    <row r="138">
      <c r="A138" s="19" t="n"/>
      <c r="B138" s="19" t="n"/>
      <c r="C138" s="22" t="n"/>
      <c r="D138" s="12">
        <f>IF(B138="","",IFERROR(VLOOKUP(B138,Ingredientes!$A$4:$E$203,2,0),"?"))</f>
        <v/>
      </c>
      <c r="E138" s="9">
        <f>IF(B138="","",IFERROR(VLOOKUP(B138,Ingredientes!$A$4:$E$203,5,0)*C138,"ITEM NÃO CADASTRADO"))</f>
        <v/>
      </c>
      <c r="F138" s="21">
        <f>IF(A138="","",IFERROR(C138*VLOOKUP(A138,Semana!$A$5:$E$54,5,0),0))</f>
        <v/>
      </c>
    </row>
    <row r="139">
      <c r="A139" s="19" t="n"/>
      <c r="B139" s="19" t="n"/>
      <c r="C139" s="22" t="n"/>
      <c r="D139" s="12">
        <f>IF(B139="","",IFERROR(VLOOKUP(B139,Ingredientes!$A$4:$E$203,2,0),"?"))</f>
        <v/>
      </c>
      <c r="E139" s="9">
        <f>IF(B139="","",IFERROR(VLOOKUP(B139,Ingredientes!$A$4:$E$203,5,0)*C139,"ITEM NÃO CADASTRADO"))</f>
        <v/>
      </c>
      <c r="F139" s="21">
        <f>IF(A139="","",IFERROR(C139*VLOOKUP(A139,Semana!$A$5:$E$54,5,0),0))</f>
        <v/>
      </c>
    </row>
    <row r="140">
      <c r="A140" s="19" t="n"/>
      <c r="B140" s="19" t="n"/>
      <c r="C140" s="22" t="n"/>
      <c r="D140" s="12">
        <f>IF(B140="","",IFERROR(VLOOKUP(B140,Ingredientes!$A$4:$E$203,2,0),"?"))</f>
        <v/>
      </c>
      <c r="E140" s="9">
        <f>IF(B140="","",IFERROR(VLOOKUP(B140,Ingredientes!$A$4:$E$203,5,0)*C140,"ITEM NÃO CADASTRADO"))</f>
        <v/>
      </c>
      <c r="F140" s="21">
        <f>IF(A140="","",IFERROR(C140*VLOOKUP(A140,Semana!$A$5:$E$54,5,0),0))</f>
        <v/>
      </c>
    </row>
    <row r="141">
      <c r="A141" s="19" t="n"/>
      <c r="B141" s="19" t="n"/>
      <c r="C141" s="22" t="n"/>
      <c r="D141" s="12">
        <f>IF(B141="","",IFERROR(VLOOKUP(B141,Ingredientes!$A$4:$E$203,2,0),"?"))</f>
        <v/>
      </c>
      <c r="E141" s="9">
        <f>IF(B141="","",IFERROR(VLOOKUP(B141,Ingredientes!$A$4:$E$203,5,0)*C141,"ITEM NÃO CADASTRADO"))</f>
        <v/>
      </c>
      <c r="F141" s="21">
        <f>IF(A141="","",IFERROR(C141*VLOOKUP(A141,Semana!$A$5:$E$54,5,0),0))</f>
        <v/>
      </c>
    </row>
    <row r="142">
      <c r="A142" s="19" t="n"/>
      <c r="B142" s="19" t="n"/>
      <c r="C142" s="22" t="n"/>
      <c r="D142" s="12">
        <f>IF(B142="","",IFERROR(VLOOKUP(B142,Ingredientes!$A$4:$E$203,2,0),"?"))</f>
        <v/>
      </c>
      <c r="E142" s="9">
        <f>IF(B142="","",IFERROR(VLOOKUP(B142,Ingredientes!$A$4:$E$203,5,0)*C142,"ITEM NÃO CADASTRADO"))</f>
        <v/>
      </c>
      <c r="F142" s="21">
        <f>IF(A142="","",IFERROR(C142*VLOOKUP(A142,Semana!$A$5:$E$54,5,0),0))</f>
        <v/>
      </c>
    </row>
    <row r="143">
      <c r="A143" s="19" t="n"/>
      <c r="B143" s="19" t="n"/>
      <c r="C143" s="22" t="n"/>
      <c r="D143" s="12">
        <f>IF(B143="","",IFERROR(VLOOKUP(B143,Ingredientes!$A$4:$E$203,2,0),"?"))</f>
        <v/>
      </c>
      <c r="E143" s="9">
        <f>IF(B143="","",IFERROR(VLOOKUP(B143,Ingredientes!$A$4:$E$203,5,0)*C143,"ITEM NÃO CADASTRADO"))</f>
        <v/>
      </c>
      <c r="F143" s="21">
        <f>IF(A143="","",IFERROR(C143*VLOOKUP(A143,Semana!$A$5:$E$54,5,0),0))</f>
        <v/>
      </c>
    </row>
    <row r="144">
      <c r="A144" s="19" t="n"/>
      <c r="B144" s="19" t="n"/>
      <c r="C144" s="22" t="n"/>
      <c r="D144" s="12">
        <f>IF(B144="","",IFERROR(VLOOKUP(B144,Ingredientes!$A$4:$E$203,2,0),"?"))</f>
        <v/>
      </c>
      <c r="E144" s="9">
        <f>IF(B144="","",IFERROR(VLOOKUP(B144,Ingredientes!$A$4:$E$203,5,0)*C144,"ITEM NÃO CADASTRADO"))</f>
        <v/>
      </c>
      <c r="F144" s="21">
        <f>IF(A144="","",IFERROR(C144*VLOOKUP(A144,Semana!$A$5:$E$54,5,0),0))</f>
        <v/>
      </c>
    </row>
    <row r="145">
      <c r="A145" s="19" t="n"/>
      <c r="B145" s="19" t="n"/>
      <c r="C145" s="22" t="n"/>
      <c r="D145" s="12">
        <f>IF(B145="","",IFERROR(VLOOKUP(B145,Ingredientes!$A$4:$E$203,2,0),"?"))</f>
        <v/>
      </c>
      <c r="E145" s="9">
        <f>IF(B145="","",IFERROR(VLOOKUP(B145,Ingredientes!$A$4:$E$203,5,0)*C145,"ITEM NÃO CADASTRADO"))</f>
        <v/>
      </c>
      <c r="F145" s="21">
        <f>IF(A145="","",IFERROR(C145*VLOOKUP(A145,Semana!$A$5:$E$54,5,0),0))</f>
        <v/>
      </c>
    </row>
    <row r="146">
      <c r="A146" s="19" t="n"/>
      <c r="B146" s="19" t="n"/>
      <c r="C146" s="22" t="n"/>
      <c r="D146" s="12">
        <f>IF(B146="","",IFERROR(VLOOKUP(B146,Ingredientes!$A$4:$E$203,2,0),"?"))</f>
        <v/>
      </c>
      <c r="E146" s="9">
        <f>IF(B146="","",IFERROR(VLOOKUP(B146,Ingredientes!$A$4:$E$203,5,0)*C146,"ITEM NÃO CADASTRADO"))</f>
        <v/>
      </c>
      <c r="F146" s="21">
        <f>IF(A146="","",IFERROR(C146*VLOOKUP(A146,Semana!$A$5:$E$54,5,0),0))</f>
        <v/>
      </c>
    </row>
    <row r="147">
      <c r="A147" s="19" t="n"/>
      <c r="B147" s="19" t="n"/>
      <c r="C147" s="22" t="n"/>
      <c r="D147" s="12">
        <f>IF(B147="","",IFERROR(VLOOKUP(B147,Ingredientes!$A$4:$E$203,2,0),"?"))</f>
        <v/>
      </c>
      <c r="E147" s="9">
        <f>IF(B147="","",IFERROR(VLOOKUP(B147,Ingredientes!$A$4:$E$203,5,0)*C147,"ITEM NÃO CADASTRADO"))</f>
        <v/>
      </c>
      <c r="F147" s="21">
        <f>IF(A147="","",IFERROR(C147*VLOOKUP(A147,Semana!$A$5:$E$54,5,0),0))</f>
        <v/>
      </c>
    </row>
    <row r="148">
      <c r="A148" s="19" t="n"/>
      <c r="B148" s="19" t="n"/>
      <c r="C148" s="22" t="n"/>
      <c r="D148" s="12">
        <f>IF(B148="","",IFERROR(VLOOKUP(B148,Ingredientes!$A$4:$E$203,2,0),"?"))</f>
        <v/>
      </c>
      <c r="E148" s="9">
        <f>IF(B148="","",IFERROR(VLOOKUP(B148,Ingredientes!$A$4:$E$203,5,0)*C148,"ITEM NÃO CADASTRADO"))</f>
        <v/>
      </c>
      <c r="F148" s="21">
        <f>IF(A148="","",IFERROR(C148*VLOOKUP(A148,Semana!$A$5:$E$54,5,0),0))</f>
        <v/>
      </c>
    </row>
    <row r="149">
      <c r="A149" s="19" t="n"/>
      <c r="B149" s="19" t="n"/>
      <c r="C149" s="22" t="n"/>
      <c r="D149" s="12">
        <f>IF(B149="","",IFERROR(VLOOKUP(B149,Ingredientes!$A$4:$E$203,2,0),"?"))</f>
        <v/>
      </c>
      <c r="E149" s="9">
        <f>IF(B149="","",IFERROR(VLOOKUP(B149,Ingredientes!$A$4:$E$203,5,0)*C149,"ITEM NÃO CADASTRADO"))</f>
        <v/>
      </c>
      <c r="F149" s="21">
        <f>IF(A149="","",IFERROR(C149*VLOOKUP(A149,Semana!$A$5:$E$54,5,0),0))</f>
        <v/>
      </c>
    </row>
    <row r="150">
      <c r="A150" s="19" t="n"/>
      <c r="B150" s="19" t="n"/>
      <c r="C150" s="22" t="n"/>
      <c r="D150" s="12">
        <f>IF(B150="","",IFERROR(VLOOKUP(B150,Ingredientes!$A$4:$E$203,2,0),"?"))</f>
        <v/>
      </c>
      <c r="E150" s="9">
        <f>IF(B150="","",IFERROR(VLOOKUP(B150,Ingredientes!$A$4:$E$203,5,0)*C150,"ITEM NÃO CADASTRADO"))</f>
        <v/>
      </c>
      <c r="F150" s="21">
        <f>IF(A150="","",IFERROR(C150*VLOOKUP(A150,Semana!$A$5:$E$54,5,0),0))</f>
        <v/>
      </c>
    </row>
    <row r="151">
      <c r="A151" s="19" t="n"/>
      <c r="B151" s="19" t="n"/>
      <c r="C151" s="22" t="n"/>
      <c r="D151" s="12">
        <f>IF(B151="","",IFERROR(VLOOKUP(B151,Ingredientes!$A$4:$E$203,2,0),"?"))</f>
        <v/>
      </c>
      <c r="E151" s="9">
        <f>IF(B151="","",IFERROR(VLOOKUP(B151,Ingredientes!$A$4:$E$203,5,0)*C151,"ITEM NÃO CADASTRADO"))</f>
        <v/>
      </c>
      <c r="F151" s="21">
        <f>IF(A151="","",IFERROR(C151*VLOOKUP(A151,Semana!$A$5:$E$54,5,0),0))</f>
        <v/>
      </c>
    </row>
    <row r="152">
      <c r="A152" s="19" t="n"/>
      <c r="B152" s="19" t="n"/>
      <c r="C152" s="22" t="n"/>
      <c r="D152" s="12">
        <f>IF(B152="","",IFERROR(VLOOKUP(B152,Ingredientes!$A$4:$E$203,2,0),"?"))</f>
        <v/>
      </c>
      <c r="E152" s="9">
        <f>IF(B152="","",IFERROR(VLOOKUP(B152,Ingredientes!$A$4:$E$203,5,0)*C152,"ITEM NÃO CADASTRADO"))</f>
        <v/>
      </c>
      <c r="F152" s="21">
        <f>IF(A152="","",IFERROR(C152*VLOOKUP(A152,Semana!$A$5:$E$54,5,0),0))</f>
        <v/>
      </c>
    </row>
    <row r="153">
      <c r="A153" s="19" t="n"/>
      <c r="B153" s="19" t="n"/>
      <c r="C153" s="22" t="n"/>
      <c r="D153" s="12">
        <f>IF(B153="","",IFERROR(VLOOKUP(B153,Ingredientes!$A$4:$E$203,2,0),"?"))</f>
        <v/>
      </c>
      <c r="E153" s="9">
        <f>IF(B153="","",IFERROR(VLOOKUP(B153,Ingredientes!$A$4:$E$203,5,0)*C153,"ITEM NÃO CADASTRADO"))</f>
        <v/>
      </c>
      <c r="F153" s="21">
        <f>IF(A153="","",IFERROR(C153*VLOOKUP(A153,Semana!$A$5:$E$54,5,0),0))</f>
        <v/>
      </c>
    </row>
    <row r="154">
      <c r="A154" s="19" t="n"/>
      <c r="B154" s="19" t="n"/>
      <c r="C154" s="22" t="n"/>
      <c r="D154" s="12">
        <f>IF(B154="","",IFERROR(VLOOKUP(B154,Ingredientes!$A$4:$E$203,2,0),"?"))</f>
        <v/>
      </c>
      <c r="E154" s="9">
        <f>IF(B154="","",IFERROR(VLOOKUP(B154,Ingredientes!$A$4:$E$203,5,0)*C154,"ITEM NÃO CADASTRADO"))</f>
        <v/>
      </c>
      <c r="F154" s="21">
        <f>IF(A154="","",IFERROR(C154*VLOOKUP(A154,Semana!$A$5:$E$54,5,0),0))</f>
        <v/>
      </c>
    </row>
    <row r="155">
      <c r="A155" s="19" t="n"/>
      <c r="B155" s="19" t="n"/>
      <c r="C155" s="22" t="n"/>
      <c r="D155" s="12">
        <f>IF(B155="","",IFERROR(VLOOKUP(B155,Ingredientes!$A$4:$E$203,2,0),"?"))</f>
        <v/>
      </c>
      <c r="E155" s="9">
        <f>IF(B155="","",IFERROR(VLOOKUP(B155,Ingredientes!$A$4:$E$203,5,0)*C155,"ITEM NÃO CADASTRADO"))</f>
        <v/>
      </c>
      <c r="F155" s="21">
        <f>IF(A155="","",IFERROR(C155*VLOOKUP(A155,Semana!$A$5:$E$54,5,0),0))</f>
        <v/>
      </c>
    </row>
    <row r="156">
      <c r="A156" s="19" t="n"/>
      <c r="B156" s="19" t="n"/>
      <c r="C156" s="22" t="n"/>
      <c r="D156" s="12">
        <f>IF(B156="","",IFERROR(VLOOKUP(B156,Ingredientes!$A$4:$E$203,2,0),"?"))</f>
        <v/>
      </c>
      <c r="E156" s="9">
        <f>IF(B156="","",IFERROR(VLOOKUP(B156,Ingredientes!$A$4:$E$203,5,0)*C156,"ITEM NÃO CADASTRADO"))</f>
        <v/>
      </c>
      <c r="F156" s="21">
        <f>IF(A156="","",IFERROR(C156*VLOOKUP(A156,Semana!$A$5:$E$54,5,0),0))</f>
        <v/>
      </c>
    </row>
    <row r="157">
      <c r="A157" s="19" t="n"/>
      <c r="B157" s="19" t="n"/>
      <c r="C157" s="22" t="n"/>
      <c r="D157" s="12">
        <f>IF(B157="","",IFERROR(VLOOKUP(B157,Ingredientes!$A$4:$E$203,2,0),"?"))</f>
        <v/>
      </c>
      <c r="E157" s="9">
        <f>IF(B157="","",IFERROR(VLOOKUP(B157,Ingredientes!$A$4:$E$203,5,0)*C157,"ITEM NÃO CADASTRADO"))</f>
        <v/>
      </c>
      <c r="F157" s="21">
        <f>IF(A157="","",IFERROR(C157*VLOOKUP(A157,Semana!$A$5:$E$54,5,0),0))</f>
        <v/>
      </c>
    </row>
    <row r="158">
      <c r="A158" s="19" t="n"/>
      <c r="B158" s="19" t="n"/>
      <c r="C158" s="22" t="n"/>
      <c r="D158" s="12">
        <f>IF(B158="","",IFERROR(VLOOKUP(B158,Ingredientes!$A$4:$E$203,2,0),"?"))</f>
        <v/>
      </c>
      <c r="E158" s="9">
        <f>IF(B158="","",IFERROR(VLOOKUP(B158,Ingredientes!$A$4:$E$203,5,0)*C158,"ITEM NÃO CADASTRADO"))</f>
        <v/>
      </c>
      <c r="F158" s="21">
        <f>IF(A158="","",IFERROR(C158*VLOOKUP(A158,Semana!$A$5:$E$54,5,0),0))</f>
        <v/>
      </c>
    </row>
    <row r="159">
      <c r="A159" s="19" t="n"/>
      <c r="B159" s="19" t="n"/>
      <c r="C159" s="22" t="n"/>
      <c r="D159" s="12">
        <f>IF(B159="","",IFERROR(VLOOKUP(B159,Ingredientes!$A$4:$E$203,2,0),"?"))</f>
        <v/>
      </c>
      <c r="E159" s="9">
        <f>IF(B159="","",IFERROR(VLOOKUP(B159,Ingredientes!$A$4:$E$203,5,0)*C159,"ITEM NÃO CADASTRADO"))</f>
        <v/>
      </c>
      <c r="F159" s="21">
        <f>IF(A159="","",IFERROR(C159*VLOOKUP(A159,Semana!$A$5:$E$54,5,0),0))</f>
        <v/>
      </c>
    </row>
    <row r="160">
      <c r="A160" s="19" t="n"/>
      <c r="B160" s="19" t="n"/>
      <c r="C160" s="22" t="n"/>
      <c r="D160" s="12">
        <f>IF(B160="","",IFERROR(VLOOKUP(B160,Ingredientes!$A$4:$E$203,2,0),"?"))</f>
        <v/>
      </c>
      <c r="E160" s="9">
        <f>IF(B160="","",IFERROR(VLOOKUP(B160,Ingredientes!$A$4:$E$203,5,0)*C160,"ITEM NÃO CADASTRADO"))</f>
        <v/>
      </c>
      <c r="F160" s="21">
        <f>IF(A160="","",IFERROR(C160*VLOOKUP(A160,Semana!$A$5:$E$54,5,0),0))</f>
        <v/>
      </c>
    </row>
    <row r="161">
      <c r="A161" s="19" t="n"/>
      <c r="B161" s="19" t="n"/>
      <c r="C161" s="22" t="n"/>
      <c r="D161" s="12">
        <f>IF(B161="","",IFERROR(VLOOKUP(B161,Ingredientes!$A$4:$E$203,2,0),"?"))</f>
        <v/>
      </c>
      <c r="E161" s="9">
        <f>IF(B161="","",IFERROR(VLOOKUP(B161,Ingredientes!$A$4:$E$203,5,0)*C161,"ITEM NÃO CADASTRADO"))</f>
        <v/>
      </c>
      <c r="F161" s="21">
        <f>IF(A161="","",IFERROR(C161*VLOOKUP(A161,Semana!$A$5:$E$54,5,0),0))</f>
        <v/>
      </c>
    </row>
    <row r="162">
      <c r="A162" s="19" t="n"/>
      <c r="B162" s="19" t="n"/>
      <c r="C162" s="22" t="n"/>
      <c r="D162" s="12">
        <f>IF(B162="","",IFERROR(VLOOKUP(B162,Ingredientes!$A$4:$E$203,2,0),"?"))</f>
        <v/>
      </c>
      <c r="E162" s="9">
        <f>IF(B162="","",IFERROR(VLOOKUP(B162,Ingredientes!$A$4:$E$203,5,0)*C162,"ITEM NÃO CADASTRADO"))</f>
        <v/>
      </c>
      <c r="F162" s="21">
        <f>IF(A162="","",IFERROR(C162*VLOOKUP(A162,Semana!$A$5:$E$54,5,0),0))</f>
        <v/>
      </c>
    </row>
    <row r="163">
      <c r="A163" s="19" t="n"/>
      <c r="B163" s="19" t="n"/>
      <c r="C163" s="22" t="n"/>
      <c r="D163" s="12">
        <f>IF(B163="","",IFERROR(VLOOKUP(B163,Ingredientes!$A$4:$E$203,2,0),"?"))</f>
        <v/>
      </c>
      <c r="E163" s="9">
        <f>IF(B163="","",IFERROR(VLOOKUP(B163,Ingredientes!$A$4:$E$203,5,0)*C163,"ITEM NÃO CADASTRADO"))</f>
        <v/>
      </c>
      <c r="F163" s="21">
        <f>IF(A163="","",IFERROR(C163*VLOOKUP(A163,Semana!$A$5:$E$54,5,0),0))</f>
        <v/>
      </c>
    </row>
    <row r="164">
      <c r="A164" s="19" t="n"/>
      <c r="B164" s="19" t="n"/>
      <c r="C164" s="22" t="n"/>
      <c r="D164" s="12">
        <f>IF(B164="","",IFERROR(VLOOKUP(B164,Ingredientes!$A$4:$E$203,2,0),"?"))</f>
        <v/>
      </c>
      <c r="E164" s="9">
        <f>IF(B164="","",IFERROR(VLOOKUP(B164,Ingredientes!$A$4:$E$203,5,0)*C164,"ITEM NÃO CADASTRADO"))</f>
        <v/>
      </c>
      <c r="F164" s="21">
        <f>IF(A164="","",IFERROR(C164*VLOOKUP(A164,Semana!$A$5:$E$54,5,0),0))</f>
        <v/>
      </c>
    </row>
    <row r="165">
      <c r="A165" s="19" t="n"/>
      <c r="B165" s="19" t="n"/>
      <c r="C165" s="22" t="n"/>
      <c r="D165" s="12">
        <f>IF(B165="","",IFERROR(VLOOKUP(B165,Ingredientes!$A$4:$E$203,2,0),"?"))</f>
        <v/>
      </c>
      <c r="E165" s="9">
        <f>IF(B165="","",IFERROR(VLOOKUP(B165,Ingredientes!$A$4:$E$203,5,0)*C165,"ITEM NÃO CADASTRADO"))</f>
        <v/>
      </c>
      <c r="F165" s="21">
        <f>IF(A165="","",IFERROR(C165*VLOOKUP(A165,Semana!$A$5:$E$54,5,0),0))</f>
        <v/>
      </c>
    </row>
    <row r="166">
      <c r="A166" s="19" t="n"/>
      <c r="B166" s="19" t="n"/>
      <c r="C166" s="22" t="n"/>
      <c r="D166" s="12">
        <f>IF(B166="","",IFERROR(VLOOKUP(B166,Ingredientes!$A$4:$E$203,2,0),"?"))</f>
        <v/>
      </c>
      <c r="E166" s="9">
        <f>IF(B166="","",IFERROR(VLOOKUP(B166,Ingredientes!$A$4:$E$203,5,0)*C166,"ITEM NÃO CADASTRADO"))</f>
        <v/>
      </c>
      <c r="F166" s="21">
        <f>IF(A166="","",IFERROR(C166*VLOOKUP(A166,Semana!$A$5:$E$54,5,0),0))</f>
        <v/>
      </c>
    </row>
    <row r="167">
      <c r="A167" s="19" t="n"/>
      <c r="B167" s="19" t="n"/>
      <c r="C167" s="22" t="n"/>
      <c r="D167" s="12">
        <f>IF(B167="","",IFERROR(VLOOKUP(B167,Ingredientes!$A$4:$E$203,2,0),"?"))</f>
        <v/>
      </c>
      <c r="E167" s="9">
        <f>IF(B167="","",IFERROR(VLOOKUP(B167,Ingredientes!$A$4:$E$203,5,0)*C167,"ITEM NÃO CADASTRADO"))</f>
        <v/>
      </c>
      <c r="F167" s="21">
        <f>IF(A167="","",IFERROR(C167*VLOOKUP(A167,Semana!$A$5:$E$54,5,0),0))</f>
        <v/>
      </c>
    </row>
    <row r="168">
      <c r="A168" s="19" t="n"/>
      <c r="B168" s="19" t="n"/>
      <c r="C168" s="22" t="n"/>
      <c r="D168" s="12">
        <f>IF(B168="","",IFERROR(VLOOKUP(B168,Ingredientes!$A$4:$E$203,2,0),"?"))</f>
        <v/>
      </c>
      <c r="E168" s="9">
        <f>IF(B168="","",IFERROR(VLOOKUP(B168,Ingredientes!$A$4:$E$203,5,0)*C168,"ITEM NÃO CADASTRADO"))</f>
        <v/>
      </c>
      <c r="F168" s="21">
        <f>IF(A168="","",IFERROR(C168*VLOOKUP(A168,Semana!$A$5:$E$54,5,0),0))</f>
        <v/>
      </c>
    </row>
    <row r="169">
      <c r="A169" s="19" t="n"/>
      <c r="B169" s="19" t="n"/>
      <c r="C169" s="22" t="n"/>
      <c r="D169" s="12">
        <f>IF(B169="","",IFERROR(VLOOKUP(B169,Ingredientes!$A$4:$E$203,2,0),"?"))</f>
        <v/>
      </c>
      <c r="E169" s="9">
        <f>IF(B169="","",IFERROR(VLOOKUP(B169,Ingredientes!$A$4:$E$203,5,0)*C169,"ITEM NÃO CADASTRADO"))</f>
        <v/>
      </c>
      <c r="F169" s="21">
        <f>IF(A169="","",IFERROR(C169*VLOOKUP(A169,Semana!$A$5:$E$54,5,0),0))</f>
        <v/>
      </c>
    </row>
    <row r="170">
      <c r="A170" s="19" t="n"/>
      <c r="B170" s="19" t="n"/>
      <c r="C170" s="22" t="n"/>
      <c r="D170" s="12">
        <f>IF(B170="","",IFERROR(VLOOKUP(B170,Ingredientes!$A$4:$E$203,2,0),"?"))</f>
        <v/>
      </c>
      <c r="E170" s="9">
        <f>IF(B170="","",IFERROR(VLOOKUP(B170,Ingredientes!$A$4:$E$203,5,0)*C170,"ITEM NÃO CADASTRADO"))</f>
        <v/>
      </c>
      <c r="F170" s="21">
        <f>IF(A170="","",IFERROR(C170*VLOOKUP(A170,Semana!$A$5:$E$54,5,0),0))</f>
        <v/>
      </c>
    </row>
    <row r="171">
      <c r="A171" s="19" t="n"/>
      <c r="B171" s="19" t="n"/>
      <c r="C171" s="22" t="n"/>
      <c r="D171" s="12">
        <f>IF(B171="","",IFERROR(VLOOKUP(B171,Ingredientes!$A$4:$E$203,2,0),"?"))</f>
        <v/>
      </c>
      <c r="E171" s="9">
        <f>IF(B171="","",IFERROR(VLOOKUP(B171,Ingredientes!$A$4:$E$203,5,0)*C171,"ITEM NÃO CADASTRADO"))</f>
        <v/>
      </c>
      <c r="F171" s="21">
        <f>IF(A171="","",IFERROR(C171*VLOOKUP(A171,Semana!$A$5:$E$54,5,0),0))</f>
        <v/>
      </c>
    </row>
    <row r="172">
      <c r="A172" s="19" t="n"/>
      <c r="B172" s="19" t="n"/>
      <c r="C172" s="22" t="n"/>
      <c r="D172" s="12">
        <f>IF(B172="","",IFERROR(VLOOKUP(B172,Ingredientes!$A$4:$E$203,2,0),"?"))</f>
        <v/>
      </c>
      <c r="E172" s="9">
        <f>IF(B172="","",IFERROR(VLOOKUP(B172,Ingredientes!$A$4:$E$203,5,0)*C172,"ITEM NÃO CADASTRADO"))</f>
        <v/>
      </c>
      <c r="F172" s="21">
        <f>IF(A172="","",IFERROR(C172*VLOOKUP(A172,Semana!$A$5:$E$54,5,0),0))</f>
        <v/>
      </c>
    </row>
    <row r="173">
      <c r="A173" s="19" t="n"/>
      <c r="B173" s="19" t="n"/>
      <c r="C173" s="22" t="n"/>
      <c r="D173" s="12">
        <f>IF(B173="","",IFERROR(VLOOKUP(B173,Ingredientes!$A$4:$E$203,2,0),"?"))</f>
        <v/>
      </c>
      <c r="E173" s="9">
        <f>IF(B173="","",IFERROR(VLOOKUP(B173,Ingredientes!$A$4:$E$203,5,0)*C173,"ITEM NÃO CADASTRADO"))</f>
        <v/>
      </c>
      <c r="F173" s="21">
        <f>IF(A173="","",IFERROR(C173*VLOOKUP(A173,Semana!$A$5:$E$54,5,0),0))</f>
        <v/>
      </c>
    </row>
    <row r="174">
      <c r="A174" s="19" t="n"/>
      <c r="B174" s="19" t="n"/>
      <c r="C174" s="22" t="n"/>
      <c r="D174" s="12">
        <f>IF(B174="","",IFERROR(VLOOKUP(B174,Ingredientes!$A$4:$E$203,2,0),"?"))</f>
        <v/>
      </c>
      <c r="E174" s="9">
        <f>IF(B174="","",IFERROR(VLOOKUP(B174,Ingredientes!$A$4:$E$203,5,0)*C174,"ITEM NÃO CADASTRADO"))</f>
        <v/>
      </c>
      <c r="F174" s="21">
        <f>IF(A174="","",IFERROR(C174*VLOOKUP(A174,Semana!$A$5:$E$54,5,0),0))</f>
        <v/>
      </c>
    </row>
    <row r="175">
      <c r="A175" s="19" t="n"/>
      <c r="B175" s="19" t="n"/>
      <c r="C175" s="22" t="n"/>
      <c r="D175" s="12">
        <f>IF(B175="","",IFERROR(VLOOKUP(B175,Ingredientes!$A$4:$E$203,2,0),"?"))</f>
        <v/>
      </c>
      <c r="E175" s="9">
        <f>IF(B175="","",IFERROR(VLOOKUP(B175,Ingredientes!$A$4:$E$203,5,0)*C175,"ITEM NÃO CADASTRADO"))</f>
        <v/>
      </c>
      <c r="F175" s="21">
        <f>IF(A175="","",IFERROR(C175*VLOOKUP(A175,Semana!$A$5:$E$54,5,0),0))</f>
        <v/>
      </c>
    </row>
    <row r="176">
      <c r="A176" s="19" t="n"/>
      <c r="B176" s="19" t="n"/>
      <c r="C176" s="22" t="n"/>
      <c r="D176" s="12">
        <f>IF(B176="","",IFERROR(VLOOKUP(B176,Ingredientes!$A$4:$E$203,2,0),"?"))</f>
        <v/>
      </c>
      <c r="E176" s="9">
        <f>IF(B176="","",IFERROR(VLOOKUP(B176,Ingredientes!$A$4:$E$203,5,0)*C176,"ITEM NÃO CADASTRADO"))</f>
        <v/>
      </c>
      <c r="F176" s="21">
        <f>IF(A176="","",IFERROR(C176*VLOOKUP(A176,Semana!$A$5:$E$54,5,0),0))</f>
        <v/>
      </c>
    </row>
    <row r="177">
      <c r="A177" s="19" t="n"/>
      <c r="B177" s="19" t="n"/>
      <c r="C177" s="22" t="n"/>
      <c r="D177" s="12">
        <f>IF(B177="","",IFERROR(VLOOKUP(B177,Ingredientes!$A$4:$E$203,2,0),"?"))</f>
        <v/>
      </c>
      <c r="E177" s="9">
        <f>IF(B177="","",IFERROR(VLOOKUP(B177,Ingredientes!$A$4:$E$203,5,0)*C177,"ITEM NÃO CADASTRADO"))</f>
        <v/>
      </c>
      <c r="F177" s="21">
        <f>IF(A177="","",IFERROR(C177*VLOOKUP(A177,Semana!$A$5:$E$54,5,0),0))</f>
        <v/>
      </c>
    </row>
    <row r="178">
      <c r="A178" s="19" t="n"/>
      <c r="B178" s="19" t="n"/>
      <c r="C178" s="22" t="n"/>
      <c r="D178" s="12">
        <f>IF(B178="","",IFERROR(VLOOKUP(B178,Ingredientes!$A$4:$E$203,2,0),"?"))</f>
        <v/>
      </c>
      <c r="E178" s="9">
        <f>IF(B178="","",IFERROR(VLOOKUP(B178,Ingredientes!$A$4:$E$203,5,0)*C178,"ITEM NÃO CADASTRADO"))</f>
        <v/>
      </c>
      <c r="F178" s="21">
        <f>IF(A178="","",IFERROR(C178*VLOOKUP(A178,Semana!$A$5:$E$54,5,0),0))</f>
        <v/>
      </c>
    </row>
    <row r="179">
      <c r="A179" s="19" t="n"/>
      <c r="B179" s="19" t="n"/>
      <c r="C179" s="22" t="n"/>
      <c r="D179" s="12">
        <f>IF(B179="","",IFERROR(VLOOKUP(B179,Ingredientes!$A$4:$E$203,2,0),"?"))</f>
        <v/>
      </c>
      <c r="E179" s="9">
        <f>IF(B179="","",IFERROR(VLOOKUP(B179,Ingredientes!$A$4:$E$203,5,0)*C179,"ITEM NÃO CADASTRADO"))</f>
        <v/>
      </c>
      <c r="F179" s="21">
        <f>IF(A179="","",IFERROR(C179*VLOOKUP(A179,Semana!$A$5:$E$54,5,0),0))</f>
        <v/>
      </c>
    </row>
    <row r="180">
      <c r="A180" s="19" t="n"/>
      <c r="B180" s="19" t="n"/>
      <c r="C180" s="22" t="n"/>
      <c r="D180" s="12">
        <f>IF(B180="","",IFERROR(VLOOKUP(B180,Ingredientes!$A$4:$E$203,2,0),"?"))</f>
        <v/>
      </c>
      <c r="E180" s="9">
        <f>IF(B180="","",IFERROR(VLOOKUP(B180,Ingredientes!$A$4:$E$203,5,0)*C180,"ITEM NÃO CADASTRADO"))</f>
        <v/>
      </c>
      <c r="F180" s="21">
        <f>IF(A180="","",IFERROR(C180*VLOOKUP(A180,Semana!$A$5:$E$54,5,0),0))</f>
        <v/>
      </c>
    </row>
    <row r="181">
      <c r="A181" s="19" t="n"/>
      <c r="B181" s="19" t="n"/>
      <c r="C181" s="22" t="n"/>
      <c r="D181" s="12">
        <f>IF(B181="","",IFERROR(VLOOKUP(B181,Ingredientes!$A$4:$E$203,2,0),"?"))</f>
        <v/>
      </c>
      <c r="E181" s="9">
        <f>IF(B181="","",IFERROR(VLOOKUP(B181,Ingredientes!$A$4:$E$203,5,0)*C181,"ITEM NÃO CADASTRADO"))</f>
        <v/>
      </c>
      <c r="F181" s="21">
        <f>IF(A181="","",IFERROR(C181*VLOOKUP(A181,Semana!$A$5:$E$54,5,0),0))</f>
        <v/>
      </c>
    </row>
    <row r="182">
      <c r="A182" s="19" t="n"/>
      <c r="B182" s="19" t="n"/>
      <c r="C182" s="22" t="n"/>
      <c r="D182" s="12">
        <f>IF(B182="","",IFERROR(VLOOKUP(B182,Ingredientes!$A$4:$E$203,2,0),"?"))</f>
        <v/>
      </c>
      <c r="E182" s="9">
        <f>IF(B182="","",IFERROR(VLOOKUP(B182,Ingredientes!$A$4:$E$203,5,0)*C182,"ITEM NÃO CADASTRADO"))</f>
        <v/>
      </c>
      <c r="F182" s="21">
        <f>IF(A182="","",IFERROR(C182*VLOOKUP(A182,Semana!$A$5:$E$54,5,0),0))</f>
        <v/>
      </c>
    </row>
    <row r="183">
      <c r="A183" s="19" t="n"/>
      <c r="B183" s="19" t="n"/>
      <c r="C183" s="22" t="n"/>
      <c r="D183" s="12">
        <f>IF(B183="","",IFERROR(VLOOKUP(B183,Ingredientes!$A$4:$E$203,2,0),"?"))</f>
        <v/>
      </c>
      <c r="E183" s="9">
        <f>IF(B183="","",IFERROR(VLOOKUP(B183,Ingredientes!$A$4:$E$203,5,0)*C183,"ITEM NÃO CADASTRADO"))</f>
        <v/>
      </c>
      <c r="F183" s="21">
        <f>IF(A183="","",IFERROR(C183*VLOOKUP(A183,Semana!$A$5:$E$54,5,0),0))</f>
        <v/>
      </c>
    </row>
    <row r="184">
      <c r="A184" s="19" t="n"/>
      <c r="B184" s="19" t="n"/>
      <c r="C184" s="22" t="n"/>
      <c r="D184" s="12">
        <f>IF(B184="","",IFERROR(VLOOKUP(B184,Ingredientes!$A$4:$E$203,2,0),"?"))</f>
        <v/>
      </c>
      <c r="E184" s="9">
        <f>IF(B184="","",IFERROR(VLOOKUP(B184,Ingredientes!$A$4:$E$203,5,0)*C184,"ITEM NÃO CADASTRADO"))</f>
        <v/>
      </c>
      <c r="F184" s="21">
        <f>IF(A184="","",IFERROR(C184*VLOOKUP(A184,Semana!$A$5:$E$54,5,0),0))</f>
        <v/>
      </c>
    </row>
    <row r="185">
      <c r="A185" s="19" t="n"/>
      <c r="B185" s="19" t="n"/>
      <c r="C185" s="22" t="n"/>
      <c r="D185" s="12">
        <f>IF(B185="","",IFERROR(VLOOKUP(B185,Ingredientes!$A$4:$E$203,2,0),"?"))</f>
        <v/>
      </c>
      <c r="E185" s="9">
        <f>IF(B185="","",IFERROR(VLOOKUP(B185,Ingredientes!$A$4:$E$203,5,0)*C185,"ITEM NÃO CADASTRADO"))</f>
        <v/>
      </c>
      <c r="F185" s="21">
        <f>IF(A185="","",IFERROR(C185*VLOOKUP(A185,Semana!$A$5:$E$54,5,0),0))</f>
        <v/>
      </c>
    </row>
    <row r="186">
      <c r="A186" s="19" t="n"/>
      <c r="B186" s="19" t="n"/>
      <c r="C186" s="22" t="n"/>
      <c r="D186" s="12">
        <f>IF(B186="","",IFERROR(VLOOKUP(B186,Ingredientes!$A$4:$E$203,2,0),"?"))</f>
        <v/>
      </c>
      <c r="E186" s="9">
        <f>IF(B186="","",IFERROR(VLOOKUP(B186,Ingredientes!$A$4:$E$203,5,0)*C186,"ITEM NÃO CADASTRADO"))</f>
        <v/>
      </c>
      <c r="F186" s="21">
        <f>IF(A186="","",IFERROR(C186*VLOOKUP(A186,Semana!$A$5:$E$54,5,0),0))</f>
        <v/>
      </c>
    </row>
    <row r="187">
      <c r="A187" s="19" t="n"/>
      <c r="B187" s="19" t="n"/>
      <c r="C187" s="22" t="n"/>
      <c r="D187" s="12">
        <f>IF(B187="","",IFERROR(VLOOKUP(B187,Ingredientes!$A$4:$E$203,2,0),"?"))</f>
        <v/>
      </c>
      <c r="E187" s="9">
        <f>IF(B187="","",IFERROR(VLOOKUP(B187,Ingredientes!$A$4:$E$203,5,0)*C187,"ITEM NÃO CADASTRADO"))</f>
        <v/>
      </c>
      <c r="F187" s="21">
        <f>IF(A187="","",IFERROR(C187*VLOOKUP(A187,Semana!$A$5:$E$54,5,0),0))</f>
        <v/>
      </c>
    </row>
    <row r="188">
      <c r="A188" s="19" t="n"/>
      <c r="B188" s="19" t="n"/>
      <c r="C188" s="22" t="n"/>
      <c r="D188" s="12">
        <f>IF(B188="","",IFERROR(VLOOKUP(B188,Ingredientes!$A$4:$E$203,2,0),"?"))</f>
        <v/>
      </c>
      <c r="E188" s="9">
        <f>IF(B188="","",IFERROR(VLOOKUP(B188,Ingredientes!$A$4:$E$203,5,0)*C188,"ITEM NÃO CADASTRADO"))</f>
        <v/>
      </c>
      <c r="F188" s="21">
        <f>IF(A188="","",IFERROR(C188*VLOOKUP(A188,Semana!$A$5:$E$54,5,0),0))</f>
        <v/>
      </c>
    </row>
    <row r="189">
      <c r="A189" s="19" t="n"/>
      <c r="B189" s="19" t="n"/>
      <c r="C189" s="22" t="n"/>
      <c r="D189" s="12">
        <f>IF(B189="","",IFERROR(VLOOKUP(B189,Ingredientes!$A$4:$E$203,2,0),"?"))</f>
        <v/>
      </c>
      <c r="E189" s="9">
        <f>IF(B189="","",IFERROR(VLOOKUP(B189,Ingredientes!$A$4:$E$203,5,0)*C189,"ITEM NÃO CADASTRADO"))</f>
        <v/>
      </c>
      <c r="F189" s="21">
        <f>IF(A189="","",IFERROR(C189*VLOOKUP(A189,Semana!$A$5:$E$54,5,0),0))</f>
        <v/>
      </c>
    </row>
    <row r="190">
      <c r="A190" s="19" t="n"/>
      <c r="B190" s="19" t="n"/>
      <c r="C190" s="22" t="n"/>
      <c r="D190" s="12">
        <f>IF(B190="","",IFERROR(VLOOKUP(B190,Ingredientes!$A$4:$E$203,2,0),"?"))</f>
        <v/>
      </c>
      <c r="E190" s="9">
        <f>IF(B190="","",IFERROR(VLOOKUP(B190,Ingredientes!$A$4:$E$203,5,0)*C190,"ITEM NÃO CADASTRADO"))</f>
        <v/>
      </c>
      <c r="F190" s="21">
        <f>IF(A190="","",IFERROR(C190*VLOOKUP(A190,Semana!$A$5:$E$54,5,0),0))</f>
        <v/>
      </c>
    </row>
    <row r="191">
      <c r="A191" s="19" t="n"/>
      <c r="B191" s="19" t="n"/>
      <c r="C191" s="22" t="n"/>
      <c r="D191" s="12">
        <f>IF(B191="","",IFERROR(VLOOKUP(B191,Ingredientes!$A$4:$E$203,2,0),"?"))</f>
        <v/>
      </c>
      <c r="E191" s="9">
        <f>IF(B191="","",IFERROR(VLOOKUP(B191,Ingredientes!$A$4:$E$203,5,0)*C191,"ITEM NÃO CADASTRADO"))</f>
        <v/>
      </c>
      <c r="F191" s="21">
        <f>IF(A191="","",IFERROR(C191*VLOOKUP(A191,Semana!$A$5:$E$54,5,0),0))</f>
        <v/>
      </c>
    </row>
    <row r="192">
      <c r="A192" s="19" t="n"/>
      <c r="B192" s="19" t="n"/>
      <c r="C192" s="22" t="n"/>
      <c r="D192" s="12">
        <f>IF(B192="","",IFERROR(VLOOKUP(B192,Ingredientes!$A$4:$E$203,2,0),"?"))</f>
        <v/>
      </c>
      <c r="E192" s="9">
        <f>IF(B192="","",IFERROR(VLOOKUP(B192,Ingredientes!$A$4:$E$203,5,0)*C192,"ITEM NÃO CADASTRADO"))</f>
        <v/>
      </c>
      <c r="F192" s="21">
        <f>IF(A192="","",IFERROR(C192*VLOOKUP(A192,Semana!$A$5:$E$54,5,0),0))</f>
        <v/>
      </c>
    </row>
    <row r="193">
      <c r="A193" s="19" t="n"/>
      <c r="B193" s="19" t="n"/>
      <c r="C193" s="22" t="n"/>
      <c r="D193" s="12">
        <f>IF(B193="","",IFERROR(VLOOKUP(B193,Ingredientes!$A$4:$E$203,2,0),"?"))</f>
        <v/>
      </c>
      <c r="E193" s="9">
        <f>IF(B193="","",IFERROR(VLOOKUP(B193,Ingredientes!$A$4:$E$203,5,0)*C193,"ITEM NÃO CADASTRADO"))</f>
        <v/>
      </c>
      <c r="F193" s="21">
        <f>IF(A193="","",IFERROR(C193*VLOOKUP(A193,Semana!$A$5:$E$54,5,0),0))</f>
        <v/>
      </c>
    </row>
    <row r="194">
      <c r="A194" s="19" t="n"/>
      <c r="B194" s="19" t="n"/>
      <c r="C194" s="22" t="n"/>
      <c r="D194" s="12">
        <f>IF(B194="","",IFERROR(VLOOKUP(B194,Ingredientes!$A$4:$E$203,2,0),"?"))</f>
        <v/>
      </c>
      <c r="E194" s="9">
        <f>IF(B194="","",IFERROR(VLOOKUP(B194,Ingredientes!$A$4:$E$203,5,0)*C194,"ITEM NÃO CADASTRADO"))</f>
        <v/>
      </c>
      <c r="F194" s="21">
        <f>IF(A194="","",IFERROR(C194*VLOOKUP(A194,Semana!$A$5:$E$54,5,0),0))</f>
        <v/>
      </c>
    </row>
    <row r="195">
      <c r="A195" s="19" t="n"/>
      <c r="B195" s="19" t="n"/>
      <c r="C195" s="22" t="n"/>
      <c r="D195" s="12">
        <f>IF(B195="","",IFERROR(VLOOKUP(B195,Ingredientes!$A$4:$E$203,2,0),"?"))</f>
        <v/>
      </c>
      <c r="E195" s="9">
        <f>IF(B195="","",IFERROR(VLOOKUP(B195,Ingredientes!$A$4:$E$203,5,0)*C195,"ITEM NÃO CADASTRADO"))</f>
        <v/>
      </c>
      <c r="F195" s="21">
        <f>IF(A195="","",IFERROR(C195*VLOOKUP(A195,Semana!$A$5:$E$54,5,0),0))</f>
        <v/>
      </c>
    </row>
    <row r="196">
      <c r="A196" s="19" t="n"/>
      <c r="B196" s="19" t="n"/>
      <c r="C196" s="22" t="n"/>
      <c r="D196" s="12">
        <f>IF(B196="","",IFERROR(VLOOKUP(B196,Ingredientes!$A$4:$E$203,2,0),"?"))</f>
        <v/>
      </c>
      <c r="E196" s="9">
        <f>IF(B196="","",IFERROR(VLOOKUP(B196,Ingredientes!$A$4:$E$203,5,0)*C196,"ITEM NÃO CADASTRADO"))</f>
        <v/>
      </c>
      <c r="F196" s="21">
        <f>IF(A196="","",IFERROR(C196*VLOOKUP(A196,Semana!$A$5:$E$54,5,0),0))</f>
        <v/>
      </c>
    </row>
    <row r="197">
      <c r="A197" s="19" t="n"/>
      <c r="B197" s="19" t="n"/>
      <c r="C197" s="22" t="n"/>
      <c r="D197" s="12">
        <f>IF(B197="","",IFERROR(VLOOKUP(B197,Ingredientes!$A$4:$E$203,2,0),"?"))</f>
        <v/>
      </c>
      <c r="E197" s="9">
        <f>IF(B197="","",IFERROR(VLOOKUP(B197,Ingredientes!$A$4:$E$203,5,0)*C197,"ITEM NÃO CADASTRADO"))</f>
        <v/>
      </c>
      <c r="F197" s="21">
        <f>IF(A197="","",IFERROR(C197*VLOOKUP(A197,Semana!$A$5:$E$54,5,0),0))</f>
        <v/>
      </c>
    </row>
    <row r="198">
      <c r="A198" s="19" t="n"/>
      <c r="B198" s="19" t="n"/>
      <c r="C198" s="22" t="n"/>
      <c r="D198" s="12">
        <f>IF(B198="","",IFERROR(VLOOKUP(B198,Ingredientes!$A$4:$E$203,2,0),"?"))</f>
        <v/>
      </c>
      <c r="E198" s="9">
        <f>IF(B198="","",IFERROR(VLOOKUP(B198,Ingredientes!$A$4:$E$203,5,0)*C198,"ITEM NÃO CADASTRADO"))</f>
        <v/>
      </c>
      <c r="F198" s="21">
        <f>IF(A198="","",IFERROR(C198*VLOOKUP(A198,Semana!$A$5:$E$54,5,0),0))</f>
        <v/>
      </c>
    </row>
    <row r="199">
      <c r="A199" s="19" t="n"/>
      <c r="B199" s="19" t="n"/>
      <c r="C199" s="22" t="n"/>
      <c r="D199" s="12">
        <f>IF(B199="","",IFERROR(VLOOKUP(B199,Ingredientes!$A$4:$E$203,2,0),"?"))</f>
        <v/>
      </c>
      <c r="E199" s="9">
        <f>IF(B199="","",IFERROR(VLOOKUP(B199,Ingredientes!$A$4:$E$203,5,0)*C199,"ITEM NÃO CADASTRADO"))</f>
        <v/>
      </c>
      <c r="F199" s="21">
        <f>IF(A199="","",IFERROR(C199*VLOOKUP(A199,Semana!$A$5:$E$54,5,0),0))</f>
        <v/>
      </c>
    </row>
    <row r="200">
      <c r="A200" s="19" t="n"/>
      <c r="B200" s="19" t="n"/>
      <c r="C200" s="22" t="n"/>
      <c r="D200" s="12">
        <f>IF(B200="","",IFERROR(VLOOKUP(B200,Ingredientes!$A$4:$E$203,2,0),"?"))</f>
        <v/>
      </c>
      <c r="E200" s="9">
        <f>IF(B200="","",IFERROR(VLOOKUP(B200,Ingredientes!$A$4:$E$203,5,0)*C200,"ITEM NÃO CADASTRADO"))</f>
        <v/>
      </c>
      <c r="F200" s="21">
        <f>IF(A200="","",IFERROR(C200*VLOOKUP(A200,Semana!$A$5:$E$54,5,0),0))</f>
        <v/>
      </c>
    </row>
    <row r="201">
      <c r="A201" s="19" t="n"/>
      <c r="B201" s="19" t="n"/>
      <c r="C201" s="22" t="n"/>
      <c r="D201" s="12">
        <f>IF(B201="","",IFERROR(VLOOKUP(B201,Ingredientes!$A$4:$E$203,2,0),"?"))</f>
        <v/>
      </c>
      <c r="E201" s="9">
        <f>IF(B201="","",IFERROR(VLOOKUP(B201,Ingredientes!$A$4:$E$203,5,0)*C201,"ITEM NÃO CADASTRADO"))</f>
        <v/>
      </c>
      <c r="F201" s="21">
        <f>IF(A201="","",IFERROR(C201*VLOOKUP(A201,Semana!$A$5:$E$54,5,0),0))</f>
        <v/>
      </c>
    </row>
    <row r="202">
      <c r="A202" s="19" t="n"/>
      <c r="B202" s="19" t="n"/>
      <c r="C202" s="22" t="n"/>
      <c r="D202" s="12">
        <f>IF(B202="","",IFERROR(VLOOKUP(B202,Ingredientes!$A$4:$E$203,2,0),"?"))</f>
        <v/>
      </c>
      <c r="E202" s="9">
        <f>IF(B202="","",IFERROR(VLOOKUP(B202,Ingredientes!$A$4:$E$203,5,0)*C202,"ITEM NÃO CADASTRADO"))</f>
        <v/>
      </c>
      <c r="F202" s="21">
        <f>IF(A202="","",IFERROR(C202*VLOOKUP(A202,Semana!$A$5:$E$54,5,0),0))</f>
        <v/>
      </c>
    </row>
    <row r="203">
      <c r="A203" s="19" t="n"/>
      <c r="B203" s="19" t="n"/>
      <c r="C203" s="22" t="n"/>
      <c r="D203" s="12">
        <f>IF(B203="","",IFERROR(VLOOKUP(B203,Ingredientes!$A$4:$E$203,2,0),"?"))</f>
        <v/>
      </c>
      <c r="E203" s="9">
        <f>IF(B203="","",IFERROR(VLOOKUP(B203,Ingredientes!$A$4:$E$203,5,0)*C203,"ITEM NÃO CADASTRADO"))</f>
        <v/>
      </c>
      <c r="F203" s="21">
        <f>IF(A203="","",IFERROR(C203*VLOOKUP(A203,Semana!$A$5:$E$54,5,0),0))</f>
        <v/>
      </c>
    </row>
    <row r="204">
      <c r="A204" s="19" t="n"/>
      <c r="B204" s="19" t="n"/>
      <c r="C204" s="22" t="n"/>
      <c r="D204" s="12">
        <f>IF(B204="","",IFERROR(VLOOKUP(B204,Ingredientes!$A$4:$E$203,2,0),"?"))</f>
        <v/>
      </c>
      <c r="E204" s="9">
        <f>IF(B204="","",IFERROR(VLOOKUP(B204,Ingredientes!$A$4:$E$203,5,0)*C204,"ITEM NÃO CADASTRADO"))</f>
        <v/>
      </c>
      <c r="F204" s="21">
        <f>IF(A204="","",IFERROR(C204*VLOOKUP(A204,Semana!$A$5:$E$54,5,0),0))</f>
        <v/>
      </c>
    </row>
    <row r="205">
      <c r="A205" s="19" t="n"/>
      <c r="B205" s="19" t="n"/>
      <c r="C205" s="22" t="n"/>
      <c r="D205" s="12">
        <f>IF(B205="","",IFERROR(VLOOKUP(B205,Ingredientes!$A$4:$E$203,2,0),"?"))</f>
        <v/>
      </c>
      <c r="E205" s="9">
        <f>IF(B205="","",IFERROR(VLOOKUP(B205,Ingredientes!$A$4:$E$203,5,0)*C205,"ITEM NÃO CADASTRADO"))</f>
        <v/>
      </c>
      <c r="F205" s="21">
        <f>IF(A205="","",IFERROR(C205*VLOOKUP(A205,Semana!$A$5:$E$54,5,0),0))</f>
        <v/>
      </c>
    </row>
    <row r="206">
      <c r="A206" s="19" t="n"/>
      <c r="B206" s="19" t="n"/>
      <c r="C206" s="22" t="n"/>
      <c r="D206" s="12">
        <f>IF(B206="","",IFERROR(VLOOKUP(B206,Ingredientes!$A$4:$E$203,2,0),"?"))</f>
        <v/>
      </c>
      <c r="E206" s="9">
        <f>IF(B206="","",IFERROR(VLOOKUP(B206,Ingredientes!$A$4:$E$203,5,0)*C206,"ITEM NÃO CADASTRADO"))</f>
        <v/>
      </c>
      <c r="F206" s="21">
        <f>IF(A206="","",IFERROR(C206*VLOOKUP(A206,Semana!$A$5:$E$54,5,0),0))</f>
        <v/>
      </c>
    </row>
    <row r="207">
      <c r="A207" s="19" t="n"/>
      <c r="B207" s="19" t="n"/>
      <c r="C207" s="22" t="n"/>
      <c r="D207" s="12">
        <f>IF(B207="","",IFERROR(VLOOKUP(B207,Ingredientes!$A$4:$E$203,2,0),"?"))</f>
        <v/>
      </c>
      <c r="E207" s="9">
        <f>IF(B207="","",IFERROR(VLOOKUP(B207,Ingredientes!$A$4:$E$203,5,0)*C207,"ITEM NÃO CADASTRADO"))</f>
        <v/>
      </c>
      <c r="F207" s="21">
        <f>IF(A207="","",IFERROR(C207*VLOOKUP(A207,Semana!$A$5:$E$54,5,0),0))</f>
        <v/>
      </c>
    </row>
    <row r="208">
      <c r="A208" s="19" t="n"/>
      <c r="B208" s="19" t="n"/>
      <c r="C208" s="22" t="n"/>
      <c r="D208" s="12">
        <f>IF(B208="","",IFERROR(VLOOKUP(B208,Ingredientes!$A$4:$E$203,2,0),"?"))</f>
        <v/>
      </c>
      <c r="E208" s="9">
        <f>IF(B208="","",IFERROR(VLOOKUP(B208,Ingredientes!$A$4:$E$203,5,0)*C208,"ITEM NÃO CADASTRADO"))</f>
        <v/>
      </c>
      <c r="F208" s="21">
        <f>IF(A208="","",IFERROR(C208*VLOOKUP(A208,Semana!$A$5:$E$54,5,0),0))</f>
        <v/>
      </c>
    </row>
    <row r="209">
      <c r="A209" s="19" t="n"/>
      <c r="B209" s="19" t="n"/>
      <c r="C209" s="22" t="n"/>
      <c r="D209" s="12">
        <f>IF(B209="","",IFERROR(VLOOKUP(B209,Ingredientes!$A$4:$E$203,2,0),"?"))</f>
        <v/>
      </c>
      <c r="E209" s="9">
        <f>IF(B209="","",IFERROR(VLOOKUP(B209,Ingredientes!$A$4:$E$203,5,0)*C209,"ITEM NÃO CADASTRADO"))</f>
        <v/>
      </c>
      <c r="F209" s="21">
        <f>IF(A209="","",IFERROR(C209*VLOOKUP(A209,Semana!$A$5:$E$54,5,0),0))</f>
        <v/>
      </c>
    </row>
    <row r="210">
      <c r="A210" s="19" t="n"/>
      <c r="B210" s="19" t="n"/>
      <c r="C210" s="22" t="n"/>
      <c r="D210" s="12">
        <f>IF(B210="","",IFERROR(VLOOKUP(B210,Ingredientes!$A$4:$E$203,2,0),"?"))</f>
        <v/>
      </c>
      <c r="E210" s="9">
        <f>IF(B210="","",IFERROR(VLOOKUP(B210,Ingredientes!$A$4:$E$203,5,0)*C210,"ITEM NÃO CADASTRADO"))</f>
        <v/>
      </c>
      <c r="F210" s="21">
        <f>IF(A210="","",IFERROR(C210*VLOOKUP(A210,Semana!$A$5:$E$54,5,0),0))</f>
        <v/>
      </c>
    </row>
    <row r="211">
      <c r="A211" s="19" t="n"/>
      <c r="B211" s="19" t="n"/>
      <c r="C211" s="22" t="n"/>
      <c r="D211" s="12">
        <f>IF(B211="","",IFERROR(VLOOKUP(B211,Ingredientes!$A$4:$E$203,2,0),"?"))</f>
        <v/>
      </c>
      <c r="E211" s="9">
        <f>IF(B211="","",IFERROR(VLOOKUP(B211,Ingredientes!$A$4:$E$203,5,0)*C211,"ITEM NÃO CADASTRADO"))</f>
        <v/>
      </c>
      <c r="F211" s="21">
        <f>IF(A211="","",IFERROR(C211*VLOOKUP(A211,Semana!$A$5:$E$54,5,0),0))</f>
        <v/>
      </c>
    </row>
    <row r="212">
      <c r="A212" s="19" t="n"/>
      <c r="B212" s="19" t="n"/>
      <c r="C212" s="22" t="n"/>
      <c r="D212" s="12">
        <f>IF(B212="","",IFERROR(VLOOKUP(B212,Ingredientes!$A$4:$E$203,2,0),"?"))</f>
        <v/>
      </c>
      <c r="E212" s="9">
        <f>IF(B212="","",IFERROR(VLOOKUP(B212,Ingredientes!$A$4:$E$203,5,0)*C212,"ITEM NÃO CADASTRADO"))</f>
        <v/>
      </c>
      <c r="F212" s="21">
        <f>IF(A212="","",IFERROR(C212*VLOOKUP(A212,Semana!$A$5:$E$54,5,0),0))</f>
        <v/>
      </c>
    </row>
    <row r="213">
      <c r="A213" s="19" t="n"/>
      <c r="B213" s="19" t="n"/>
      <c r="C213" s="22" t="n"/>
      <c r="D213" s="12">
        <f>IF(B213="","",IFERROR(VLOOKUP(B213,Ingredientes!$A$4:$E$203,2,0),"?"))</f>
        <v/>
      </c>
      <c r="E213" s="9">
        <f>IF(B213="","",IFERROR(VLOOKUP(B213,Ingredientes!$A$4:$E$203,5,0)*C213,"ITEM NÃO CADASTRADO"))</f>
        <v/>
      </c>
      <c r="F213" s="21">
        <f>IF(A213="","",IFERROR(C213*VLOOKUP(A213,Semana!$A$5:$E$54,5,0),0))</f>
        <v/>
      </c>
    </row>
    <row r="214">
      <c r="A214" s="19" t="n"/>
      <c r="B214" s="19" t="n"/>
      <c r="C214" s="22" t="n"/>
      <c r="D214" s="12">
        <f>IF(B214="","",IFERROR(VLOOKUP(B214,Ingredientes!$A$4:$E$203,2,0),"?"))</f>
        <v/>
      </c>
      <c r="E214" s="9">
        <f>IF(B214="","",IFERROR(VLOOKUP(B214,Ingredientes!$A$4:$E$203,5,0)*C214,"ITEM NÃO CADASTRADO"))</f>
        <v/>
      </c>
      <c r="F214" s="21">
        <f>IF(A214="","",IFERROR(C214*VLOOKUP(A214,Semana!$A$5:$E$54,5,0),0))</f>
        <v/>
      </c>
    </row>
    <row r="215">
      <c r="A215" s="19" t="n"/>
      <c r="B215" s="19" t="n"/>
      <c r="C215" s="22" t="n"/>
      <c r="D215" s="12">
        <f>IF(B215="","",IFERROR(VLOOKUP(B215,Ingredientes!$A$4:$E$203,2,0),"?"))</f>
        <v/>
      </c>
      <c r="E215" s="9">
        <f>IF(B215="","",IFERROR(VLOOKUP(B215,Ingredientes!$A$4:$E$203,5,0)*C215,"ITEM NÃO CADASTRADO"))</f>
        <v/>
      </c>
      <c r="F215" s="21">
        <f>IF(A215="","",IFERROR(C215*VLOOKUP(A215,Semana!$A$5:$E$54,5,0),0))</f>
        <v/>
      </c>
    </row>
    <row r="216">
      <c r="A216" s="19" t="n"/>
      <c r="B216" s="19" t="n"/>
      <c r="C216" s="22" t="n"/>
      <c r="D216" s="12">
        <f>IF(B216="","",IFERROR(VLOOKUP(B216,Ingredientes!$A$4:$E$203,2,0),"?"))</f>
        <v/>
      </c>
      <c r="E216" s="9">
        <f>IF(B216="","",IFERROR(VLOOKUP(B216,Ingredientes!$A$4:$E$203,5,0)*C216,"ITEM NÃO CADASTRADO"))</f>
        <v/>
      </c>
      <c r="F216" s="21">
        <f>IF(A216="","",IFERROR(C216*VLOOKUP(A216,Semana!$A$5:$E$54,5,0),0))</f>
        <v/>
      </c>
    </row>
    <row r="217">
      <c r="A217" s="19" t="n"/>
      <c r="B217" s="19" t="n"/>
      <c r="C217" s="22" t="n"/>
      <c r="D217" s="12">
        <f>IF(B217="","",IFERROR(VLOOKUP(B217,Ingredientes!$A$4:$E$203,2,0),"?"))</f>
        <v/>
      </c>
      <c r="E217" s="9">
        <f>IF(B217="","",IFERROR(VLOOKUP(B217,Ingredientes!$A$4:$E$203,5,0)*C217,"ITEM NÃO CADASTRADO"))</f>
        <v/>
      </c>
      <c r="F217" s="21">
        <f>IF(A217="","",IFERROR(C217*VLOOKUP(A217,Semana!$A$5:$E$54,5,0),0))</f>
        <v/>
      </c>
    </row>
    <row r="218">
      <c r="A218" s="19" t="n"/>
      <c r="B218" s="19" t="n"/>
      <c r="C218" s="22" t="n"/>
      <c r="D218" s="12">
        <f>IF(B218="","",IFERROR(VLOOKUP(B218,Ingredientes!$A$4:$E$203,2,0),"?"))</f>
        <v/>
      </c>
      <c r="E218" s="9">
        <f>IF(B218="","",IFERROR(VLOOKUP(B218,Ingredientes!$A$4:$E$203,5,0)*C218,"ITEM NÃO CADASTRADO"))</f>
        <v/>
      </c>
      <c r="F218" s="21">
        <f>IF(A218="","",IFERROR(C218*VLOOKUP(A218,Semana!$A$5:$E$54,5,0),0))</f>
        <v/>
      </c>
    </row>
    <row r="219">
      <c r="A219" s="19" t="n"/>
      <c r="B219" s="19" t="n"/>
      <c r="C219" s="22" t="n"/>
      <c r="D219" s="12">
        <f>IF(B219="","",IFERROR(VLOOKUP(B219,Ingredientes!$A$4:$E$203,2,0),"?"))</f>
        <v/>
      </c>
      <c r="E219" s="9">
        <f>IF(B219="","",IFERROR(VLOOKUP(B219,Ingredientes!$A$4:$E$203,5,0)*C219,"ITEM NÃO CADASTRADO"))</f>
        <v/>
      </c>
      <c r="F219" s="21">
        <f>IF(A219="","",IFERROR(C219*VLOOKUP(A219,Semana!$A$5:$E$54,5,0),0))</f>
        <v/>
      </c>
    </row>
    <row r="220">
      <c r="A220" s="19" t="n"/>
      <c r="B220" s="19" t="n"/>
      <c r="C220" s="22" t="n"/>
      <c r="D220" s="12">
        <f>IF(B220="","",IFERROR(VLOOKUP(B220,Ingredientes!$A$4:$E$203,2,0),"?"))</f>
        <v/>
      </c>
      <c r="E220" s="9">
        <f>IF(B220="","",IFERROR(VLOOKUP(B220,Ingredientes!$A$4:$E$203,5,0)*C220,"ITEM NÃO CADASTRADO"))</f>
        <v/>
      </c>
      <c r="F220" s="21">
        <f>IF(A220="","",IFERROR(C220*VLOOKUP(A220,Semana!$A$5:$E$54,5,0),0))</f>
        <v/>
      </c>
    </row>
    <row r="221">
      <c r="A221" s="19" t="n"/>
      <c r="B221" s="19" t="n"/>
      <c r="C221" s="22" t="n"/>
      <c r="D221" s="12">
        <f>IF(B221="","",IFERROR(VLOOKUP(B221,Ingredientes!$A$4:$E$203,2,0),"?"))</f>
        <v/>
      </c>
      <c r="E221" s="9">
        <f>IF(B221="","",IFERROR(VLOOKUP(B221,Ingredientes!$A$4:$E$203,5,0)*C221,"ITEM NÃO CADASTRADO"))</f>
        <v/>
      </c>
      <c r="F221" s="21">
        <f>IF(A221="","",IFERROR(C221*VLOOKUP(A221,Semana!$A$5:$E$54,5,0),0))</f>
        <v/>
      </c>
    </row>
    <row r="222">
      <c r="A222" s="19" t="n"/>
      <c r="B222" s="19" t="n"/>
      <c r="C222" s="22" t="n"/>
      <c r="D222" s="12">
        <f>IF(B222="","",IFERROR(VLOOKUP(B222,Ingredientes!$A$4:$E$203,2,0),"?"))</f>
        <v/>
      </c>
      <c r="E222" s="9">
        <f>IF(B222="","",IFERROR(VLOOKUP(B222,Ingredientes!$A$4:$E$203,5,0)*C222,"ITEM NÃO CADASTRADO"))</f>
        <v/>
      </c>
      <c r="F222" s="21">
        <f>IF(A222="","",IFERROR(C222*VLOOKUP(A222,Semana!$A$5:$E$54,5,0),0))</f>
        <v/>
      </c>
    </row>
    <row r="223">
      <c r="A223" s="19" t="n"/>
      <c r="B223" s="19" t="n"/>
      <c r="C223" s="22" t="n"/>
      <c r="D223" s="12">
        <f>IF(B223="","",IFERROR(VLOOKUP(B223,Ingredientes!$A$4:$E$203,2,0),"?"))</f>
        <v/>
      </c>
      <c r="E223" s="9">
        <f>IF(B223="","",IFERROR(VLOOKUP(B223,Ingredientes!$A$4:$E$203,5,0)*C223,"ITEM NÃO CADASTRADO"))</f>
        <v/>
      </c>
      <c r="F223" s="21">
        <f>IF(A223="","",IFERROR(C223*VLOOKUP(A223,Semana!$A$5:$E$54,5,0),0))</f>
        <v/>
      </c>
    </row>
    <row r="224">
      <c r="A224" s="19" t="n"/>
      <c r="B224" s="19" t="n"/>
      <c r="C224" s="22" t="n"/>
      <c r="D224" s="12">
        <f>IF(B224="","",IFERROR(VLOOKUP(B224,Ingredientes!$A$4:$E$203,2,0),"?"))</f>
        <v/>
      </c>
      <c r="E224" s="9">
        <f>IF(B224="","",IFERROR(VLOOKUP(B224,Ingredientes!$A$4:$E$203,5,0)*C224,"ITEM NÃO CADASTRADO"))</f>
        <v/>
      </c>
      <c r="F224" s="21">
        <f>IF(A224="","",IFERROR(C224*VLOOKUP(A224,Semana!$A$5:$E$54,5,0),0))</f>
        <v/>
      </c>
    </row>
    <row r="225">
      <c r="A225" s="19" t="n"/>
      <c r="B225" s="19" t="n"/>
      <c r="C225" s="22" t="n"/>
      <c r="D225" s="12">
        <f>IF(B225="","",IFERROR(VLOOKUP(B225,Ingredientes!$A$4:$E$203,2,0),"?"))</f>
        <v/>
      </c>
      <c r="E225" s="9">
        <f>IF(B225="","",IFERROR(VLOOKUP(B225,Ingredientes!$A$4:$E$203,5,0)*C225,"ITEM NÃO CADASTRADO"))</f>
        <v/>
      </c>
      <c r="F225" s="21">
        <f>IF(A225="","",IFERROR(C225*VLOOKUP(A225,Semana!$A$5:$E$54,5,0),0))</f>
        <v/>
      </c>
    </row>
    <row r="226">
      <c r="A226" s="19" t="n"/>
      <c r="B226" s="19" t="n"/>
      <c r="C226" s="22" t="n"/>
      <c r="D226" s="12">
        <f>IF(B226="","",IFERROR(VLOOKUP(B226,Ingredientes!$A$4:$E$203,2,0),"?"))</f>
        <v/>
      </c>
      <c r="E226" s="9">
        <f>IF(B226="","",IFERROR(VLOOKUP(B226,Ingredientes!$A$4:$E$203,5,0)*C226,"ITEM NÃO CADASTRADO"))</f>
        <v/>
      </c>
      <c r="F226" s="21">
        <f>IF(A226="","",IFERROR(C226*VLOOKUP(A226,Semana!$A$5:$E$54,5,0),0))</f>
        <v/>
      </c>
    </row>
    <row r="227">
      <c r="A227" s="19" t="n"/>
      <c r="B227" s="19" t="n"/>
      <c r="C227" s="22" t="n"/>
      <c r="D227" s="12">
        <f>IF(B227="","",IFERROR(VLOOKUP(B227,Ingredientes!$A$4:$E$203,2,0),"?"))</f>
        <v/>
      </c>
      <c r="E227" s="9">
        <f>IF(B227="","",IFERROR(VLOOKUP(B227,Ingredientes!$A$4:$E$203,5,0)*C227,"ITEM NÃO CADASTRADO"))</f>
        <v/>
      </c>
      <c r="F227" s="21">
        <f>IF(A227="","",IFERROR(C227*VLOOKUP(A227,Semana!$A$5:$E$54,5,0),0))</f>
        <v/>
      </c>
    </row>
    <row r="228">
      <c r="A228" s="19" t="n"/>
      <c r="B228" s="19" t="n"/>
      <c r="C228" s="22" t="n"/>
      <c r="D228" s="12">
        <f>IF(B228="","",IFERROR(VLOOKUP(B228,Ingredientes!$A$4:$E$203,2,0),"?"))</f>
        <v/>
      </c>
      <c r="E228" s="9">
        <f>IF(B228="","",IFERROR(VLOOKUP(B228,Ingredientes!$A$4:$E$203,5,0)*C228,"ITEM NÃO CADASTRADO"))</f>
        <v/>
      </c>
      <c r="F228" s="21">
        <f>IF(A228="","",IFERROR(C228*VLOOKUP(A228,Semana!$A$5:$E$54,5,0),0))</f>
        <v/>
      </c>
    </row>
    <row r="229">
      <c r="A229" s="19" t="n"/>
      <c r="B229" s="19" t="n"/>
      <c r="C229" s="22" t="n"/>
      <c r="D229" s="12">
        <f>IF(B229="","",IFERROR(VLOOKUP(B229,Ingredientes!$A$4:$E$203,2,0),"?"))</f>
        <v/>
      </c>
      <c r="E229" s="9">
        <f>IF(B229="","",IFERROR(VLOOKUP(B229,Ingredientes!$A$4:$E$203,5,0)*C229,"ITEM NÃO CADASTRADO"))</f>
        <v/>
      </c>
      <c r="F229" s="21">
        <f>IF(A229="","",IFERROR(C229*VLOOKUP(A229,Semana!$A$5:$E$54,5,0),0))</f>
        <v/>
      </c>
    </row>
    <row r="230">
      <c r="A230" s="19" t="n"/>
      <c r="B230" s="19" t="n"/>
      <c r="C230" s="22" t="n"/>
      <c r="D230" s="12">
        <f>IF(B230="","",IFERROR(VLOOKUP(B230,Ingredientes!$A$4:$E$203,2,0),"?"))</f>
        <v/>
      </c>
      <c r="E230" s="9">
        <f>IF(B230="","",IFERROR(VLOOKUP(B230,Ingredientes!$A$4:$E$203,5,0)*C230,"ITEM NÃO CADASTRADO"))</f>
        <v/>
      </c>
      <c r="F230" s="21">
        <f>IF(A230="","",IFERROR(C230*VLOOKUP(A230,Semana!$A$5:$E$54,5,0),0))</f>
        <v/>
      </c>
    </row>
    <row r="231">
      <c r="A231" s="19" t="n"/>
      <c r="B231" s="19" t="n"/>
      <c r="C231" s="22" t="n"/>
      <c r="D231" s="12">
        <f>IF(B231="","",IFERROR(VLOOKUP(B231,Ingredientes!$A$4:$E$203,2,0),"?"))</f>
        <v/>
      </c>
      <c r="E231" s="9">
        <f>IF(B231="","",IFERROR(VLOOKUP(B231,Ingredientes!$A$4:$E$203,5,0)*C231,"ITEM NÃO CADASTRADO"))</f>
        <v/>
      </c>
      <c r="F231" s="21">
        <f>IF(A231="","",IFERROR(C231*VLOOKUP(A231,Semana!$A$5:$E$54,5,0),0))</f>
        <v/>
      </c>
    </row>
    <row r="232">
      <c r="A232" s="19" t="n"/>
      <c r="B232" s="19" t="n"/>
      <c r="C232" s="22" t="n"/>
      <c r="D232" s="12">
        <f>IF(B232="","",IFERROR(VLOOKUP(B232,Ingredientes!$A$4:$E$203,2,0),"?"))</f>
        <v/>
      </c>
      <c r="E232" s="9">
        <f>IF(B232="","",IFERROR(VLOOKUP(B232,Ingredientes!$A$4:$E$203,5,0)*C232,"ITEM NÃO CADASTRADO"))</f>
        <v/>
      </c>
      <c r="F232" s="21">
        <f>IF(A232="","",IFERROR(C232*VLOOKUP(A232,Semana!$A$5:$E$54,5,0),0))</f>
        <v/>
      </c>
    </row>
    <row r="233">
      <c r="A233" s="19" t="n"/>
      <c r="B233" s="19" t="n"/>
      <c r="C233" s="22" t="n"/>
      <c r="D233" s="12">
        <f>IF(B233="","",IFERROR(VLOOKUP(B233,Ingredientes!$A$4:$E$203,2,0),"?"))</f>
        <v/>
      </c>
      <c r="E233" s="9">
        <f>IF(B233="","",IFERROR(VLOOKUP(B233,Ingredientes!$A$4:$E$203,5,0)*C233,"ITEM NÃO CADASTRADO"))</f>
        <v/>
      </c>
      <c r="F233" s="21">
        <f>IF(A233="","",IFERROR(C233*VLOOKUP(A233,Semana!$A$5:$E$54,5,0),0))</f>
        <v/>
      </c>
    </row>
    <row r="234">
      <c r="A234" s="19" t="n"/>
      <c r="B234" s="19" t="n"/>
      <c r="C234" s="22" t="n"/>
      <c r="D234" s="12">
        <f>IF(B234="","",IFERROR(VLOOKUP(B234,Ingredientes!$A$4:$E$203,2,0),"?"))</f>
        <v/>
      </c>
      <c r="E234" s="9">
        <f>IF(B234="","",IFERROR(VLOOKUP(B234,Ingredientes!$A$4:$E$203,5,0)*C234,"ITEM NÃO CADASTRADO"))</f>
        <v/>
      </c>
      <c r="F234" s="21">
        <f>IF(A234="","",IFERROR(C234*VLOOKUP(A234,Semana!$A$5:$E$54,5,0),0))</f>
        <v/>
      </c>
    </row>
    <row r="235">
      <c r="A235" s="19" t="n"/>
      <c r="B235" s="19" t="n"/>
      <c r="C235" s="22" t="n"/>
      <c r="D235" s="12">
        <f>IF(B235="","",IFERROR(VLOOKUP(B235,Ingredientes!$A$4:$E$203,2,0),"?"))</f>
        <v/>
      </c>
      <c r="E235" s="9">
        <f>IF(B235="","",IFERROR(VLOOKUP(B235,Ingredientes!$A$4:$E$203,5,0)*C235,"ITEM NÃO CADASTRADO"))</f>
        <v/>
      </c>
      <c r="F235" s="21">
        <f>IF(A235="","",IFERROR(C235*VLOOKUP(A235,Semana!$A$5:$E$54,5,0),0))</f>
        <v/>
      </c>
    </row>
    <row r="236">
      <c r="A236" s="19" t="n"/>
      <c r="B236" s="19" t="n"/>
      <c r="C236" s="22" t="n"/>
      <c r="D236" s="12">
        <f>IF(B236="","",IFERROR(VLOOKUP(B236,Ingredientes!$A$4:$E$203,2,0),"?"))</f>
        <v/>
      </c>
      <c r="E236" s="9">
        <f>IF(B236="","",IFERROR(VLOOKUP(B236,Ingredientes!$A$4:$E$203,5,0)*C236,"ITEM NÃO CADASTRADO"))</f>
        <v/>
      </c>
      <c r="F236" s="21">
        <f>IF(A236="","",IFERROR(C236*VLOOKUP(A236,Semana!$A$5:$E$54,5,0),0))</f>
        <v/>
      </c>
    </row>
    <row r="237">
      <c r="A237" s="19" t="n"/>
      <c r="B237" s="19" t="n"/>
      <c r="C237" s="22" t="n"/>
      <c r="D237" s="12">
        <f>IF(B237="","",IFERROR(VLOOKUP(B237,Ingredientes!$A$4:$E$203,2,0),"?"))</f>
        <v/>
      </c>
      <c r="E237" s="9">
        <f>IF(B237="","",IFERROR(VLOOKUP(B237,Ingredientes!$A$4:$E$203,5,0)*C237,"ITEM NÃO CADASTRADO"))</f>
        <v/>
      </c>
      <c r="F237" s="21">
        <f>IF(A237="","",IFERROR(C237*VLOOKUP(A237,Semana!$A$5:$E$54,5,0),0))</f>
        <v/>
      </c>
    </row>
    <row r="238">
      <c r="A238" s="19" t="n"/>
      <c r="B238" s="19" t="n"/>
      <c r="C238" s="22" t="n"/>
      <c r="D238" s="12">
        <f>IF(B238="","",IFERROR(VLOOKUP(B238,Ingredientes!$A$4:$E$203,2,0),"?"))</f>
        <v/>
      </c>
      <c r="E238" s="9">
        <f>IF(B238="","",IFERROR(VLOOKUP(B238,Ingredientes!$A$4:$E$203,5,0)*C238,"ITEM NÃO CADASTRADO"))</f>
        <v/>
      </c>
      <c r="F238" s="21">
        <f>IF(A238="","",IFERROR(C238*VLOOKUP(A238,Semana!$A$5:$E$54,5,0),0))</f>
        <v/>
      </c>
    </row>
    <row r="239">
      <c r="A239" s="19" t="n"/>
      <c r="B239" s="19" t="n"/>
      <c r="C239" s="22" t="n"/>
      <c r="D239" s="12">
        <f>IF(B239="","",IFERROR(VLOOKUP(B239,Ingredientes!$A$4:$E$203,2,0),"?"))</f>
        <v/>
      </c>
      <c r="E239" s="9">
        <f>IF(B239="","",IFERROR(VLOOKUP(B239,Ingredientes!$A$4:$E$203,5,0)*C239,"ITEM NÃO CADASTRADO"))</f>
        <v/>
      </c>
      <c r="F239" s="21">
        <f>IF(A239="","",IFERROR(C239*VLOOKUP(A239,Semana!$A$5:$E$54,5,0),0))</f>
        <v/>
      </c>
    </row>
    <row r="240">
      <c r="A240" s="19" t="n"/>
      <c r="B240" s="19" t="n"/>
      <c r="C240" s="22" t="n"/>
      <c r="D240" s="12">
        <f>IF(B240="","",IFERROR(VLOOKUP(B240,Ingredientes!$A$4:$E$203,2,0),"?"))</f>
        <v/>
      </c>
      <c r="E240" s="9">
        <f>IF(B240="","",IFERROR(VLOOKUP(B240,Ingredientes!$A$4:$E$203,5,0)*C240,"ITEM NÃO CADASTRADO"))</f>
        <v/>
      </c>
      <c r="F240" s="21">
        <f>IF(A240="","",IFERROR(C240*VLOOKUP(A240,Semana!$A$5:$E$54,5,0),0))</f>
        <v/>
      </c>
    </row>
    <row r="241">
      <c r="A241" s="19" t="n"/>
      <c r="B241" s="19" t="n"/>
      <c r="C241" s="22" t="n"/>
      <c r="D241" s="12">
        <f>IF(B241="","",IFERROR(VLOOKUP(B241,Ingredientes!$A$4:$E$203,2,0),"?"))</f>
        <v/>
      </c>
      <c r="E241" s="9">
        <f>IF(B241="","",IFERROR(VLOOKUP(B241,Ingredientes!$A$4:$E$203,5,0)*C241,"ITEM NÃO CADASTRADO"))</f>
        <v/>
      </c>
      <c r="F241" s="21">
        <f>IF(A241="","",IFERROR(C241*VLOOKUP(A241,Semana!$A$5:$E$54,5,0),0))</f>
        <v/>
      </c>
    </row>
    <row r="242">
      <c r="A242" s="19" t="n"/>
      <c r="B242" s="19" t="n"/>
      <c r="C242" s="22" t="n"/>
      <c r="D242" s="12">
        <f>IF(B242="","",IFERROR(VLOOKUP(B242,Ingredientes!$A$4:$E$203,2,0),"?"))</f>
        <v/>
      </c>
      <c r="E242" s="9">
        <f>IF(B242="","",IFERROR(VLOOKUP(B242,Ingredientes!$A$4:$E$203,5,0)*C242,"ITEM NÃO CADASTRADO"))</f>
        <v/>
      </c>
      <c r="F242" s="21">
        <f>IF(A242="","",IFERROR(C242*VLOOKUP(A242,Semana!$A$5:$E$54,5,0),0))</f>
        <v/>
      </c>
    </row>
    <row r="243">
      <c r="A243" s="19" t="n"/>
      <c r="B243" s="19" t="n"/>
      <c r="C243" s="22" t="n"/>
      <c r="D243" s="12">
        <f>IF(B243="","",IFERROR(VLOOKUP(B243,Ingredientes!$A$4:$E$203,2,0),"?"))</f>
        <v/>
      </c>
      <c r="E243" s="9">
        <f>IF(B243="","",IFERROR(VLOOKUP(B243,Ingredientes!$A$4:$E$203,5,0)*C243,"ITEM NÃO CADASTRADO"))</f>
        <v/>
      </c>
      <c r="F243" s="21">
        <f>IF(A243="","",IFERROR(C243*VLOOKUP(A243,Semana!$A$5:$E$54,5,0),0))</f>
        <v/>
      </c>
    </row>
    <row r="244">
      <c r="A244" s="19" t="n"/>
      <c r="B244" s="19" t="n"/>
      <c r="C244" s="22" t="n"/>
      <c r="D244" s="12">
        <f>IF(B244="","",IFERROR(VLOOKUP(B244,Ingredientes!$A$4:$E$203,2,0),"?"))</f>
        <v/>
      </c>
      <c r="E244" s="9">
        <f>IF(B244="","",IFERROR(VLOOKUP(B244,Ingredientes!$A$4:$E$203,5,0)*C244,"ITEM NÃO CADASTRADO"))</f>
        <v/>
      </c>
      <c r="F244" s="21">
        <f>IF(A244="","",IFERROR(C244*VLOOKUP(A244,Semana!$A$5:$E$54,5,0),0))</f>
        <v/>
      </c>
    </row>
    <row r="245">
      <c r="A245" s="19" t="n"/>
      <c r="B245" s="19" t="n"/>
      <c r="C245" s="22" t="n"/>
      <c r="D245" s="12">
        <f>IF(B245="","",IFERROR(VLOOKUP(B245,Ingredientes!$A$4:$E$203,2,0),"?"))</f>
        <v/>
      </c>
      <c r="E245" s="9">
        <f>IF(B245="","",IFERROR(VLOOKUP(B245,Ingredientes!$A$4:$E$203,5,0)*C245,"ITEM NÃO CADASTRADO"))</f>
        <v/>
      </c>
      <c r="F245" s="21">
        <f>IF(A245="","",IFERROR(C245*VLOOKUP(A245,Semana!$A$5:$E$54,5,0),0))</f>
        <v/>
      </c>
    </row>
    <row r="246">
      <c r="A246" s="19" t="n"/>
      <c r="B246" s="19" t="n"/>
      <c r="C246" s="22" t="n"/>
      <c r="D246" s="12">
        <f>IF(B246="","",IFERROR(VLOOKUP(B246,Ingredientes!$A$4:$E$203,2,0),"?"))</f>
        <v/>
      </c>
      <c r="E246" s="9">
        <f>IF(B246="","",IFERROR(VLOOKUP(B246,Ingredientes!$A$4:$E$203,5,0)*C246,"ITEM NÃO CADASTRADO"))</f>
        <v/>
      </c>
      <c r="F246" s="21">
        <f>IF(A246="","",IFERROR(C246*VLOOKUP(A246,Semana!$A$5:$E$54,5,0),0))</f>
        <v/>
      </c>
    </row>
    <row r="247">
      <c r="A247" s="19" t="n"/>
      <c r="B247" s="19" t="n"/>
      <c r="C247" s="22" t="n"/>
      <c r="D247" s="12">
        <f>IF(B247="","",IFERROR(VLOOKUP(B247,Ingredientes!$A$4:$E$203,2,0),"?"))</f>
        <v/>
      </c>
      <c r="E247" s="9">
        <f>IF(B247="","",IFERROR(VLOOKUP(B247,Ingredientes!$A$4:$E$203,5,0)*C247,"ITEM NÃO CADASTRADO"))</f>
        <v/>
      </c>
      <c r="F247" s="21">
        <f>IF(A247="","",IFERROR(C247*VLOOKUP(A247,Semana!$A$5:$E$54,5,0),0))</f>
        <v/>
      </c>
    </row>
    <row r="248">
      <c r="A248" s="19" t="n"/>
      <c r="B248" s="19" t="n"/>
      <c r="C248" s="22" t="n"/>
      <c r="D248" s="12">
        <f>IF(B248="","",IFERROR(VLOOKUP(B248,Ingredientes!$A$4:$E$203,2,0),"?"))</f>
        <v/>
      </c>
      <c r="E248" s="9">
        <f>IF(B248="","",IFERROR(VLOOKUP(B248,Ingredientes!$A$4:$E$203,5,0)*C248,"ITEM NÃO CADASTRADO"))</f>
        <v/>
      </c>
      <c r="F248" s="21">
        <f>IF(A248="","",IFERROR(C248*VLOOKUP(A248,Semana!$A$5:$E$54,5,0),0))</f>
        <v/>
      </c>
    </row>
    <row r="249">
      <c r="A249" s="19" t="n"/>
      <c r="B249" s="19" t="n"/>
      <c r="C249" s="22" t="n"/>
      <c r="D249" s="12">
        <f>IF(B249="","",IFERROR(VLOOKUP(B249,Ingredientes!$A$4:$E$203,2,0),"?"))</f>
        <v/>
      </c>
      <c r="E249" s="9">
        <f>IF(B249="","",IFERROR(VLOOKUP(B249,Ingredientes!$A$4:$E$203,5,0)*C249,"ITEM NÃO CADASTRADO"))</f>
        <v/>
      </c>
      <c r="F249" s="21">
        <f>IF(A249="","",IFERROR(C249*VLOOKUP(A249,Semana!$A$5:$E$54,5,0),0))</f>
        <v/>
      </c>
    </row>
    <row r="250">
      <c r="A250" s="19" t="n"/>
      <c r="B250" s="19" t="n"/>
      <c r="C250" s="22" t="n"/>
      <c r="D250" s="12">
        <f>IF(B250="","",IFERROR(VLOOKUP(B250,Ingredientes!$A$4:$E$203,2,0),"?"))</f>
        <v/>
      </c>
      <c r="E250" s="9">
        <f>IF(B250="","",IFERROR(VLOOKUP(B250,Ingredientes!$A$4:$E$203,5,0)*C250,"ITEM NÃO CADASTRADO"))</f>
        <v/>
      </c>
      <c r="F250" s="21">
        <f>IF(A250="","",IFERROR(C250*VLOOKUP(A250,Semana!$A$5:$E$54,5,0),0))</f>
        <v/>
      </c>
    </row>
    <row r="251">
      <c r="A251" s="19" t="n"/>
      <c r="B251" s="19" t="n"/>
      <c r="C251" s="22" t="n"/>
      <c r="D251" s="12">
        <f>IF(B251="","",IFERROR(VLOOKUP(B251,Ingredientes!$A$4:$E$203,2,0),"?"))</f>
        <v/>
      </c>
      <c r="E251" s="9">
        <f>IF(B251="","",IFERROR(VLOOKUP(B251,Ingredientes!$A$4:$E$203,5,0)*C251,"ITEM NÃO CADASTRADO"))</f>
        <v/>
      </c>
      <c r="F251" s="21">
        <f>IF(A251="","",IFERROR(C251*VLOOKUP(A251,Semana!$A$5:$E$54,5,0),0))</f>
        <v/>
      </c>
    </row>
    <row r="252">
      <c r="A252" s="19" t="n"/>
      <c r="B252" s="19" t="n"/>
      <c r="C252" s="22" t="n"/>
      <c r="D252" s="12">
        <f>IF(B252="","",IFERROR(VLOOKUP(B252,Ingredientes!$A$4:$E$203,2,0),"?"))</f>
        <v/>
      </c>
      <c r="E252" s="9">
        <f>IF(B252="","",IFERROR(VLOOKUP(B252,Ingredientes!$A$4:$E$203,5,0)*C252,"ITEM NÃO CADASTRADO"))</f>
        <v/>
      </c>
      <c r="F252" s="21">
        <f>IF(A252="","",IFERROR(C252*VLOOKUP(A252,Semana!$A$5:$E$54,5,0),0))</f>
        <v/>
      </c>
    </row>
    <row r="253">
      <c r="A253" s="19" t="n"/>
      <c r="B253" s="19" t="n"/>
      <c r="C253" s="22" t="n"/>
      <c r="D253" s="12">
        <f>IF(B253="","",IFERROR(VLOOKUP(B253,Ingredientes!$A$4:$E$203,2,0),"?"))</f>
        <v/>
      </c>
      <c r="E253" s="9">
        <f>IF(B253="","",IFERROR(VLOOKUP(B253,Ingredientes!$A$4:$E$203,5,0)*C253,"ITEM NÃO CADASTRADO"))</f>
        <v/>
      </c>
      <c r="F253" s="21">
        <f>IF(A253="","",IFERROR(C253*VLOOKUP(A253,Semana!$A$5:$E$54,5,0),0))</f>
        <v/>
      </c>
    </row>
    <row r="254">
      <c r="A254" s="19" t="n"/>
      <c r="B254" s="19" t="n"/>
      <c r="C254" s="22" t="n"/>
      <c r="D254" s="12">
        <f>IF(B254="","",IFERROR(VLOOKUP(B254,Ingredientes!$A$4:$E$203,2,0),"?"))</f>
        <v/>
      </c>
      <c r="E254" s="9">
        <f>IF(B254="","",IFERROR(VLOOKUP(B254,Ingredientes!$A$4:$E$203,5,0)*C254,"ITEM NÃO CADASTRADO"))</f>
        <v/>
      </c>
      <c r="F254" s="21">
        <f>IF(A254="","",IFERROR(C254*VLOOKUP(A254,Semana!$A$5:$E$54,5,0),0))</f>
        <v/>
      </c>
    </row>
    <row r="255">
      <c r="A255" s="19" t="n"/>
      <c r="B255" s="19" t="n"/>
      <c r="C255" s="22" t="n"/>
      <c r="D255" s="12">
        <f>IF(B255="","",IFERROR(VLOOKUP(B255,Ingredientes!$A$4:$E$203,2,0),"?"))</f>
        <v/>
      </c>
      <c r="E255" s="9">
        <f>IF(B255="","",IFERROR(VLOOKUP(B255,Ingredientes!$A$4:$E$203,5,0)*C255,"ITEM NÃO CADASTRADO"))</f>
        <v/>
      </c>
      <c r="F255" s="21">
        <f>IF(A255="","",IFERROR(C255*VLOOKUP(A255,Semana!$A$5:$E$54,5,0),0))</f>
        <v/>
      </c>
    </row>
    <row r="256">
      <c r="A256" s="19" t="n"/>
      <c r="B256" s="19" t="n"/>
      <c r="C256" s="22" t="n"/>
      <c r="D256" s="12">
        <f>IF(B256="","",IFERROR(VLOOKUP(B256,Ingredientes!$A$4:$E$203,2,0),"?"))</f>
        <v/>
      </c>
      <c r="E256" s="9">
        <f>IF(B256="","",IFERROR(VLOOKUP(B256,Ingredientes!$A$4:$E$203,5,0)*C256,"ITEM NÃO CADASTRADO"))</f>
        <v/>
      </c>
      <c r="F256" s="21">
        <f>IF(A256="","",IFERROR(C256*VLOOKUP(A256,Semana!$A$5:$E$54,5,0),0))</f>
        <v/>
      </c>
    </row>
    <row r="257">
      <c r="A257" s="19" t="n"/>
      <c r="B257" s="19" t="n"/>
      <c r="C257" s="22" t="n"/>
      <c r="D257" s="12">
        <f>IF(B257="","",IFERROR(VLOOKUP(B257,Ingredientes!$A$4:$E$203,2,0),"?"))</f>
        <v/>
      </c>
      <c r="E257" s="9">
        <f>IF(B257="","",IFERROR(VLOOKUP(B257,Ingredientes!$A$4:$E$203,5,0)*C257,"ITEM NÃO CADASTRADO"))</f>
        <v/>
      </c>
      <c r="F257" s="21">
        <f>IF(A257="","",IFERROR(C257*VLOOKUP(A257,Semana!$A$5:$E$54,5,0),0))</f>
        <v/>
      </c>
    </row>
    <row r="258">
      <c r="A258" s="19" t="n"/>
      <c r="B258" s="19" t="n"/>
      <c r="C258" s="22" t="n"/>
      <c r="D258" s="12">
        <f>IF(B258="","",IFERROR(VLOOKUP(B258,Ingredientes!$A$4:$E$203,2,0),"?"))</f>
        <v/>
      </c>
      <c r="E258" s="9">
        <f>IF(B258="","",IFERROR(VLOOKUP(B258,Ingredientes!$A$4:$E$203,5,0)*C258,"ITEM NÃO CADASTRADO"))</f>
        <v/>
      </c>
      <c r="F258" s="21">
        <f>IF(A258="","",IFERROR(C258*VLOOKUP(A258,Semana!$A$5:$E$54,5,0),0))</f>
        <v/>
      </c>
    </row>
    <row r="259">
      <c r="A259" s="19" t="n"/>
      <c r="B259" s="19" t="n"/>
      <c r="C259" s="22" t="n"/>
      <c r="D259" s="12">
        <f>IF(B259="","",IFERROR(VLOOKUP(B259,Ingredientes!$A$4:$E$203,2,0),"?"))</f>
        <v/>
      </c>
      <c r="E259" s="9">
        <f>IF(B259="","",IFERROR(VLOOKUP(B259,Ingredientes!$A$4:$E$203,5,0)*C259,"ITEM NÃO CADASTRADO"))</f>
        <v/>
      </c>
      <c r="F259" s="21">
        <f>IF(A259="","",IFERROR(C259*VLOOKUP(A259,Semana!$A$5:$E$54,5,0),0))</f>
        <v/>
      </c>
    </row>
    <row r="260">
      <c r="A260" s="19" t="n"/>
      <c r="B260" s="19" t="n"/>
      <c r="C260" s="22" t="n"/>
      <c r="D260" s="12">
        <f>IF(B260="","",IFERROR(VLOOKUP(B260,Ingredientes!$A$4:$E$203,2,0),"?"))</f>
        <v/>
      </c>
      <c r="E260" s="9">
        <f>IF(B260="","",IFERROR(VLOOKUP(B260,Ingredientes!$A$4:$E$203,5,0)*C260,"ITEM NÃO CADASTRADO"))</f>
        <v/>
      </c>
      <c r="F260" s="21">
        <f>IF(A260="","",IFERROR(C260*VLOOKUP(A260,Semana!$A$5:$E$54,5,0),0))</f>
        <v/>
      </c>
    </row>
    <row r="261">
      <c r="A261" s="19" t="n"/>
      <c r="B261" s="19" t="n"/>
      <c r="C261" s="22" t="n"/>
      <c r="D261" s="12">
        <f>IF(B261="","",IFERROR(VLOOKUP(B261,Ingredientes!$A$4:$E$203,2,0),"?"))</f>
        <v/>
      </c>
      <c r="E261" s="9">
        <f>IF(B261="","",IFERROR(VLOOKUP(B261,Ingredientes!$A$4:$E$203,5,0)*C261,"ITEM NÃO CADASTRADO"))</f>
        <v/>
      </c>
      <c r="F261" s="21">
        <f>IF(A261="","",IFERROR(C261*VLOOKUP(A261,Semana!$A$5:$E$54,5,0),0))</f>
        <v/>
      </c>
    </row>
    <row r="262">
      <c r="A262" s="19" t="n"/>
      <c r="B262" s="19" t="n"/>
      <c r="C262" s="22" t="n"/>
      <c r="D262" s="12">
        <f>IF(B262="","",IFERROR(VLOOKUP(B262,Ingredientes!$A$4:$E$203,2,0),"?"))</f>
        <v/>
      </c>
      <c r="E262" s="9">
        <f>IF(B262="","",IFERROR(VLOOKUP(B262,Ingredientes!$A$4:$E$203,5,0)*C262,"ITEM NÃO CADASTRADO"))</f>
        <v/>
      </c>
      <c r="F262" s="21">
        <f>IF(A262="","",IFERROR(C262*VLOOKUP(A262,Semana!$A$5:$E$54,5,0),0))</f>
        <v/>
      </c>
    </row>
    <row r="263">
      <c r="A263" s="19" t="n"/>
      <c r="B263" s="19" t="n"/>
      <c r="C263" s="22" t="n"/>
      <c r="D263" s="12">
        <f>IF(B263="","",IFERROR(VLOOKUP(B263,Ingredientes!$A$4:$E$203,2,0),"?"))</f>
        <v/>
      </c>
      <c r="E263" s="9">
        <f>IF(B263="","",IFERROR(VLOOKUP(B263,Ingredientes!$A$4:$E$203,5,0)*C263,"ITEM NÃO CADASTRADO"))</f>
        <v/>
      </c>
      <c r="F263" s="21">
        <f>IF(A263="","",IFERROR(C263*VLOOKUP(A263,Semana!$A$5:$E$54,5,0),0))</f>
        <v/>
      </c>
    </row>
    <row r="264">
      <c r="A264" s="19" t="n"/>
      <c r="B264" s="19" t="n"/>
      <c r="C264" s="22" t="n"/>
      <c r="D264" s="12">
        <f>IF(B264="","",IFERROR(VLOOKUP(B264,Ingredientes!$A$4:$E$203,2,0),"?"))</f>
        <v/>
      </c>
      <c r="E264" s="9">
        <f>IF(B264="","",IFERROR(VLOOKUP(B264,Ingredientes!$A$4:$E$203,5,0)*C264,"ITEM NÃO CADASTRADO"))</f>
        <v/>
      </c>
      <c r="F264" s="21">
        <f>IF(A264="","",IFERROR(C264*VLOOKUP(A264,Semana!$A$5:$E$54,5,0),0))</f>
        <v/>
      </c>
    </row>
    <row r="265">
      <c r="A265" s="19" t="n"/>
      <c r="B265" s="19" t="n"/>
      <c r="C265" s="22" t="n"/>
      <c r="D265" s="12">
        <f>IF(B265="","",IFERROR(VLOOKUP(B265,Ingredientes!$A$4:$E$203,2,0),"?"))</f>
        <v/>
      </c>
      <c r="E265" s="9">
        <f>IF(B265="","",IFERROR(VLOOKUP(B265,Ingredientes!$A$4:$E$203,5,0)*C265,"ITEM NÃO CADASTRADO"))</f>
        <v/>
      </c>
      <c r="F265" s="21">
        <f>IF(A265="","",IFERROR(C265*VLOOKUP(A265,Semana!$A$5:$E$54,5,0),0))</f>
        <v/>
      </c>
    </row>
    <row r="266">
      <c r="A266" s="19" t="n"/>
      <c r="B266" s="19" t="n"/>
      <c r="C266" s="22" t="n"/>
      <c r="D266" s="12">
        <f>IF(B266="","",IFERROR(VLOOKUP(B266,Ingredientes!$A$4:$E$203,2,0),"?"))</f>
        <v/>
      </c>
      <c r="E266" s="9">
        <f>IF(B266="","",IFERROR(VLOOKUP(B266,Ingredientes!$A$4:$E$203,5,0)*C266,"ITEM NÃO CADASTRADO"))</f>
        <v/>
      </c>
      <c r="F266" s="21">
        <f>IF(A266="","",IFERROR(C266*VLOOKUP(A266,Semana!$A$5:$E$54,5,0),0))</f>
        <v/>
      </c>
    </row>
    <row r="267">
      <c r="A267" s="19" t="n"/>
      <c r="B267" s="19" t="n"/>
      <c r="C267" s="22" t="n"/>
      <c r="D267" s="12">
        <f>IF(B267="","",IFERROR(VLOOKUP(B267,Ingredientes!$A$4:$E$203,2,0),"?"))</f>
        <v/>
      </c>
      <c r="E267" s="9">
        <f>IF(B267="","",IFERROR(VLOOKUP(B267,Ingredientes!$A$4:$E$203,5,0)*C267,"ITEM NÃO CADASTRADO"))</f>
        <v/>
      </c>
      <c r="F267" s="21">
        <f>IF(A267="","",IFERROR(C267*VLOOKUP(A267,Semana!$A$5:$E$54,5,0),0))</f>
        <v/>
      </c>
    </row>
    <row r="268">
      <c r="A268" s="19" t="n"/>
      <c r="B268" s="19" t="n"/>
      <c r="C268" s="22" t="n"/>
      <c r="D268" s="12">
        <f>IF(B268="","",IFERROR(VLOOKUP(B268,Ingredientes!$A$4:$E$203,2,0),"?"))</f>
        <v/>
      </c>
      <c r="E268" s="9">
        <f>IF(B268="","",IFERROR(VLOOKUP(B268,Ingredientes!$A$4:$E$203,5,0)*C268,"ITEM NÃO CADASTRADO"))</f>
        <v/>
      </c>
      <c r="F268" s="21">
        <f>IF(A268="","",IFERROR(C268*VLOOKUP(A268,Semana!$A$5:$E$54,5,0),0))</f>
        <v/>
      </c>
    </row>
    <row r="269">
      <c r="A269" s="19" t="n"/>
      <c r="B269" s="19" t="n"/>
      <c r="C269" s="22" t="n"/>
      <c r="D269" s="12">
        <f>IF(B269="","",IFERROR(VLOOKUP(B269,Ingredientes!$A$4:$E$203,2,0),"?"))</f>
        <v/>
      </c>
      <c r="E269" s="9">
        <f>IF(B269="","",IFERROR(VLOOKUP(B269,Ingredientes!$A$4:$E$203,5,0)*C269,"ITEM NÃO CADASTRADO"))</f>
        <v/>
      </c>
      <c r="F269" s="21">
        <f>IF(A269="","",IFERROR(C269*VLOOKUP(A269,Semana!$A$5:$E$54,5,0),0))</f>
        <v/>
      </c>
    </row>
    <row r="270">
      <c r="A270" s="19" t="n"/>
      <c r="B270" s="19" t="n"/>
      <c r="C270" s="22" t="n"/>
      <c r="D270" s="12">
        <f>IF(B270="","",IFERROR(VLOOKUP(B270,Ingredientes!$A$4:$E$203,2,0),"?"))</f>
        <v/>
      </c>
      <c r="E270" s="9">
        <f>IF(B270="","",IFERROR(VLOOKUP(B270,Ingredientes!$A$4:$E$203,5,0)*C270,"ITEM NÃO CADASTRADO"))</f>
        <v/>
      </c>
      <c r="F270" s="21">
        <f>IF(A270="","",IFERROR(C270*VLOOKUP(A270,Semana!$A$5:$E$54,5,0),0))</f>
        <v/>
      </c>
    </row>
    <row r="271">
      <c r="A271" s="19" t="n"/>
      <c r="B271" s="19" t="n"/>
      <c r="C271" s="22" t="n"/>
      <c r="D271" s="12">
        <f>IF(B271="","",IFERROR(VLOOKUP(B271,Ingredientes!$A$4:$E$203,2,0),"?"))</f>
        <v/>
      </c>
      <c r="E271" s="9">
        <f>IF(B271="","",IFERROR(VLOOKUP(B271,Ingredientes!$A$4:$E$203,5,0)*C271,"ITEM NÃO CADASTRADO"))</f>
        <v/>
      </c>
      <c r="F271" s="21">
        <f>IF(A271="","",IFERROR(C271*VLOOKUP(A271,Semana!$A$5:$E$54,5,0),0))</f>
        <v/>
      </c>
    </row>
    <row r="272">
      <c r="A272" s="19" t="n"/>
      <c r="B272" s="19" t="n"/>
      <c r="C272" s="22" t="n"/>
      <c r="D272" s="12">
        <f>IF(B272="","",IFERROR(VLOOKUP(B272,Ingredientes!$A$4:$E$203,2,0),"?"))</f>
        <v/>
      </c>
      <c r="E272" s="9">
        <f>IF(B272="","",IFERROR(VLOOKUP(B272,Ingredientes!$A$4:$E$203,5,0)*C272,"ITEM NÃO CADASTRADO"))</f>
        <v/>
      </c>
      <c r="F272" s="21">
        <f>IF(A272="","",IFERROR(C272*VLOOKUP(A272,Semana!$A$5:$E$54,5,0),0))</f>
        <v/>
      </c>
    </row>
    <row r="273">
      <c r="A273" s="19" t="n"/>
      <c r="B273" s="19" t="n"/>
      <c r="C273" s="22" t="n"/>
      <c r="D273" s="12">
        <f>IF(B273="","",IFERROR(VLOOKUP(B273,Ingredientes!$A$4:$E$203,2,0),"?"))</f>
        <v/>
      </c>
      <c r="E273" s="9">
        <f>IF(B273="","",IFERROR(VLOOKUP(B273,Ingredientes!$A$4:$E$203,5,0)*C273,"ITEM NÃO CADASTRADO"))</f>
        <v/>
      </c>
      <c r="F273" s="21">
        <f>IF(A273="","",IFERROR(C273*VLOOKUP(A273,Semana!$A$5:$E$54,5,0),0))</f>
        <v/>
      </c>
    </row>
    <row r="274">
      <c r="A274" s="19" t="n"/>
      <c r="B274" s="19" t="n"/>
      <c r="C274" s="22" t="n"/>
      <c r="D274" s="12">
        <f>IF(B274="","",IFERROR(VLOOKUP(B274,Ingredientes!$A$4:$E$203,2,0),"?"))</f>
        <v/>
      </c>
      <c r="E274" s="9">
        <f>IF(B274="","",IFERROR(VLOOKUP(B274,Ingredientes!$A$4:$E$203,5,0)*C274,"ITEM NÃO CADASTRADO"))</f>
        <v/>
      </c>
      <c r="F274" s="21">
        <f>IF(A274="","",IFERROR(C274*VLOOKUP(A274,Semana!$A$5:$E$54,5,0),0))</f>
        <v/>
      </c>
    </row>
    <row r="275">
      <c r="A275" s="19" t="n"/>
      <c r="B275" s="19" t="n"/>
      <c r="C275" s="22" t="n"/>
      <c r="D275" s="12">
        <f>IF(B275="","",IFERROR(VLOOKUP(B275,Ingredientes!$A$4:$E$203,2,0),"?"))</f>
        <v/>
      </c>
      <c r="E275" s="9">
        <f>IF(B275="","",IFERROR(VLOOKUP(B275,Ingredientes!$A$4:$E$203,5,0)*C275,"ITEM NÃO CADASTRADO"))</f>
        <v/>
      </c>
      <c r="F275" s="21">
        <f>IF(A275="","",IFERROR(C275*VLOOKUP(A275,Semana!$A$5:$E$54,5,0),0))</f>
        <v/>
      </c>
    </row>
    <row r="276">
      <c r="A276" s="19" t="n"/>
      <c r="B276" s="19" t="n"/>
      <c r="C276" s="22" t="n"/>
      <c r="D276" s="12">
        <f>IF(B276="","",IFERROR(VLOOKUP(B276,Ingredientes!$A$4:$E$203,2,0),"?"))</f>
        <v/>
      </c>
      <c r="E276" s="9">
        <f>IF(B276="","",IFERROR(VLOOKUP(B276,Ingredientes!$A$4:$E$203,5,0)*C276,"ITEM NÃO CADASTRADO"))</f>
        <v/>
      </c>
      <c r="F276" s="21">
        <f>IF(A276="","",IFERROR(C276*VLOOKUP(A276,Semana!$A$5:$E$54,5,0),0))</f>
        <v/>
      </c>
    </row>
    <row r="277">
      <c r="A277" s="19" t="n"/>
      <c r="B277" s="19" t="n"/>
      <c r="C277" s="22" t="n"/>
      <c r="D277" s="12">
        <f>IF(B277="","",IFERROR(VLOOKUP(B277,Ingredientes!$A$4:$E$203,2,0),"?"))</f>
        <v/>
      </c>
      <c r="E277" s="9">
        <f>IF(B277="","",IFERROR(VLOOKUP(B277,Ingredientes!$A$4:$E$203,5,0)*C277,"ITEM NÃO CADASTRADO"))</f>
        <v/>
      </c>
      <c r="F277" s="21">
        <f>IF(A277="","",IFERROR(C277*VLOOKUP(A277,Semana!$A$5:$E$54,5,0),0))</f>
        <v/>
      </c>
    </row>
    <row r="278">
      <c r="A278" s="19" t="n"/>
      <c r="B278" s="19" t="n"/>
      <c r="C278" s="22" t="n"/>
      <c r="D278" s="12">
        <f>IF(B278="","",IFERROR(VLOOKUP(B278,Ingredientes!$A$4:$E$203,2,0),"?"))</f>
        <v/>
      </c>
      <c r="E278" s="9">
        <f>IF(B278="","",IFERROR(VLOOKUP(B278,Ingredientes!$A$4:$E$203,5,0)*C278,"ITEM NÃO CADASTRADO"))</f>
        <v/>
      </c>
      <c r="F278" s="21">
        <f>IF(A278="","",IFERROR(C278*VLOOKUP(A278,Semana!$A$5:$E$54,5,0),0))</f>
        <v/>
      </c>
    </row>
    <row r="279">
      <c r="A279" s="19" t="n"/>
      <c r="B279" s="19" t="n"/>
      <c r="C279" s="22" t="n"/>
      <c r="D279" s="12">
        <f>IF(B279="","",IFERROR(VLOOKUP(B279,Ingredientes!$A$4:$E$203,2,0),"?"))</f>
        <v/>
      </c>
      <c r="E279" s="9">
        <f>IF(B279="","",IFERROR(VLOOKUP(B279,Ingredientes!$A$4:$E$203,5,0)*C279,"ITEM NÃO CADASTRADO"))</f>
        <v/>
      </c>
      <c r="F279" s="21">
        <f>IF(A279="","",IFERROR(C279*VLOOKUP(A279,Semana!$A$5:$E$54,5,0),0))</f>
        <v/>
      </c>
    </row>
    <row r="280">
      <c r="A280" s="19" t="n"/>
      <c r="B280" s="19" t="n"/>
      <c r="C280" s="22" t="n"/>
      <c r="D280" s="12">
        <f>IF(B280="","",IFERROR(VLOOKUP(B280,Ingredientes!$A$4:$E$203,2,0),"?"))</f>
        <v/>
      </c>
      <c r="E280" s="9">
        <f>IF(B280="","",IFERROR(VLOOKUP(B280,Ingredientes!$A$4:$E$203,5,0)*C280,"ITEM NÃO CADASTRADO"))</f>
        <v/>
      </c>
      <c r="F280" s="21">
        <f>IF(A280="","",IFERROR(C280*VLOOKUP(A280,Semana!$A$5:$E$54,5,0),0))</f>
        <v/>
      </c>
    </row>
    <row r="281">
      <c r="A281" s="19" t="n"/>
      <c r="B281" s="19" t="n"/>
      <c r="C281" s="22" t="n"/>
      <c r="D281" s="12">
        <f>IF(B281="","",IFERROR(VLOOKUP(B281,Ingredientes!$A$4:$E$203,2,0),"?"))</f>
        <v/>
      </c>
      <c r="E281" s="9">
        <f>IF(B281="","",IFERROR(VLOOKUP(B281,Ingredientes!$A$4:$E$203,5,0)*C281,"ITEM NÃO CADASTRADO"))</f>
        <v/>
      </c>
      <c r="F281" s="21">
        <f>IF(A281="","",IFERROR(C281*VLOOKUP(A281,Semana!$A$5:$E$54,5,0),0))</f>
        <v/>
      </c>
    </row>
    <row r="282">
      <c r="A282" s="19" t="n"/>
      <c r="B282" s="19" t="n"/>
      <c r="C282" s="22" t="n"/>
      <c r="D282" s="12">
        <f>IF(B282="","",IFERROR(VLOOKUP(B282,Ingredientes!$A$4:$E$203,2,0),"?"))</f>
        <v/>
      </c>
      <c r="E282" s="9">
        <f>IF(B282="","",IFERROR(VLOOKUP(B282,Ingredientes!$A$4:$E$203,5,0)*C282,"ITEM NÃO CADASTRADO"))</f>
        <v/>
      </c>
      <c r="F282" s="21">
        <f>IF(A282="","",IFERROR(C282*VLOOKUP(A282,Semana!$A$5:$E$54,5,0),0))</f>
        <v/>
      </c>
    </row>
    <row r="283">
      <c r="A283" s="19" t="n"/>
      <c r="B283" s="19" t="n"/>
      <c r="C283" s="22" t="n"/>
      <c r="D283" s="12">
        <f>IF(B283="","",IFERROR(VLOOKUP(B283,Ingredientes!$A$4:$E$203,2,0),"?"))</f>
        <v/>
      </c>
      <c r="E283" s="9">
        <f>IF(B283="","",IFERROR(VLOOKUP(B283,Ingredientes!$A$4:$E$203,5,0)*C283,"ITEM NÃO CADASTRADO"))</f>
        <v/>
      </c>
      <c r="F283" s="21">
        <f>IF(A283="","",IFERROR(C283*VLOOKUP(A283,Semana!$A$5:$E$54,5,0),0))</f>
        <v/>
      </c>
    </row>
    <row r="284">
      <c r="A284" s="19" t="n"/>
      <c r="B284" s="19" t="n"/>
      <c r="C284" s="22" t="n"/>
      <c r="D284" s="12">
        <f>IF(B284="","",IFERROR(VLOOKUP(B284,Ingredientes!$A$4:$E$203,2,0),"?"))</f>
        <v/>
      </c>
      <c r="E284" s="9">
        <f>IF(B284="","",IFERROR(VLOOKUP(B284,Ingredientes!$A$4:$E$203,5,0)*C284,"ITEM NÃO CADASTRADO"))</f>
        <v/>
      </c>
      <c r="F284" s="21">
        <f>IF(A284="","",IFERROR(C284*VLOOKUP(A284,Semana!$A$5:$E$54,5,0),0))</f>
        <v/>
      </c>
    </row>
    <row r="285">
      <c r="A285" s="19" t="n"/>
      <c r="B285" s="19" t="n"/>
      <c r="C285" s="22" t="n"/>
      <c r="D285" s="12">
        <f>IF(B285="","",IFERROR(VLOOKUP(B285,Ingredientes!$A$4:$E$203,2,0),"?"))</f>
        <v/>
      </c>
      <c r="E285" s="9">
        <f>IF(B285="","",IFERROR(VLOOKUP(B285,Ingredientes!$A$4:$E$203,5,0)*C285,"ITEM NÃO CADASTRADO"))</f>
        <v/>
      </c>
      <c r="F285" s="21">
        <f>IF(A285="","",IFERROR(C285*VLOOKUP(A285,Semana!$A$5:$E$54,5,0),0))</f>
        <v/>
      </c>
    </row>
    <row r="286">
      <c r="A286" s="19" t="n"/>
      <c r="B286" s="19" t="n"/>
      <c r="C286" s="22" t="n"/>
      <c r="D286" s="12">
        <f>IF(B286="","",IFERROR(VLOOKUP(B286,Ingredientes!$A$4:$E$203,2,0),"?"))</f>
        <v/>
      </c>
      <c r="E286" s="9">
        <f>IF(B286="","",IFERROR(VLOOKUP(B286,Ingredientes!$A$4:$E$203,5,0)*C286,"ITEM NÃO CADASTRADO"))</f>
        <v/>
      </c>
      <c r="F286" s="21">
        <f>IF(A286="","",IFERROR(C286*VLOOKUP(A286,Semana!$A$5:$E$54,5,0),0))</f>
        <v/>
      </c>
    </row>
    <row r="287">
      <c r="A287" s="19" t="n"/>
      <c r="B287" s="19" t="n"/>
      <c r="C287" s="22" t="n"/>
      <c r="D287" s="12">
        <f>IF(B287="","",IFERROR(VLOOKUP(B287,Ingredientes!$A$4:$E$203,2,0),"?"))</f>
        <v/>
      </c>
      <c r="E287" s="9">
        <f>IF(B287="","",IFERROR(VLOOKUP(B287,Ingredientes!$A$4:$E$203,5,0)*C287,"ITEM NÃO CADASTRADO"))</f>
        <v/>
      </c>
      <c r="F287" s="21">
        <f>IF(A287="","",IFERROR(C287*VLOOKUP(A287,Semana!$A$5:$E$54,5,0),0))</f>
        <v/>
      </c>
    </row>
    <row r="288">
      <c r="A288" s="19" t="n"/>
      <c r="B288" s="19" t="n"/>
      <c r="C288" s="22" t="n"/>
      <c r="D288" s="12">
        <f>IF(B288="","",IFERROR(VLOOKUP(B288,Ingredientes!$A$4:$E$203,2,0),"?"))</f>
        <v/>
      </c>
      <c r="E288" s="9">
        <f>IF(B288="","",IFERROR(VLOOKUP(B288,Ingredientes!$A$4:$E$203,5,0)*C288,"ITEM NÃO CADASTRADO"))</f>
        <v/>
      </c>
      <c r="F288" s="21">
        <f>IF(A288="","",IFERROR(C288*VLOOKUP(A288,Semana!$A$5:$E$54,5,0),0))</f>
        <v/>
      </c>
    </row>
    <row r="289">
      <c r="A289" s="19" t="n"/>
      <c r="B289" s="19" t="n"/>
      <c r="C289" s="22" t="n"/>
      <c r="D289" s="12">
        <f>IF(B289="","",IFERROR(VLOOKUP(B289,Ingredientes!$A$4:$E$203,2,0),"?"))</f>
        <v/>
      </c>
      <c r="E289" s="9">
        <f>IF(B289="","",IFERROR(VLOOKUP(B289,Ingredientes!$A$4:$E$203,5,0)*C289,"ITEM NÃO CADASTRADO"))</f>
        <v/>
      </c>
      <c r="F289" s="21">
        <f>IF(A289="","",IFERROR(C289*VLOOKUP(A289,Semana!$A$5:$E$54,5,0),0))</f>
        <v/>
      </c>
    </row>
    <row r="290">
      <c r="A290" s="19" t="n"/>
      <c r="B290" s="19" t="n"/>
      <c r="C290" s="22" t="n"/>
      <c r="D290" s="12">
        <f>IF(B290="","",IFERROR(VLOOKUP(B290,Ingredientes!$A$4:$E$203,2,0),"?"))</f>
        <v/>
      </c>
      <c r="E290" s="9">
        <f>IF(B290="","",IFERROR(VLOOKUP(B290,Ingredientes!$A$4:$E$203,5,0)*C290,"ITEM NÃO CADASTRADO"))</f>
        <v/>
      </c>
      <c r="F290" s="21">
        <f>IF(A290="","",IFERROR(C290*VLOOKUP(A290,Semana!$A$5:$E$54,5,0),0))</f>
        <v/>
      </c>
    </row>
    <row r="291">
      <c r="A291" s="19" t="n"/>
      <c r="B291" s="19" t="n"/>
      <c r="C291" s="22" t="n"/>
      <c r="D291" s="12">
        <f>IF(B291="","",IFERROR(VLOOKUP(B291,Ingredientes!$A$4:$E$203,2,0),"?"))</f>
        <v/>
      </c>
      <c r="E291" s="9">
        <f>IF(B291="","",IFERROR(VLOOKUP(B291,Ingredientes!$A$4:$E$203,5,0)*C291,"ITEM NÃO CADASTRADO"))</f>
        <v/>
      </c>
      <c r="F291" s="21">
        <f>IF(A291="","",IFERROR(C291*VLOOKUP(A291,Semana!$A$5:$E$54,5,0),0))</f>
        <v/>
      </c>
    </row>
    <row r="292">
      <c r="A292" s="19" t="n"/>
      <c r="B292" s="19" t="n"/>
      <c r="C292" s="22" t="n"/>
      <c r="D292" s="12">
        <f>IF(B292="","",IFERROR(VLOOKUP(B292,Ingredientes!$A$4:$E$203,2,0),"?"))</f>
        <v/>
      </c>
      <c r="E292" s="9">
        <f>IF(B292="","",IFERROR(VLOOKUP(B292,Ingredientes!$A$4:$E$203,5,0)*C292,"ITEM NÃO CADASTRADO"))</f>
        <v/>
      </c>
      <c r="F292" s="21">
        <f>IF(A292="","",IFERROR(C292*VLOOKUP(A292,Semana!$A$5:$E$54,5,0),0))</f>
        <v/>
      </c>
    </row>
    <row r="293">
      <c r="A293" s="19" t="n"/>
      <c r="B293" s="19" t="n"/>
      <c r="C293" s="22" t="n"/>
      <c r="D293" s="12">
        <f>IF(B293="","",IFERROR(VLOOKUP(B293,Ingredientes!$A$4:$E$203,2,0),"?"))</f>
        <v/>
      </c>
      <c r="E293" s="9">
        <f>IF(B293="","",IFERROR(VLOOKUP(B293,Ingredientes!$A$4:$E$203,5,0)*C293,"ITEM NÃO CADASTRADO"))</f>
        <v/>
      </c>
      <c r="F293" s="21">
        <f>IF(A293="","",IFERROR(C293*VLOOKUP(A293,Semana!$A$5:$E$54,5,0),0))</f>
        <v/>
      </c>
    </row>
    <row r="294">
      <c r="A294" s="19" t="n"/>
      <c r="B294" s="19" t="n"/>
      <c r="C294" s="22" t="n"/>
      <c r="D294" s="12">
        <f>IF(B294="","",IFERROR(VLOOKUP(B294,Ingredientes!$A$4:$E$203,2,0),"?"))</f>
        <v/>
      </c>
      <c r="E294" s="9">
        <f>IF(B294="","",IFERROR(VLOOKUP(B294,Ingredientes!$A$4:$E$203,5,0)*C294,"ITEM NÃO CADASTRADO"))</f>
        <v/>
      </c>
      <c r="F294" s="21">
        <f>IF(A294="","",IFERROR(C294*VLOOKUP(A294,Semana!$A$5:$E$54,5,0),0))</f>
        <v/>
      </c>
    </row>
    <row r="295">
      <c r="A295" s="19" t="n"/>
      <c r="B295" s="19" t="n"/>
      <c r="C295" s="22" t="n"/>
      <c r="D295" s="12">
        <f>IF(B295="","",IFERROR(VLOOKUP(B295,Ingredientes!$A$4:$E$203,2,0),"?"))</f>
        <v/>
      </c>
      <c r="E295" s="9">
        <f>IF(B295="","",IFERROR(VLOOKUP(B295,Ingredientes!$A$4:$E$203,5,0)*C295,"ITEM NÃO CADASTRADO"))</f>
        <v/>
      </c>
      <c r="F295" s="21">
        <f>IF(A295="","",IFERROR(C295*VLOOKUP(A295,Semana!$A$5:$E$54,5,0),0))</f>
        <v/>
      </c>
    </row>
    <row r="296">
      <c r="A296" s="19" t="n"/>
      <c r="B296" s="19" t="n"/>
      <c r="C296" s="22" t="n"/>
      <c r="D296" s="12">
        <f>IF(B296="","",IFERROR(VLOOKUP(B296,Ingredientes!$A$4:$E$203,2,0),"?"))</f>
        <v/>
      </c>
      <c r="E296" s="9">
        <f>IF(B296="","",IFERROR(VLOOKUP(B296,Ingredientes!$A$4:$E$203,5,0)*C296,"ITEM NÃO CADASTRADO"))</f>
        <v/>
      </c>
      <c r="F296" s="21">
        <f>IF(A296="","",IFERROR(C296*VLOOKUP(A296,Semana!$A$5:$E$54,5,0),0))</f>
        <v/>
      </c>
    </row>
    <row r="297">
      <c r="A297" s="19" t="n"/>
      <c r="B297" s="19" t="n"/>
      <c r="C297" s="22" t="n"/>
      <c r="D297" s="12">
        <f>IF(B297="","",IFERROR(VLOOKUP(B297,Ingredientes!$A$4:$E$203,2,0),"?"))</f>
        <v/>
      </c>
      <c r="E297" s="9">
        <f>IF(B297="","",IFERROR(VLOOKUP(B297,Ingredientes!$A$4:$E$203,5,0)*C297,"ITEM NÃO CADASTRADO"))</f>
        <v/>
      </c>
      <c r="F297" s="21">
        <f>IF(A297="","",IFERROR(C297*VLOOKUP(A297,Semana!$A$5:$E$54,5,0),0))</f>
        <v/>
      </c>
    </row>
    <row r="298">
      <c r="A298" s="19" t="n"/>
      <c r="B298" s="19" t="n"/>
      <c r="C298" s="22" t="n"/>
      <c r="D298" s="12">
        <f>IF(B298="","",IFERROR(VLOOKUP(B298,Ingredientes!$A$4:$E$203,2,0),"?"))</f>
        <v/>
      </c>
      <c r="E298" s="9">
        <f>IF(B298="","",IFERROR(VLOOKUP(B298,Ingredientes!$A$4:$E$203,5,0)*C298,"ITEM NÃO CADASTRADO"))</f>
        <v/>
      </c>
      <c r="F298" s="21">
        <f>IF(A298="","",IFERROR(C298*VLOOKUP(A298,Semana!$A$5:$E$54,5,0),0))</f>
        <v/>
      </c>
    </row>
    <row r="299">
      <c r="A299" s="19" t="n"/>
      <c r="B299" s="19" t="n"/>
      <c r="C299" s="22" t="n"/>
      <c r="D299" s="12">
        <f>IF(B299="","",IFERROR(VLOOKUP(B299,Ingredientes!$A$4:$E$203,2,0),"?"))</f>
        <v/>
      </c>
      <c r="E299" s="9">
        <f>IF(B299="","",IFERROR(VLOOKUP(B299,Ingredientes!$A$4:$E$203,5,0)*C299,"ITEM NÃO CADASTRADO"))</f>
        <v/>
      </c>
      <c r="F299" s="21">
        <f>IF(A299="","",IFERROR(C299*VLOOKUP(A299,Semana!$A$5:$E$54,5,0),0))</f>
        <v/>
      </c>
    </row>
    <row r="300">
      <c r="A300" s="19" t="n"/>
      <c r="B300" s="19" t="n"/>
      <c r="C300" s="22" t="n"/>
      <c r="D300" s="12">
        <f>IF(B300="","",IFERROR(VLOOKUP(B300,Ingredientes!$A$4:$E$203,2,0),"?"))</f>
        <v/>
      </c>
      <c r="E300" s="9">
        <f>IF(B300="","",IFERROR(VLOOKUP(B300,Ingredientes!$A$4:$E$203,5,0)*C300,"ITEM NÃO CADASTRADO"))</f>
        <v/>
      </c>
      <c r="F300" s="21">
        <f>IF(A300="","",IFERROR(C300*VLOOKUP(A300,Semana!$A$5:$E$54,5,0),0))</f>
        <v/>
      </c>
    </row>
    <row r="301">
      <c r="A301" s="19" t="n"/>
      <c r="B301" s="19" t="n"/>
      <c r="C301" s="22" t="n"/>
      <c r="D301" s="12">
        <f>IF(B301="","",IFERROR(VLOOKUP(B301,Ingredientes!$A$4:$E$203,2,0),"?"))</f>
        <v/>
      </c>
      <c r="E301" s="9">
        <f>IF(B301="","",IFERROR(VLOOKUP(B301,Ingredientes!$A$4:$E$203,5,0)*C301,"ITEM NÃO CADASTRADO"))</f>
        <v/>
      </c>
      <c r="F301" s="21">
        <f>IF(A301="","",IFERROR(C301*VLOOKUP(A301,Semana!$A$5:$E$54,5,0),0))</f>
        <v/>
      </c>
    </row>
    <row r="302">
      <c r="A302" s="19" t="n"/>
      <c r="B302" s="19" t="n"/>
      <c r="C302" s="22" t="n"/>
      <c r="D302" s="12">
        <f>IF(B302="","",IFERROR(VLOOKUP(B302,Ingredientes!$A$4:$E$203,2,0),"?"))</f>
        <v/>
      </c>
      <c r="E302" s="9">
        <f>IF(B302="","",IFERROR(VLOOKUP(B302,Ingredientes!$A$4:$E$203,5,0)*C302,"ITEM NÃO CADASTRADO"))</f>
        <v/>
      </c>
      <c r="F302" s="21">
        <f>IF(A302="","",IFERROR(C302*VLOOKUP(A302,Semana!$A$5:$E$54,5,0),0))</f>
        <v/>
      </c>
    </row>
    <row r="303">
      <c r="A303" s="19" t="n"/>
      <c r="B303" s="19" t="n"/>
      <c r="C303" s="22" t="n"/>
      <c r="D303" s="12">
        <f>IF(B303="","",IFERROR(VLOOKUP(B303,Ingredientes!$A$4:$E$203,2,0),"?"))</f>
        <v/>
      </c>
      <c r="E303" s="9">
        <f>IF(B303="","",IFERROR(VLOOKUP(B303,Ingredientes!$A$4:$E$203,5,0)*C303,"ITEM NÃO CADASTRADO"))</f>
        <v/>
      </c>
      <c r="F303" s="21">
        <f>IF(A303="","",IFERROR(C303*VLOOKUP(A303,Semana!$A$5:$E$54,5,0),0))</f>
        <v/>
      </c>
    </row>
    <row r="304">
      <c r="A304" s="19" t="n"/>
      <c r="B304" s="19" t="n"/>
      <c r="C304" s="22" t="n"/>
      <c r="D304" s="12">
        <f>IF(B304="","",IFERROR(VLOOKUP(B304,Ingredientes!$A$4:$E$203,2,0),"?"))</f>
        <v/>
      </c>
      <c r="E304" s="9">
        <f>IF(B304="","",IFERROR(VLOOKUP(B304,Ingredientes!$A$4:$E$203,5,0)*C304,"ITEM NÃO CADASTRADO"))</f>
        <v/>
      </c>
      <c r="F304" s="21">
        <f>IF(A304="","",IFERROR(C304*VLOOKUP(A304,Semana!$A$5:$E$54,5,0),0))</f>
        <v/>
      </c>
    </row>
    <row r="305">
      <c r="A305" s="19" t="n"/>
      <c r="B305" s="19" t="n"/>
      <c r="C305" s="22" t="n"/>
      <c r="D305" s="12">
        <f>IF(B305="","",IFERROR(VLOOKUP(B305,Ingredientes!$A$4:$E$203,2,0),"?"))</f>
        <v/>
      </c>
      <c r="E305" s="9">
        <f>IF(B305="","",IFERROR(VLOOKUP(B305,Ingredientes!$A$4:$E$203,5,0)*C305,"ITEM NÃO CADASTRADO"))</f>
        <v/>
      </c>
      <c r="F305" s="21">
        <f>IF(A305="","",IFERROR(C305*VLOOKUP(A305,Semana!$A$5:$E$54,5,0),0))</f>
        <v/>
      </c>
    </row>
    <row r="306">
      <c r="A306" s="19" t="n"/>
      <c r="B306" s="19" t="n"/>
      <c r="C306" s="22" t="n"/>
      <c r="D306" s="12">
        <f>IF(B306="","",IFERROR(VLOOKUP(B306,Ingredientes!$A$4:$E$203,2,0),"?"))</f>
        <v/>
      </c>
      <c r="E306" s="9">
        <f>IF(B306="","",IFERROR(VLOOKUP(B306,Ingredientes!$A$4:$E$203,5,0)*C306,"ITEM NÃO CADASTRADO"))</f>
        <v/>
      </c>
      <c r="F306" s="21">
        <f>IF(A306="","",IFERROR(C306*VLOOKUP(A306,Semana!$A$5:$E$54,5,0),0))</f>
        <v/>
      </c>
    </row>
    <row r="307">
      <c r="A307" s="19" t="n"/>
      <c r="B307" s="19" t="n"/>
      <c r="C307" s="22" t="n"/>
      <c r="D307" s="12">
        <f>IF(B307="","",IFERROR(VLOOKUP(B307,Ingredientes!$A$4:$E$203,2,0),"?"))</f>
        <v/>
      </c>
      <c r="E307" s="9">
        <f>IF(B307="","",IFERROR(VLOOKUP(B307,Ingredientes!$A$4:$E$203,5,0)*C307,"ITEM NÃO CADASTRADO"))</f>
        <v/>
      </c>
      <c r="F307" s="21">
        <f>IF(A307="","",IFERROR(C307*VLOOKUP(A307,Semana!$A$5:$E$54,5,0),0))</f>
        <v/>
      </c>
    </row>
    <row r="308">
      <c r="A308" s="19" t="n"/>
      <c r="B308" s="19" t="n"/>
      <c r="C308" s="22" t="n"/>
      <c r="D308" s="12">
        <f>IF(B308="","",IFERROR(VLOOKUP(B308,Ingredientes!$A$4:$E$203,2,0),"?"))</f>
        <v/>
      </c>
      <c r="E308" s="9">
        <f>IF(B308="","",IFERROR(VLOOKUP(B308,Ingredientes!$A$4:$E$203,5,0)*C308,"ITEM NÃO CADASTRADO"))</f>
        <v/>
      </c>
      <c r="F308" s="21">
        <f>IF(A308="","",IFERROR(C308*VLOOKUP(A308,Semana!$A$5:$E$54,5,0),0))</f>
        <v/>
      </c>
    </row>
    <row r="309">
      <c r="A309" s="19" t="n"/>
      <c r="B309" s="19" t="n"/>
      <c r="C309" s="22" t="n"/>
      <c r="D309" s="12">
        <f>IF(B309="","",IFERROR(VLOOKUP(B309,Ingredientes!$A$4:$E$203,2,0),"?"))</f>
        <v/>
      </c>
      <c r="E309" s="9">
        <f>IF(B309="","",IFERROR(VLOOKUP(B309,Ingredientes!$A$4:$E$203,5,0)*C309,"ITEM NÃO CADASTRADO"))</f>
        <v/>
      </c>
      <c r="F309" s="21">
        <f>IF(A309="","",IFERROR(C309*VLOOKUP(A309,Semana!$A$5:$E$54,5,0),0))</f>
        <v/>
      </c>
    </row>
    <row r="310">
      <c r="A310" s="19" t="n"/>
      <c r="B310" s="19" t="n"/>
      <c r="C310" s="22" t="n"/>
      <c r="D310" s="12">
        <f>IF(B310="","",IFERROR(VLOOKUP(B310,Ingredientes!$A$4:$E$203,2,0),"?"))</f>
        <v/>
      </c>
      <c r="E310" s="9">
        <f>IF(B310="","",IFERROR(VLOOKUP(B310,Ingredientes!$A$4:$E$203,5,0)*C310,"ITEM NÃO CADASTRADO"))</f>
        <v/>
      </c>
      <c r="F310" s="21">
        <f>IF(A310="","",IFERROR(C310*VLOOKUP(A310,Semana!$A$5:$E$54,5,0),0))</f>
        <v/>
      </c>
    </row>
    <row r="311">
      <c r="A311" s="19" t="n"/>
      <c r="B311" s="19" t="n"/>
      <c r="C311" s="22" t="n"/>
      <c r="D311" s="12">
        <f>IF(B311="","",IFERROR(VLOOKUP(B311,Ingredientes!$A$4:$E$203,2,0),"?"))</f>
        <v/>
      </c>
      <c r="E311" s="9">
        <f>IF(B311="","",IFERROR(VLOOKUP(B311,Ingredientes!$A$4:$E$203,5,0)*C311,"ITEM NÃO CADASTRADO"))</f>
        <v/>
      </c>
      <c r="F311" s="21">
        <f>IF(A311="","",IFERROR(C311*VLOOKUP(A311,Semana!$A$5:$E$54,5,0),0))</f>
        <v/>
      </c>
    </row>
    <row r="312">
      <c r="A312" s="19" t="n"/>
      <c r="B312" s="19" t="n"/>
      <c r="C312" s="22" t="n"/>
      <c r="D312" s="12">
        <f>IF(B312="","",IFERROR(VLOOKUP(B312,Ingredientes!$A$4:$E$203,2,0),"?"))</f>
        <v/>
      </c>
      <c r="E312" s="9">
        <f>IF(B312="","",IFERROR(VLOOKUP(B312,Ingredientes!$A$4:$E$203,5,0)*C312,"ITEM NÃO CADASTRADO"))</f>
        <v/>
      </c>
      <c r="F312" s="21">
        <f>IF(A312="","",IFERROR(C312*VLOOKUP(A312,Semana!$A$5:$E$54,5,0),0))</f>
        <v/>
      </c>
    </row>
    <row r="313">
      <c r="A313" s="19" t="n"/>
      <c r="B313" s="19" t="n"/>
      <c r="C313" s="22" t="n"/>
      <c r="D313" s="12">
        <f>IF(B313="","",IFERROR(VLOOKUP(B313,Ingredientes!$A$4:$E$203,2,0),"?"))</f>
        <v/>
      </c>
      <c r="E313" s="9">
        <f>IF(B313="","",IFERROR(VLOOKUP(B313,Ingredientes!$A$4:$E$203,5,0)*C313,"ITEM NÃO CADASTRADO"))</f>
        <v/>
      </c>
      <c r="F313" s="21">
        <f>IF(A313="","",IFERROR(C313*VLOOKUP(A313,Semana!$A$5:$E$54,5,0),0))</f>
        <v/>
      </c>
    </row>
    <row r="314">
      <c r="A314" s="19" t="n"/>
      <c r="B314" s="19" t="n"/>
      <c r="C314" s="22" t="n"/>
      <c r="D314" s="12">
        <f>IF(B314="","",IFERROR(VLOOKUP(B314,Ingredientes!$A$4:$E$203,2,0),"?"))</f>
        <v/>
      </c>
      <c r="E314" s="9">
        <f>IF(B314="","",IFERROR(VLOOKUP(B314,Ingredientes!$A$4:$E$203,5,0)*C314,"ITEM NÃO CADASTRADO"))</f>
        <v/>
      </c>
      <c r="F314" s="21">
        <f>IF(A314="","",IFERROR(C314*VLOOKUP(A314,Semana!$A$5:$E$54,5,0),0))</f>
        <v/>
      </c>
    </row>
    <row r="315">
      <c r="A315" s="19" t="n"/>
      <c r="B315" s="19" t="n"/>
      <c r="C315" s="22" t="n"/>
      <c r="D315" s="12">
        <f>IF(B315="","",IFERROR(VLOOKUP(B315,Ingredientes!$A$4:$E$203,2,0),"?"))</f>
        <v/>
      </c>
      <c r="E315" s="9">
        <f>IF(B315="","",IFERROR(VLOOKUP(B315,Ingredientes!$A$4:$E$203,5,0)*C315,"ITEM NÃO CADASTRADO"))</f>
        <v/>
      </c>
      <c r="F315" s="21">
        <f>IF(A315="","",IFERROR(C315*VLOOKUP(A315,Semana!$A$5:$E$54,5,0),0))</f>
        <v/>
      </c>
    </row>
    <row r="316">
      <c r="A316" s="19" t="n"/>
      <c r="B316" s="19" t="n"/>
      <c r="C316" s="22" t="n"/>
      <c r="D316" s="12">
        <f>IF(B316="","",IFERROR(VLOOKUP(B316,Ingredientes!$A$4:$E$203,2,0),"?"))</f>
        <v/>
      </c>
      <c r="E316" s="9">
        <f>IF(B316="","",IFERROR(VLOOKUP(B316,Ingredientes!$A$4:$E$203,5,0)*C316,"ITEM NÃO CADASTRADO"))</f>
        <v/>
      </c>
      <c r="F316" s="21">
        <f>IF(A316="","",IFERROR(C316*VLOOKUP(A316,Semana!$A$5:$E$54,5,0),0))</f>
        <v/>
      </c>
    </row>
    <row r="317">
      <c r="A317" s="19" t="n"/>
      <c r="B317" s="19" t="n"/>
      <c r="C317" s="22" t="n"/>
      <c r="D317" s="12">
        <f>IF(B317="","",IFERROR(VLOOKUP(B317,Ingredientes!$A$4:$E$203,2,0),"?"))</f>
        <v/>
      </c>
      <c r="E317" s="9">
        <f>IF(B317="","",IFERROR(VLOOKUP(B317,Ingredientes!$A$4:$E$203,5,0)*C317,"ITEM NÃO CADASTRADO"))</f>
        <v/>
      </c>
      <c r="F317" s="21">
        <f>IF(A317="","",IFERROR(C317*VLOOKUP(A317,Semana!$A$5:$E$54,5,0),0))</f>
        <v/>
      </c>
    </row>
    <row r="318">
      <c r="A318" s="19" t="n"/>
      <c r="B318" s="19" t="n"/>
      <c r="C318" s="22" t="n"/>
      <c r="D318" s="12">
        <f>IF(B318="","",IFERROR(VLOOKUP(B318,Ingredientes!$A$4:$E$203,2,0),"?"))</f>
        <v/>
      </c>
      <c r="E318" s="9">
        <f>IF(B318="","",IFERROR(VLOOKUP(B318,Ingredientes!$A$4:$E$203,5,0)*C318,"ITEM NÃO CADASTRADO"))</f>
        <v/>
      </c>
      <c r="F318" s="21">
        <f>IF(A318="","",IFERROR(C318*VLOOKUP(A318,Semana!$A$5:$E$54,5,0),0))</f>
        <v/>
      </c>
    </row>
    <row r="319">
      <c r="A319" s="19" t="n"/>
      <c r="B319" s="19" t="n"/>
      <c r="C319" s="22" t="n"/>
      <c r="D319" s="12">
        <f>IF(B319="","",IFERROR(VLOOKUP(B319,Ingredientes!$A$4:$E$203,2,0),"?"))</f>
        <v/>
      </c>
      <c r="E319" s="9">
        <f>IF(B319="","",IFERROR(VLOOKUP(B319,Ingredientes!$A$4:$E$203,5,0)*C319,"ITEM NÃO CADASTRADO"))</f>
        <v/>
      </c>
      <c r="F319" s="21">
        <f>IF(A319="","",IFERROR(C319*VLOOKUP(A319,Semana!$A$5:$E$54,5,0),0))</f>
        <v/>
      </c>
    </row>
    <row r="320">
      <c r="A320" s="19" t="n"/>
      <c r="B320" s="19" t="n"/>
      <c r="C320" s="22" t="n"/>
      <c r="D320" s="12">
        <f>IF(B320="","",IFERROR(VLOOKUP(B320,Ingredientes!$A$4:$E$203,2,0),"?"))</f>
        <v/>
      </c>
      <c r="E320" s="9">
        <f>IF(B320="","",IFERROR(VLOOKUP(B320,Ingredientes!$A$4:$E$203,5,0)*C320,"ITEM NÃO CADASTRADO"))</f>
        <v/>
      </c>
      <c r="F320" s="21">
        <f>IF(A320="","",IFERROR(C320*VLOOKUP(A320,Semana!$A$5:$E$54,5,0),0))</f>
        <v/>
      </c>
    </row>
    <row r="321">
      <c r="A321" s="19" t="n"/>
      <c r="B321" s="19" t="n"/>
      <c r="C321" s="22" t="n"/>
      <c r="D321" s="12">
        <f>IF(B321="","",IFERROR(VLOOKUP(B321,Ingredientes!$A$4:$E$203,2,0),"?"))</f>
        <v/>
      </c>
      <c r="E321" s="9">
        <f>IF(B321="","",IFERROR(VLOOKUP(B321,Ingredientes!$A$4:$E$203,5,0)*C321,"ITEM NÃO CADASTRADO"))</f>
        <v/>
      </c>
      <c r="F321" s="21">
        <f>IF(A321="","",IFERROR(C321*VLOOKUP(A321,Semana!$A$5:$E$54,5,0),0))</f>
        <v/>
      </c>
    </row>
    <row r="322">
      <c r="A322" s="19" t="n"/>
      <c r="B322" s="19" t="n"/>
      <c r="C322" s="22" t="n"/>
      <c r="D322" s="12">
        <f>IF(B322="","",IFERROR(VLOOKUP(B322,Ingredientes!$A$4:$E$203,2,0),"?"))</f>
        <v/>
      </c>
      <c r="E322" s="9">
        <f>IF(B322="","",IFERROR(VLOOKUP(B322,Ingredientes!$A$4:$E$203,5,0)*C322,"ITEM NÃO CADASTRADO"))</f>
        <v/>
      </c>
      <c r="F322" s="21">
        <f>IF(A322="","",IFERROR(C322*VLOOKUP(A322,Semana!$A$5:$E$54,5,0),0))</f>
        <v/>
      </c>
    </row>
    <row r="323">
      <c r="A323" s="19" t="n"/>
      <c r="B323" s="19" t="n"/>
      <c r="C323" s="22" t="n"/>
      <c r="D323" s="12">
        <f>IF(B323="","",IFERROR(VLOOKUP(B323,Ingredientes!$A$4:$E$203,2,0),"?"))</f>
        <v/>
      </c>
      <c r="E323" s="9">
        <f>IF(B323="","",IFERROR(VLOOKUP(B323,Ingredientes!$A$4:$E$203,5,0)*C323,"ITEM NÃO CADASTRADO"))</f>
        <v/>
      </c>
      <c r="F323" s="21">
        <f>IF(A323="","",IFERROR(C323*VLOOKUP(A323,Semana!$A$5:$E$54,5,0),0))</f>
        <v/>
      </c>
    </row>
    <row r="324">
      <c r="A324" s="19" t="n"/>
      <c r="B324" s="19" t="n"/>
      <c r="C324" s="22" t="n"/>
      <c r="D324" s="12">
        <f>IF(B324="","",IFERROR(VLOOKUP(B324,Ingredientes!$A$4:$E$203,2,0),"?"))</f>
        <v/>
      </c>
      <c r="E324" s="9">
        <f>IF(B324="","",IFERROR(VLOOKUP(B324,Ingredientes!$A$4:$E$203,5,0)*C324,"ITEM NÃO CADASTRADO"))</f>
        <v/>
      </c>
      <c r="F324" s="21">
        <f>IF(A324="","",IFERROR(C324*VLOOKUP(A324,Semana!$A$5:$E$54,5,0),0))</f>
        <v/>
      </c>
    </row>
    <row r="325">
      <c r="A325" s="19" t="n"/>
      <c r="B325" s="19" t="n"/>
      <c r="C325" s="22" t="n"/>
      <c r="D325" s="12">
        <f>IF(B325="","",IFERROR(VLOOKUP(B325,Ingredientes!$A$4:$E$203,2,0),"?"))</f>
        <v/>
      </c>
      <c r="E325" s="9">
        <f>IF(B325="","",IFERROR(VLOOKUP(B325,Ingredientes!$A$4:$E$203,5,0)*C325,"ITEM NÃO CADASTRADO"))</f>
        <v/>
      </c>
      <c r="F325" s="21">
        <f>IF(A325="","",IFERROR(C325*VLOOKUP(A325,Semana!$A$5:$E$54,5,0),0))</f>
        <v/>
      </c>
    </row>
    <row r="326">
      <c r="A326" s="19" t="n"/>
      <c r="B326" s="19" t="n"/>
      <c r="C326" s="22" t="n"/>
      <c r="D326" s="12">
        <f>IF(B326="","",IFERROR(VLOOKUP(B326,Ingredientes!$A$4:$E$203,2,0),"?"))</f>
        <v/>
      </c>
      <c r="E326" s="9">
        <f>IF(B326="","",IFERROR(VLOOKUP(B326,Ingredientes!$A$4:$E$203,5,0)*C326,"ITEM NÃO CADASTRADO"))</f>
        <v/>
      </c>
      <c r="F326" s="21">
        <f>IF(A326="","",IFERROR(C326*VLOOKUP(A326,Semana!$A$5:$E$54,5,0),0))</f>
        <v/>
      </c>
    </row>
    <row r="327">
      <c r="A327" s="19" t="n"/>
      <c r="B327" s="19" t="n"/>
      <c r="C327" s="22" t="n"/>
      <c r="D327" s="12">
        <f>IF(B327="","",IFERROR(VLOOKUP(B327,Ingredientes!$A$4:$E$203,2,0),"?"))</f>
        <v/>
      </c>
      <c r="E327" s="9">
        <f>IF(B327="","",IFERROR(VLOOKUP(B327,Ingredientes!$A$4:$E$203,5,0)*C327,"ITEM NÃO CADASTRADO"))</f>
        <v/>
      </c>
      <c r="F327" s="21">
        <f>IF(A327="","",IFERROR(C327*VLOOKUP(A327,Semana!$A$5:$E$54,5,0),0))</f>
        <v/>
      </c>
    </row>
    <row r="328">
      <c r="A328" s="19" t="n"/>
      <c r="B328" s="19" t="n"/>
      <c r="C328" s="22" t="n"/>
      <c r="D328" s="12">
        <f>IF(B328="","",IFERROR(VLOOKUP(B328,Ingredientes!$A$4:$E$203,2,0),"?"))</f>
        <v/>
      </c>
      <c r="E328" s="9">
        <f>IF(B328="","",IFERROR(VLOOKUP(B328,Ingredientes!$A$4:$E$203,5,0)*C328,"ITEM NÃO CADASTRADO"))</f>
        <v/>
      </c>
      <c r="F328" s="21">
        <f>IF(A328="","",IFERROR(C328*VLOOKUP(A328,Semana!$A$5:$E$54,5,0),0))</f>
        <v/>
      </c>
    </row>
    <row r="329">
      <c r="A329" s="19" t="n"/>
      <c r="B329" s="19" t="n"/>
      <c r="C329" s="22" t="n"/>
      <c r="D329" s="12">
        <f>IF(B329="","",IFERROR(VLOOKUP(B329,Ingredientes!$A$4:$E$203,2,0),"?"))</f>
        <v/>
      </c>
      <c r="E329" s="9">
        <f>IF(B329="","",IFERROR(VLOOKUP(B329,Ingredientes!$A$4:$E$203,5,0)*C329,"ITEM NÃO CADASTRADO"))</f>
        <v/>
      </c>
      <c r="F329" s="21">
        <f>IF(A329="","",IFERROR(C329*VLOOKUP(A329,Semana!$A$5:$E$54,5,0),0))</f>
        <v/>
      </c>
    </row>
    <row r="330">
      <c r="A330" s="19" t="n"/>
      <c r="B330" s="19" t="n"/>
      <c r="C330" s="22" t="n"/>
      <c r="D330" s="12">
        <f>IF(B330="","",IFERROR(VLOOKUP(B330,Ingredientes!$A$4:$E$203,2,0),"?"))</f>
        <v/>
      </c>
      <c r="E330" s="9">
        <f>IF(B330="","",IFERROR(VLOOKUP(B330,Ingredientes!$A$4:$E$203,5,0)*C330,"ITEM NÃO CADASTRADO"))</f>
        <v/>
      </c>
      <c r="F330" s="21">
        <f>IF(A330="","",IFERROR(C330*VLOOKUP(A330,Semana!$A$5:$E$54,5,0),0))</f>
        <v/>
      </c>
    </row>
    <row r="331">
      <c r="A331" s="19" t="n"/>
      <c r="B331" s="19" t="n"/>
      <c r="C331" s="22" t="n"/>
      <c r="D331" s="12">
        <f>IF(B331="","",IFERROR(VLOOKUP(B331,Ingredientes!$A$4:$E$203,2,0),"?"))</f>
        <v/>
      </c>
      <c r="E331" s="9">
        <f>IF(B331="","",IFERROR(VLOOKUP(B331,Ingredientes!$A$4:$E$203,5,0)*C331,"ITEM NÃO CADASTRADO"))</f>
        <v/>
      </c>
      <c r="F331" s="21">
        <f>IF(A331="","",IFERROR(C331*VLOOKUP(A331,Semana!$A$5:$E$54,5,0),0))</f>
        <v/>
      </c>
    </row>
    <row r="332">
      <c r="A332" s="19" t="n"/>
      <c r="B332" s="19" t="n"/>
      <c r="C332" s="22" t="n"/>
      <c r="D332" s="12">
        <f>IF(B332="","",IFERROR(VLOOKUP(B332,Ingredientes!$A$4:$E$203,2,0),"?"))</f>
        <v/>
      </c>
      <c r="E332" s="9">
        <f>IF(B332="","",IFERROR(VLOOKUP(B332,Ingredientes!$A$4:$E$203,5,0)*C332,"ITEM NÃO CADASTRADO"))</f>
        <v/>
      </c>
      <c r="F332" s="21">
        <f>IF(A332="","",IFERROR(C332*VLOOKUP(A332,Semana!$A$5:$E$54,5,0),0))</f>
        <v/>
      </c>
    </row>
    <row r="333">
      <c r="A333" s="19" t="n"/>
      <c r="B333" s="19" t="n"/>
      <c r="C333" s="22" t="n"/>
      <c r="D333" s="12">
        <f>IF(B333="","",IFERROR(VLOOKUP(B333,Ingredientes!$A$4:$E$203,2,0),"?"))</f>
        <v/>
      </c>
      <c r="E333" s="9">
        <f>IF(B333="","",IFERROR(VLOOKUP(B333,Ingredientes!$A$4:$E$203,5,0)*C333,"ITEM NÃO CADASTRADO"))</f>
        <v/>
      </c>
      <c r="F333" s="21">
        <f>IF(A333="","",IFERROR(C333*VLOOKUP(A333,Semana!$A$5:$E$54,5,0),0))</f>
        <v/>
      </c>
    </row>
    <row r="334">
      <c r="A334" s="19" t="n"/>
      <c r="B334" s="19" t="n"/>
      <c r="C334" s="22" t="n"/>
      <c r="D334" s="12">
        <f>IF(B334="","",IFERROR(VLOOKUP(B334,Ingredientes!$A$4:$E$203,2,0),"?"))</f>
        <v/>
      </c>
      <c r="E334" s="9">
        <f>IF(B334="","",IFERROR(VLOOKUP(B334,Ingredientes!$A$4:$E$203,5,0)*C334,"ITEM NÃO CADASTRADO"))</f>
        <v/>
      </c>
      <c r="F334" s="21">
        <f>IF(A334="","",IFERROR(C334*VLOOKUP(A334,Semana!$A$5:$E$54,5,0),0))</f>
        <v/>
      </c>
    </row>
    <row r="335">
      <c r="A335" s="19" t="n"/>
      <c r="B335" s="19" t="n"/>
      <c r="C335" s="22" t="n"/>
      <c r="D335" s="12">
        <f>IF(B335="","",IFERROR(VLOOKUP(B335,Ingredientes!$A$4:$E$203,2,0),"?"))</f>
        <v/>
      </c>
      <c r="E335" s="9">
        <f>IF(B335="","",IFERROR(VLOOKUP(B335,Ingredientes!$A$4:$E$203,5,0)*C335,"ITEM NÃO CADASTRADO"))</f>
        <v/>
      </c>
      <c r="F335" s="21">
        <f>IF(A335="","",IFERROR(C335*VLOOKUP(A335,Semana!$A$5:$E$54,5,0),0))</f>
        <v/>
      </c>
    </row>
    <row r="336">
      <c r="A336" s="19" t="n"/>
      <c r="B336" s="19" t="n"/>
      <c r="C336" s="22" t="n"/>
      <c r="D336" s="12">
        <f>IF(B336="","",IFERROR(VLOOKUP(B336,Ingredientes!$A$4:$E$203,2,0),"?"))</f>
        <v/>
      </c>
      <c r="E336" s="9">
        <f>IF(B336="","",IFERROR(VLOOKUP(B336,Ingredientes!$A$4:$E$203,5,0)*C336,"ITEM NÃO CADASTRADO"))</f>
        <v/>
      </c>
      <c r="F336" s="21">
        <f>IF(A336="","",IFERROR(C336*VLOOKUP(A336,Semana!$A$5:$E$54,5,0),0))</f>
        <v/>
      </c>
    </row>
    <row r="337">
      <c r="A337" s="19" t="n"/>
      <c r="B337" s="19" t="n"/>
      <c r="C337" s="22" t="n"/>
      <c r="D337" s="12">
        <f>IF(B337="","",IFERROR(VLOOKUP(B337,Ingredientes!$A$4:$E$203,2,0),"?"))</f>
        <v/>
      </c>
      <c r="E337" s="9">
        <f>IF(B337="","",IFERROR(VLOOKUP(B337,Ingredientes!$A$4:$E$203,5,0)*C337,"ITEM NÃO CADASTRADO"))</f>
        <v/>
      </c>
      <c r="F337" s="21">
        <f>IF(A337="","",IFERROR(C337*VLOOKUP(A337,Semana!$A$5:$E$54,5,0),0))</f>
        <v/>
      </c>
    </row>
    <row r="338">
      <c r="A338" s="19" t="n"/>
      <c r="B338" s="19" t="n"/>
      <c r="C338" s="22" t="n"/>
      <c r="D338" s="12">
        <f>IF(B338="","",IFERROR(VLOOKUP(B338,Ingredientes!$A$4:$E$203,2,0),"?"))</f>
        <v/>
      </c>
      <c r="E338" s="9">
        <f>IF(B338="","",IFERROR(VLOOKUP(B338,Ingredientes!$A$4:$E$203,5,0)*C338,"ITEM NÃO CADASTRADO"))</f>
        <v/>
      </c>
      <c r="F338" s="21">
        <f>IF(A338="","",IFERROR(C338*VLOOKUP(A338,Semana!$A$5:$E$54,5,0),0))</f>
        <v/>
      </c>
    </row>
    <row r="339">
      <c r="A339" s="19" t="n"/>
      <c r="B339" s="19" t="n"/>
      <c r="C339" s="22" t="n"/>
      <c r="D339" s="12">
        <f>IF(B339="","",IFERROR(VLOOKUP(B339,Ingredientes!$A$4:$E$203,2,0),"?"))</f>
        <v/>
      </c>
      <c r="E339" s="9">
        <f>IF(B339="","",IFERROR(VLOOKUP(B339,Ingredientes!$A$4:$E$203,5,0)*C339,"ITEM NÃO CADASTRADO"))</f>
        <v/>
      </c>
      <c r="F339" s="21">
        <f>IF(A339="","",IFERROR(C339*VLOOKUP(A339,Semana!$A$5:$E$54,5,0),0))</f>
        <v/>
      </c>
    </row>
    <row r="340">
      <c r="A340" s="19" t="n"/>
      <c r="B340" s="19" t="n"/>
      <c r="C340" s="22" t="n"/>
      <c r="D340" s="12">
        <f>IF(B340="","",IFERROR(VLOOKUP(B340,Ingredientes!$A$4:$E$203,2,0),"?"))</f>
        <v/>
      </c>
      <c r="E340" s="9">
        <f>IF(B340="","",IFERROR(VLOOKUP(B340,Ingredientes!$A$4:$E$203,5,0)*C340,"ITEM NÃO CADASTRADO"))</f>
        <v/>
      </c>
      <c r="F340" s="21">
        <f>IF(A340="","",IFERROR(C340*VLOOKUP(A340,Semana!$A$5:$E$54,5,0),0))</f>
        <v/>
      </c>
    </row>
    <row r="341">
      <c r="A341" s="19" t="n"/>
      <c r="B341" s="19" t="n"/>
      <c r="C341" s="22" t="n"/>
      <c r="D341" s="12">
        <f>IF(B341="","",IFERROR(VLOOKUP(B341,Ingredientes!$A$4:$E$203,2,0),"?"))</f>
        <v/>
      </c>
      <c r="E341" s="9">
        <f>IF(B341="","",IFERROR(VLOOKUP(B341,Ingredientes!$A$4:$E$203,5,0)*C341,"ITEM NÃO CADASTRADO"))</f>
        <v/>
      </c>
      <c r="F341" s="21">
        <f>IF(A341="","",IFERROR(C341*VLOOKUP(A341,Semana!$A$5:$E$54,5,0),0))</f>
        <v/>
      </c>
    </row>
    <row r="342">
      <c r="A342" s="19" t="n"/>
      <c r="B342" s="19" t="n"/>
      <c r="C342" s="22" t="n"/>
      <c r="D342" s="12">
        <f>IF(B342="","",IFERROR(VLOOKUP(B342,Ingredientes!$A$4:$E$203,2,0),"?"))</f>
        <v/>
      </c>
      <c r="E342" s="9">
        <f>IF(B342="","",IFERROR(VLOOKUP(B342,Ingredientes!$A$4:$E$203,5,0)*C342,"ITEM NÃO CADASTRADO"))</f>
        <v/>
      </c>
      <c r="F342" s="21">
        <f>IF(A342="","",IFERROR(C342*VLOOKUP(A342,Semana!$A$5:$E$54,5,0),0))</f>
        <v/>
      </c>
    </row>
    <row r="343">
      <c r="A343" s="19" t="n"/>
      <c r="B343" s="19" t="n"/>
      <c r="C343" s="22" t="n"/>
      <c r="D343" s="12">
        <f>IF(B343="","",IFERROR(VLOOKUP(B343,Ingredientes!$A$4:$E$203,2,0),"?"))</f>
        <v/>
      </c>
      <c r="E343" s="9">
        <f>IF(B343="","",IFERROR(VLOOKUP(B343,Ingredientes!$A$4:$E$203,5,0)*C343,"ITEM NÃO CADASTRADO"))</f>
        <v/>
      </c>
      <c r="F343" s="21">
        <f>IF(A343="","",IFERROR(C343*VLOOKUP(A343,Semana!$A$5:$E$54,5,0),0))</f>
        <v/>
      </c>
    </row>
    <row r="344">
      <c r="A344" s="19" t="n"/>
      <c r="B344" s="19" t="n"/>
      <c r="C344" s="22" t="n"/>
      <c r="D344" s="12">
        <f>IF(B344="","",IFERROR(VLOOKUP(B344,Ingredientes!$A$4:$E$203,2,0),"?"))</f>
        <v/>
      </c>
      <c r="E344" s="9">
        <f>IF(B344="","",IFERROR(VLOOKUP(B344,Ingredientes!$A$4:$E$203,5,0)*C344,"ITEM NÃO CADASTRADO"))</f>
        <v/>
      </c>
      <c r="F344" s="21">
        <f>IF(A344="","",IFERROR(C344*VLOOKUP(A344,Semana!$A$5:$E$54,5,0),0))</f>
        <v/>
      </c>
    </row>
    <row r="345">
      <c r="A345" s="19" t="n"/>
      <c r="B345" s="19" t="n"/>
      <c r="C345" s="22" t="n"/>
      <c r="D345" s="12">
        <f>IF(B345="","",IFERROR(VLOOKUP(B345,Ingredientes!$A$4:$E$203,2,0),"?"))</f>
        <v/>
      </c>
      <c r="E345" s="9">
        <f>IF(B345="","",IFERROR(VLOOKUP(B345,Ingredientes!$A$4:$E$203,5,0)*C345,"ITEM NÃO CADASTRADO"))</f>
        <v/>
      </c>
      <c r="F345" s="21">
        <f>IF(A345="","",IFERROR(C345*VLOOKUP(A345,Semana!$A$5:$E$54,5,0),0))</f>
        <v/>
      </c>
    </row>
    <row r="346">
      <c r="A346" s="19" t="n"/>
      <c r="B346" s="19" t="n"/>
      <c r="C346" s="22" t="n"/>
      <c r="D346" s="12">
        <f>IF(B346="","",IFERROR(VLOOKUP(B346,Ingredientes!$A$4:$E$203,2,0),"?"))</f>
        <v/>
      </c>
      <c r="E346" s="9">
        <f>IF(B346="","",IFERROR(VLOOKUP(B346,Ingredientes!$A$4:$E$203,5,0)*C346,"ITEM NÃO CADASTRADO"))</f>
        <v/>
      </c>
      <c r="F346" s="21">
        <f>IF(A346="","",IFERROR(C346*VLOOKUP(A346,Semana!$A$5:$E$54,5,0),0))</f>
        <v/>
      </c>
    </row>
    <row r="347">
      <c r="A347" s="19" t="n"/>
      <c r="B347" s="19" t="n"/>
      <c r="C347" s="22" t="n"/>
      <c r="D347" s="12">
        <f>IF(B347="","",IFERROR(VLOOKUP(B347,Ingredientes!$A$4:$E$203,2,0),"?"))</f>
        <v/>
      </c>
      <c r="E347" s="9">
        <f>IF(B347="","",IFERROR(VLOOKUP(B347,Ingredientes!$A$4:$E$203,5,0)*C347,"ITEM NÃO CADASTRADO"))</f>
        <v/>
      </c>
      <c r="F347" s="21">
        <f>IF(A347="","",IFERROR(C347*VLOOKUP(A347,Semana!$A$5:$E$54,5,0),0))</f>
        <v/>
      </c>
    </row>
    <row r="348">
      <c r="A348" s="19" t="n"/>
      <c r="B348" s="19" t="n"/>
      <c r="C348" s="22" t="n"/>
      <c r="D348" s="12">
        <f>IF(B348="","",IFERROR(VLOOKUP(B348,Ingredientes!$A$4:$E$203,2,0),"?"))</f>
        <v/>
      </c>
      <c r="E348" s="9">
        <f>IF(B348="","",IFERROR(VLOOKUP(B348,Ingredientes!$A$4:$E$203,5,0)*C348,"ITEM NÃO CADASTRADO"))</f>
        <v/>
      </c>
      <c r="F348" s="21">
        <f>IF(A348="","",IFERROR(C348*VLOOKUP(A348,Semana!$A$5:$E$54,5,0),0))</f>
        <v/>
      </c>
    </row>
    <row r="349">
      <c r="A349" s="19" t="n"/>
      <c r="B349" s="19" t="n"/>
      <c r="C349" s="22" t="n"/>
      <c r="D349" s="12">
        <f>IF(B349="","",IFERROR(VLOOKUP(B349,Ingredientes!$A$4:$E$203,2,0),"?"))</f>
        <v/>
      </c>
      <c r="E349" s="9">
        <f>IF(B349="","",IFERROR(VLOOKUP(B349,Ingredientes!$A$4:$E$203,5,0)*C349,"ITEM NÃO CADASTRADO"))</f>
        <v/>
      </c>
      <c r="F349" s="21">
        <f>IF(A349="","",IFERROR(C349*VLOOKUP(A349,Semana!$A$5:$E$54,5,0),0))</f>
        <v/>
      </c>
    </row>
    <row r="350">
      <c r="A350" s="19" t="n"/>
      <c r="B350" s="19" t="n"/>
      <c r="C350" s="22" t="n"/>
      <c r="D350" s="12">
        <f>IF(B350="","",IFERROR(VLOOKUP(B350,Ingredientes!$A$4:$E$203,2,0),"?"))</f>
        <v/>
      </c>
      <c r="E350" s="9">
        <f>IF(B350="","",IFERROR(VLOOKUP(B350,Ingredientes!$A$4:$E$203,5,0)*C350,"ITEM NÃO CADASTRADO"))</f>
        <v/>
      </c>
      <c r="F350" s="21">
        <f>IF(A350="","",IFERROR(C350*VLOOKUP(A350,Semana!$A$5:$E$54,5,0),0))</f>
        <v/>
      </c>
    </row>
    <row r="351">
      <c r="A351" s="19" t="n"/>
      <c r="B351" s="19" t="n"/>
      <c r="C351" s="22" t="n"/>
      <c r="D351" s="12">
        <f>IF(B351="","",IFERROR(VLOOKUP(B351,Ingredientes!$A$4:$E$203,2,0),"?"))</f>
        <v/>
      </c>
      <c r="E351" s="9">
        <f>IF(B351="","",IFERROR(VLOOKUP(B351,Ingredientes!$A$4:$E$203,5,0)*C351,"ITEM NÃO CADASTRADO"))</f>
        <v/>
      </c>
      <c r="F351" s="21">
        <f>IF(A351="","",IFERROR(C351*VLOOKUP(A351,Semana!$A$5:$E$54,5,0),0))</f>
        <v/>
      </c>
    </row>
    <row r="352">
      <c r="A352" s="19" t="n"/>
      <c r="B352" s="19" t="n"/>
      <c r="C352" s="22" t="n"/>
      <c r="D352" s="12">
        <f>IF(B352="","",IFERROR(VLOOKUP(B352,Ingredientes!$A$4:$E$203,2,0),"?"))</f>
        <v/>
      </c>
      <c r="E352" s="9">
        <f>IF(B352="","",IFERROR(VLOOKUP(B352,Ingredientes!$A$4:$E$203,5,0)*C352,"ITEM NÃO CADASTRADO"))</f>
        <v/>
      </c>
      <c r="F352" s="21">
        <f>IF(A352="","",IFERROR(C352*VLOOKUP(A352,Semana!$A$5:$E$54,5,0),0))</f>
        <v/>
      </c>
    </row>
    <row r="353">
      <c r="A353" s="19" t="n"/>
      <c r="B353" s="19" t="n"/>
      <c r="C353" s="22" t="n"/>
      <c r="D353" s="12">
        <f>IF(B353="","",IFERROR(VLOOKUP(B353,Ingredientes!$A$4:$E$203,2,0),"?"))</f>
        <v/>
      </c>
      <c r="E353" s="9">
        <f>IF(B353="","",IFERROR(VLOOKUP(B353,Ingredientes!$A$4:$E$203,5,0)*C353,"ITEM NÃO CADASTRADO"))</f>
        <v/>
      </c>
      <c r="F353" s="21">
        <f>IF(A353="","",IFERROR(C353*VLOOKUP(A353,Semana!$A$5:$E$54,5,0),0))</f>
        <v/>
      </c>
    </row>
    <row r="354">
      <c r="A354" s="19" t="n"/>
      <c r="B354" s="19" t="n"/>
      <c r="C354" s="22" t="n"/>
      <c r="D354" s="12">
        <f>IF(B354="","",IFERROR(VLOOKUP(B354,Ingredientes!$A$4:$E$203,2,0),"?"))</f>
        <v/>
      </c>
      <c r="E354" s="9">
        <f>IF(B354="","",IFERROR(VLOOKUP(B354,Ingredientes!$A$4:$E$203,5,0)*C354,"ITEM NÃO CADASTRADO"))</f>
        <v/>
      </c>
      <c r="F354" s="21">
        <f>IF(A354="","",IFERROR(C354*VLOOKUP(A354,Semana!$A$5:$E$54,5,0),0))</f>
        <v/>
      </c>
    </row>
    <row r="355">
      <c r="A355" s="19" t="n"/>
      <c r="B355" s="19" t="n"/>
      <c r="C355" s="22" t="n"/>
      <c r="D355" s="12">
        <f>IF(B355="","",IFERROR(VLOOKUP(B355,Ingredientes!$A$4:$E$203,2,0),"?"))</f>
        <v/>
      </c>
      <c r="E355" s="9">
        <f>IF(B355="","",IFERROR(VLOOKUP(B355,Ingredientes!$A$4:$E$203,5,0)*C355,"ITEM NÃO CADASTRADO"))</f>
        <v/>
      </c>
      <c r="F355" s="21">
        <f>IF(A355="","",IFERROR(C355*VLOOKUP(A355,Semana!$A$5:$E$54,5,0),0))</f>
        <v/>
      </c>
    </row>
    <row r="356">
      <c r="A356" s="19" t="n"/>
      <c r="B356" s="19" t="n"/>
      <c r="C356" s="22" t="n"/>
      <c r="D356" s="12">
        <f>IF(B356="","",IFERROR(VLOOKUP(B356,Ingredientes!$A$4:$E$203,2,0),"?"))</f>
        <v/>
      </c>
      <c r="E356" s="9">
        <f>IF(B356="","",IFERROR(VLOOKUP(B356,Ingredientes!$A$4:$E$203,5,0)*C356,"ITEM NÃO CADASTRADO"))</f>
        <v/>
      </c>
      <c r="F356" s="21">
        <f>IF(A356="","",IFERROR(C356*VLOOKUP(A356,Semana!$A$5:$E$54,5,0),0))</f>
        <v/>
      </c>
    </row>
    <row r="357">
      <c r="A357" s="19" t="n"/>
      <c r="B357" s="19" t="n"/>
      <c r="C357" s="22" t="n"/>
      <c r="D357" s="12">
        <f>IF(B357="","",IFERROR(VLOOKUP(B357,Ingredientes!$A$4:$E$203,2,0),"?"))</f>
        <v/>
      </c>
      <c r="E357" s="9">
        <f>IF(B357="","",IFERROR(VLOOKUP(B357,Ingredientes!$A$4:$E$203,5,0)*C357,"ITEM NÃO CADASTRADO"))</f>
        <v/>
      </c>
      <c r="F357" s="21">
        <f>IF(A357="","",IFERROR(C357*VLOOKUP(A357,Semana!$A$5:$E$54,5,0),0))</f>
        <v/>
      </c>
    </row>
    <row r="358">
      <c r="A358" s="19" t="n"/>
      <c r="B358" s="19" t="n"/>
      <c r="C358" s="22" t="n"/>
      <c r="D358" s="12">
        <f>IF(B358="","",IFERROR(VLOOKUP(B358,Ingredientes!$A$4:$E$203,2,0),"?"))</f>
        <v/>
      </c>
      <c r="E358" s="9">
        <f>IF(B358="","",IFERROR(VLOOKUP(B358,Ingredientes!$A$4:$E$203,5,0)*C358,"ITEM NÃO CADASTRADO"))</f>
        <v/>
      </c>
      <c r="F358" s="21">
        <f>IF(A358="","",IFERROR(C358*VLOOKUP(A358,Semana!$A$5:$E$54,5,0),0))</f>
        <v/>
      </c>
    </row>
    <row r="359">
      <c r="A359" s="19" t="n"/>
      <c r="B359" s="19" t="n"/>
      <c r="C359" s="22" t="n"/>
      <c r="D359" s="12">
        <f>IF(B359="","",IFERROR(VLOOKUP(B359,Ingredientes!$A$4:$E$203,2,0),"?"))</f>
        <v/>
      </c>
      <c r="E359" s="9">
        <f>IF(B359="","",IFERROR(VLOOKUP(B359,Ingredientes!$A$4:$E$203,5,0)*C359,"ITEM NÃO CADASTRADO"))</f>
        <v/>
      </c>
      <c r="F359" s="21">
        <f>IF(A359="","",IFERROR(C359*VLOOKUP(A359,Semana!$A$5:$E$54,5,0),0))</f>
        <v/>
      </c>
    </row>
    <row r="360">
      <c r="A360" s="19" t="n"/>
      <c r="B360" s="19" t="n"/>
      <c r="C360" s="22" t="n"/>
      <c r="D360" s="12">
        <f>IF(B360="","",IFERROR(VLOOKUP(B360,Ingredientes!$A$4:$E$203,2,0),"?"))</f>
        <v/>
      </c>
      <c r="E360" s="9">
        <f>IF(B360="","",IFERROR(VLOOKUP(B360,Ingredientes!$A$4:$E$203,5,0)*C360,"ITEM NÃO CADASTRADO"))</f>
        <v/>
      </c>
      <c r="F360" s="21">
        <f>IF(A360="","",IFERROR(C360*VLOOKUP(A360,Semana!$A$5:$E$54,5,0),0))</f>
        <v/>
      </c>
    </row>
    <row r="361">
      <c r="A361" s="19" t="n"/>
      <c r="B361" s="19" t="n"/>
      <c r="C361" s="22" t="n"/>
      <c r="D361" s="12">
        <f>IF(B361="","",IFERROR(VLOOKUP(B361,Ingredientes!$A$4:$E$203,2,0),"?"))</f>
        <v/>
      </c>
      <c r="E361" s="9">
        <f>IF(B361="","",IFERROR(VLOOKUP(B361,Ingredientes!$A$4:$E$203,5,0)*C361,"ITEM NÃO CADASTRADO"))</f>
        <v/>
      </c>
      <c r="F361" s="21">
        <f>IF(A361="","",IFERROR(C361*VLOOKUP(A361,Semana!$A$5:$E$54,5,0),0))</f>
        <v/>
      </c>
    </row>
    <row r="362">
      <c r="A362" s="19" t="n"/>
      <c r="B362" s="19" t="n"/>
      <c r="C362" s="22" t="n"/>
      <c r="D362" s="12">
        <f>IF(B362="","",IFERROR(VLOOKUP(B362,Ingredientes!$A$4:$E$203,2,0),"?"))</f>
        <v/>
      </c>
      <c r="E362" s="9">
        <f>IF(B362="","",IFERROR(VLOOKUP(B362,Ingredientes!$A$4:$E$203,5,0)*C362,"ITEM NÃO CADASTRADO"))</f>
        <v/>
      </c>
      <c r="F362" s="21">
        <f>IF(A362="","",IFERROR(C362*VLOOKUP(A362,Semana!$A$5:$E$54,5,0),0))</f>
        <v/>
      </c>
    </row>
    <row r="363">
      <c r="A363" s="19" t="n"/>
      <c r="B363" s="19" t="n"/>
      <c r="C363" s="22" t="n"/>
      <c r="D363" s="12">
        <f>IF(B363="","",IFERROR(VLOOKUP(B363,Ingredientes!$A$4:$E$203,2,0),"?"))</f>
        <v/>
      </c>
      <c r="E363" s="9">
        <f>IF(B363="","",IFERROR(VLOOKUP(B363,Ingredientes!$A$4:$E$203,5,0)*C363,"ITEM NÃO CADASTRADO"))</f>
        <v/>
      </c>
      <c r="F363" s="21">
        <f>IF(A363="","",IFERROR(C363*VLOOKUP(A363,Semana!$A$5:$E$54,5,0),0))</f>
        <v/>
      </c>
    </row>
    <row r="364">
      <c r="A364" s="19" t="n"/>
      <c r="B364" s="19" t="n"/>
      <c r="C364" s="22" t="n"/>
      <c r="D364" s="12">
        <f>IF(B364="","",IFERROR(VLOOKUP(B364,Ingredientes!$A$4:$E$203,2,0),"?"))</f>
        <v/>
      </c>
      <c r="E364" s="9">
        <f>IF(B364="","",IFERROR(VLOOKUP(B364,Ingredientes!$A$4:$E$203,5,0)*C364,"ITEM NÃO CADASTRADO"))</f>
        <v/>
      </c>
      <c r="F364" s="21">
        <f>IF(A364="","",IFERROR(C364*VLOOKUP(A364,Semana!$A$5:$E$54,5,0),0))</f>
        <v/>
      </c>
    </row>
    <row r="365">
      <c r="A365" s="19" t="n"/>
      <c r="B365" s="19" t="n"/>
      <c r="C365" s="22" t="n"/>
      <c r="D365" s="12">
        <f>IF(B365="","",IFERROR(VLOOKUP(B365,Ingredientes!$A$4:$E$203,2,0),"?"))</f>
        <v/>
      </c>
      <c r="E365" s="9">
        <f>IF(B365="","",IFERROR(VLOOKUP(B365,Ingredientes!$A$4:$E$203,5,0)*C365,"ITEM NÃO CADASTRADO"))</f>
        <v/>
      </c>
      <c r="F365" s="21">
        <f>IF(A365="","",IFERROR(C365*VLOOKUP(A365,Semana!$A$5:$E$54,5,0),0))</f>
        <v/>
      </c>
    </row>
    <row r="366">
      <c r="A366" s="19" t="n"/>
      <c r="B366" s="19" t="n"/>
      <c r="C366" s="22" t="n"/>
      <c r="D366" s="12">
        <f>IF(B366="","",IFERROR(VLOOKUP(B366,Ingredientes!$A$4:$E$203,2,0),"?"))</f>
        <v/>
      </c>
      <c r="E366" s="9">
        <f>IF(B366="","",IFERROR(VLOOKUP(B366,Ingredientes!$A$4:$E$203,5,0)*C366,"ITEM NÃO CADASTRADO"))</f>
        <v/>
      </c>
      <c r="F366" s="21">
        <f>IF(A366="","",IFERROR(C366*VLOOKUP(A366,Semana!$A$5:$E$54,5,0),0))</f>
        <v/>
      </c>
    </row>
    <row r="367">
      <c r="A367" s="19" t="n"/>
      <c r="B367" s="19" t="n"/>
      <c r="C367" s="22" t="n"/>
      <c r="D367" s="12">
        <f>IF(B367="","",IFERROR(VLOOKUP(B367,Ingredientes!$A$4:$E$203,2,0),"?"))</f>
        <v/>
      </c>
      <c r="E367" s="9">
        <f>IF(B367="","",IFERROR(VLOOKUP(B367,Ingredientes!$A$4:$E$203,5,0)*C367,"ITEM NÃO CADASTRADO"))</f>
        <v/>
      </c>
      <c r="F367" s="21">
        <f>IF(A367="","",IFERROR(C367*VLOOKUP(A367,Semana!$A$5:$E$54,5,0),0))</f>
        <v/>
      </c>
    </row>
    <row r="368">
      <c r="A368" s="19" t="n"/>
      <c r="B368" s="19" t="n"/>
      <c r="C368" s="22" t="n"/>
      <c r="D368" s="12">
        <f>IF(B368="","",IFERROR(VLOOKUP(B368,Ingredientes!$A$4:$E$203,2,0),"?"))</f>
        <v/>
      </c>
      <c r="E368" s="9">
        <f>IF(B368="","",IFERROR(VLOOKUP(B368,Ingredientes!$A$4:$E$203,5,0)*C368,"ITEM NÃO CADASTRADO"))</f>
        <v/>
      </c>
      <c r="F368" s="21">
        <f>IF(A368="","",IFERROR(C368*VLOOKUP(A368,Semana!$A$5:$E$54,5,0),0))</f>
        <v/>
      </c>
    </row>
    <row r="369">
      <c r="A369" s="19" t="n"/>
      <c r="B369" s="19" t="n"/>
      <c r="C369" s="22" t="n"/>
      <c r="D369" s="12">
        <f>IF(B369="","",IFERROR(VLOOKUP(B369,Ingredientes!$A$4:$E$203,2,0),"?"))</f>
        <v/>
      </c>
      <c r="E369" s="9">
        <f>IF(B369="","",IFERROR(VLOOKUP(B369,Ingredientes!$A$4:$E$203,5,0)*C369,"ITEM NÃO CADASTRADO"))</f>
        <v/>
      </c>
      <c r="F369" s="21">
        <f>IF(A369="","",IFERROR(C369*VLOOKUP(A369,Semana!$A$5:$E$54,5,0),0))</f>
        <v/>
      </c>
    </row>
    <row r="370">
      <c r="A370" s="19" t="n"/>
      <c r="B370" s="19" t="n"/>
      <c r="C370" s="22" t="n"/>
      <c r="D370" s="12">
        <f>IF(B370="","",IFERROR(VLOOKUP(B370,Ingredientes!$A$4:$E$203,2,0),"?"))</f>
        <v/>
      </c>
      <c r="E370" s="9">
        <f>IF(B370="","",IFERROR(VLOOKUP(B370,Ingredientes!$A$4:$E$203,5,0)*C370,"ITEM NÃO CADASTRADO"))</f>
        <v/>
      </c>
      <c r="F370" s="21">
        <f>IF(A370="","",IFERROR(C370*VLOOKUP(A370,Semana!$A$5:$E$54,5,0),0))</f>
        <v/>
      </c>
    </row>
    <row r="371">
      <c r="A371" s="19" t="n"/>
      <c r="B371" s="19" t="n"/>
      <c r="C371" s="22" t="n"/>
      <c r="D371" s="12">
        <f>IF(B371="","",IFERROR(VLOOKUP(B371,Ingredientes!$A$4:$E$203,2,0),"?"))</f>
        <v/>
      </c>
      <c r="E371" s="9">
        <f>IF(B371="","",IFERROR(VLOOKUP(B371,Ingredientes!$A$4:$E$203,5,0)*C371,"ITEM NÃO CADASTRADO"))</f>
        <v/>
      </c>
      <c r="F371" s="21">
        <f>IF(A371="","",IFERROR(C371*VLOOKUP(A371,Semana!$A$5:$E$54,5,0),0))</f>
        <v/>
      </c>
    </row>
    <row r="372">
      <c r="A372" s="19" t="n"/>
      <c r="B372" s="19" t="n"/>
      <c r="C372" s="22" t="n"/>
      <c r="D372" s="12">
        <f>IF(B372="","",IFERROR(VLOOKUP(B372,Ingredientes!$A$4:$E$203,2,0),"?"))</f>
        <v/>
      </c>
      <c r="E372" s="9">
        <f>IF(B372="","",IFERROR(VLOOKUP(B372,Ingredientes!$A$4:$E$203,5,0)*C372,"ITEM NÃO CADASTRADO"))</f>
        <v/>
      </c>
      <c r="F372" s="21">
        <f>IF(A372="","",IFERROR(C372*VLOOKUP(A372,Semana!$A$5:$E$54,5,0),0))</f>
        <v/>
      </c>
    </row>
    <row r="373">
      <c r="A373" s="19" t="n"/>
      <c r="B373" s="19" t="n"/>
      <c r="C373" s="22" t="n"/>
      <c r="D373" s="12">
        <f>IF(B373="","",IFERROR(VLOOKUP(B373,Ingredientes!$A$4:$E$203,2,0),"?"))</f>
        <v/>
      </c>
      <c r="E373" s="9">
        <f>IF(B373="","",IFERROR(VLOOKUP(B373,Ingredientes!$A$4:$E$203,5,0)*C373,"ITEM NÃO CADASTRADO"))</f>
        <v/>
      </c>
      <c r="F373" s="21">
        <f>IF(A373="","",IFERROR(C373*VLOOKUP(A373,Semana!$A$5:$E$54,5,0),0))</f>
        <v/>
      </c>
    </row>
    <row r="374">
      <c r="A374" s="19" t="n"/>
      <c r="B374" s="19" t="n"/>
      <c r="C374" s="22" t="n"/>
      <c r="D374" s="12">
        <f>IF(B374="","",IFERROR(VLOOKUP(B374,Ingredientes!$A$4:$E$203,2,0),"?"))</f>
        <v/>
      </c>
      <c r="E374" s="9">
        <f>IF(B374="","",IFERROR(VLOOKUP(B374,Ingredientes!$A$4:$E$203,5,0)*C374,"ITEM NÃO CADASTRADO"))</f>
        <v/>
      </c>
      <c r="F374" s="21">
        <f>IF(A374="","",IFERROR(C374*VLOOKUP(A374,Semana!$A$5:$E$54,5,0),0))</f>
        <v/>
      </c>
    </row>
    <row r="375">
      <c r="A375" s="19" t="n"/>
      <c r="B375" s="19" t="n"/>
      <c r="C375" s="22" t="n"/>
      <c r="D375" s="12">
        <f>IF(B375="","",IFERROR(VLOOKUP(B375,Ingredientes!$A$4:$E$203,2,0),"?"))</f>
        <v/>
      </c>
      <c r="E375" s="9">
        <f>IF(B375="","",IFERROR(VLOOKUP(B375,Ingredientes!$A$4:$E$203,5,0)*C375,"ITEM NÃO CADASTRADO"))</f>
        <v/>
      </c>
      <c r="F375" s="21">
        <f>IF(A375="","",IFERROR(C375*VLOOKUP(A375,Semana!$A$5:$E$54,5,0),0))</f>
        <v/>
      </c>
    </row>
    <row r="376">
      <c r="A376" s="19" t="n"/>
      <c r="B376" s="19" t="n"/>
      <c r="C376" s="22" t="n"/>
      <c r="D376" s="12">
        <f>IF(B376="","",IFERROR(VLOOKUP(B376,Ingredientes!$A$4:$E$203,2,0),"?"))</f>
        <v/>
      </c>
      <c r="E376" s="9">
        <f>IF(B376="","",IFERROR(VLOOKUP(B376,Ingredientes!$A$4:$E$203,5,0)*C376,"ITEM NÃO CADASTRADO"))</f>
        <v/>
      </c>
      <c r="F376" s="21">
        <f>IF(A376="","",IFERROR(C376*VLOOKUP(A376,Semana!$A$5:$E$54,5,0),0))</f>
        <v/>
      </c>
    </row>
    <row r="377">
      <c r="A377" s="19" t="n"/>
      <c r="B377" s="19" t="n"/>
      <c r="C377" s="22" t="n"/>
      <c r="D377" s="12">
        <f>IF(B377="","",IFERROR(VLOOKUP(B377,Ingredientes!$A$4:$E$203,2,0),"?"))</f>
        <v/>
      </c>
      <c r="E377" s="9">
        <f>IF(B377="","",IFERROR(VLOOKUP(B377,Ingredientes!$A$4:$E$203,5,0)*C377,"ITEM NÃO CADASTRADO"))</f>
        <v/>
      </c>
      <c r="F377" s="21">
        <f>IF(A377="","",IFERROR(C377*VLOOKUP(A377,Semana!$A$5:$E$54,5,0),0))</f>
        <v/>
      </c>
    </row>
    <row r="378">
      <c r="A378" s="19" t="n"/>
      <c r="B378" s="19" t="n"/>
      <c r="C378" s="22" t="n"/>
      <c r="D378" s="12">
        <f>IF(B378="","",IFERROR(VLOOKUP(B378,Ingredientes!$A$4:$E$203,2,0),"?"))</f>
        <v/>
      </c>
      <c r="E378" s="9">
        <f>IF(B378="","",IFERROR(VLOOKUP(B378,Ingredientes!$A$4:$E$203,5,0)*C378,"ITEM NÃO CADASTRADO"))</f>
        <v/>
      </c>
      <c r="F378" s="21">
        <f>IF(A378="","",IFERROR(C378*VLOOKUP(A378,Semana!$A$5:$E$54,5,0),0))</f>
        <v/>
      </c>
    </row>
    <row r="379">
      <c r="A379" s="19" t="n"/>
      <c r="B379" s="19" t="n"/>
      <c r="C379" s="22" t="n"/>
      <c r="D379" s="12">
        <f>IF(B379="","",IFERROR(VLOOKUP(B379,Ingredientes!$A$4:$E$203,2,0),"?"))</f>
        <v/>
      </c>
      <c r="E379" s="9">
        <f>IF(B379="","",IFERROR(VLOOKUP(B379,Ingredientes!$A$4:$E$203,5,0)*C379,"ITEM NÃO CADASTRADO"))</f>
        <v/>
      </c>
      <c r="F379" s="21">
        <f>IF(A379="","",IFERROR(C379*VLOOKUP(A379,Semana!$A$5:$E$54,5,0),0))</f>
        <v/>
      </c>
    </row>
    <row r="380">
      <c r="A380" s="19" t="n"/>
      <c r="B380" s="19" t="n"/>
      <c r="C380" s="22" t="n"/>
      <c r="D380" s="12">
        <f>IF(B380="","",IFERROR(VLOOKUP(B380,Ingredientes!$A$4:$E$203,2,0),"?"))</f>
        <v/>
      </c>
      <c r="E380" s="9">
        <f>IF(B380="","",IFERROR(VLOOKUP(B380,Ingredientes!$A$4:$E$203,5,0)*C380,"ITEM NÃO CADASTRADO"))</f>
        <v/>
      </c>
      <c r="F380" s="21">
        <f>IF(A380="","",IFERROR(C380*VLOOKUP(A380,Semana!$A$5:$E$54,5,0),0))</f>
        <v/>
      </c>
    </row>
    <row r="381">
      <c r="A381" s="19" t="n"/>
      <c r="B381" s="19" t="n"/>
      <c r="C381" s="22" t="n"/>
      <c r="D381" s="12">
        <f>IF(B381="","",IFERROR(VLOOKUP(B381,Ingredientes!$A$4:$E$203,2,0),"?"))</f>
        <v/>
      </c>
      <c r="E381" s="9">
        <f>IF(B381="","",IFERROR(VLOOKUP(B381,Ingredientes!$A$4:$E$203,5,0)*C381,"ITEM NÃO CADASTRADO"))</f>
        <v/>
      </c>
      <c r="F381" s="21">
        <f>IF(A381="","",IFERROR(C381*VLOOKUP(A381,Semana!$A$5:$E$54,5,0),0))</f>
        <v/>
      </c>
    </row>
    <row r="382">
      <c r="A382" s="19" t="n"/>
      <c r="B382" s="19" t="n"/>
      <c r="C382" s="22" t="n"/>
      <c r="D382" s="12">
        <f>IF(B382="","",IFERROR(VLOOKUP(B382,Ingredientes!$A$4:$E$203,2,0),"?"))</f>
        <v/>
      </c>
      <c r="E382" s="9">
        <f>IF(B382="","",IFERROR(VLOOKUP(B382,Ingredientes!$A$4:$E$203,5,0)*C382,"ITEM NÃO CADASTRADO"))</f>
        <v/>
      </c>
      <c r="F382" s="21">
        <f>IF(A382="","",IFERROR(C382*VLOOKUP(A382,Semana!$A$5:$E$54,5,0),0))</f>
        <v/>
      </c>
    </row>
    <row r="383">
      <c r="A383" s="19" t="n"/>
      <c r="B383" s="19" t="n"/>
      <c r="C383" s="22" t="n"/>
      <c r="D383" s="12">
        <f>IF(B383="","",IFERROR(VLOOKUP(B383,Ingredientes!$A$4:$E$203,2,0),"?"))</f>
        <v/>
      </c>
      <c r="E383" s="9">
        <f>IF(B383="","",IFERROR(VLOOKUP(B383,Ingredientes!$A$4:$E$203,5,0)*C383,"ITEM NÃO CADASTRADO"))</f>
        <v/>
      </c>
      <c r="F383" s="21">
        <f>IF(A383="","",IFERROR(C383*VLOOKUP(A383,Semana!$A$5:$E$54,5,0),0))</f>
        <v/>
      </c>
    </row>
    <row r="384">
      <c r="A384" s="19" t="n"/>
      <c r="B384" s="19" t="n"/>
      <c r="C384" s="22" t="n"/>
      <c r="D384" s="12">
        <f>IF(B384="","",IFERROR(VLOOKUP(B384,Ingredientes!$A$4:$E$203,2,0),"?"))</f>
        <v/>
      </c>
      <c r="E384" s="9">
        <f>IF(B384="","",IFERROR(VLOOKUP(B384,Ingredientes!$A$4:$E$203,5,0)*C384,"ITEM NÃO CADASTRADO"))</f>
        <v/>
      </c>
      <c r="F384" s="21">
        <f>IF(A384="","",IFERROR(C384*VLOOKUP(A384,Semana!$A$5:$E$54,5,0),0))</f>
        <v/>
      </c>
    </row>
    <row r="385">
      <c r="A385" s="19" t="n"/>
      <c r="B385" s="19" t="n"/>
      <c r="C385" s="22" t="n"/>
      <c r="D385" s="12">
        <f>IF(B385="","",IFERROR(VLOOKUP(B385,Ingredientes!$A$4:$E$203,2,0),"?"))</f>
        <v/>
      </c>
      <c r="E385" s="9">
        <f>IF(B385="","",IFERROR(VLOOKUP(B385,Ingredientes!$A$4:$E$203,5,0)*C385,"ITEM NÃO CADASTRADO"))</f>
        <v/>
      </c>
      <c r="F385" s="21">
        <f>IF(A385="","",IFERROR(C385*VLOOKUP(A385,Semana!$A$5:$E$54,5,0),0))</f>
        <v/>
      </c>
    </row>
    <row r="386">
      <c r="A386" s="19" t="n"/>
      <c r="B386" s="19" t="n"/>
      <c r="C386" s="22" t="n"/>
      <c r="D386" s="12">
        <f>IF(B386="","",IFERROR(VLOOKUP(B386,Ingredientes!$A$4:$E$203,2,0),"?"))</f>
        <v/>
      </c>
      <c r="E386" s="9">
        <f>IF(B386="","",IFERROR(VLOOKUP(B386,Ingredientes!$A$4:$E$203,5,0)*C386,"ITEM NÃO CADASTRADO"))</f>
        <v/>
      </c>
      <c r="F386" s="21">
        <f>IF(A386="","",IFERROR(C386*VLOOKUP(A386,Semana!$A$5:$E$54,5,0),0))</f>
        <v/>
      </c>
    </row>
    <row r="387">
      <c r="A387" s="19" t="n"/>
      <c r="B387" s="19" t="n"/>
      <c r="C387" s="22" t="n"/>
      <c r="D387" s="12">
        <f>IF(B387="","",IFERROR(VLOOKUP(B387,Ingredientes!$A$4:$E$203,2,0),"?"))</f>
        <v/>
      </c>
      <c r="E387" s="9">
        <f>IF(B387="","",IFERROR(VLOOKUP(B387,Ingredientes!$A$4:$E$203,5,0)*C387,"ITEM NÃO CADASTRADO"))</f>
        <v/>
      </c>
      <c r="F387" s="21">
        <f>IF(A387="","",IFERROR(C387*VLOOKUP(A387,Semana!$A$5:$E$54,5,0),0))</f>
        <v/>
      </c>
    </row>
    <row r="388">
      <c r="A388" s="19" t="n"/>
      <c r="B388" s="19" t="n"/>
      <c r="C388" s="22" t="n"/>
      <c r="D388" s="12">
        <f>IF(B388="","",IFERROR(VLOOKUP(B388,Ingredientes!$A$4:$E$203,2,0),"?"))</f>
        <v/>
      </c>
      <c r="E388" s="9">
        <f>IF(B388="","",IFERROR(VLOOKUP(B388,Ingredientes!$A$4:$E$203,5,0)*C388,"ITEM NÃO CADASTRADO"))</f>
        <v/>
      </c>
      <c r="F388" s="21">
        <f>IF(A388="","",IFERROR(C388*VLOOKUP(A388,Semana!$A$5:$E$54,5,0),0))</f>
        <v/>
      </c>
    </row>
    <row r="389">
      <c r="A389" s="19" t="n"/>
      <c r="B389" s="19" t="n"/>
      <c r="C389" s="22" t="n"/>
      <c r="D389" s="12">
        <f>IF(B389="","",IFERROR(VLOOKUP(B389,Ingredientes!$A$4:$E$203,2,0),"?"))</f>
        <v/>
      </c>
      <c r="E389" s="9">
        <f>IF(B389="","",IFERROR(VLOOKUP(B389,Ingredientes!$A$4:$E$203,5,0)*C389,"ITEM NÃO CADASTRADO"))</f>
        <v/>
      </c>
      <c r="F389" s="21">
        <f>IF(A389="","",IFERROR(C389*VLOOKUP(A389,Semana!$A$5:$E$54,5,0),0))</f>
        <v/>
      </c>
    </row>
    <row r="390">
      <c r="A390" s="19" t="n"/>
      <c r="B390" s="19" t="n"/>
      <c r="C390" s="22" t="n"/>
      <c r="D390" s="12">
        <f>IF(B390="","",IFERROR(VLOOKUP(B390,Ingredientes!$A$4:$E$203,2,0),"?"))</f>
        <v/>
      </c>
      <c r="E390" s="9">
        <f>IF(B390="","",IFERROR(VLOOKUP(B390,Ingredientes!$A$4:$E$203,5,0)*C390,"ITEM NÃO CADASTRADO"))</f>
        <v/>
      </c>
      <c r="F390" s="21">
        <f>IF(A390="","",IFERROR(C390*VLOOKUP(A390,Semana!$A$5:$E$54,5,0),0))</f>
        <v/>
      </c>
    </row>
    <row r="391">
      <c r="A391" s="19" t="n"/>
      <c r="B391" s="19" t="n"/>
      <c r="C391" s="22" t="n"/>
      <c r="D391" s="12">
        <f>IF(B391="","",IFERROR(VLOOKUP(B391,Ingredientes!$A$4:$E$203,2,0),"?"))</f>
        <v/>
      </c>
      <c r="E391" s="9">
        <f>IF(B391="","",IFERROR(VLOOKUP(B391,Ingredientes!$A$4:$E$203,5,0)*C391,"ITEM NÃO CADASTRADO"))</f>
        <v/>
      </c>
      <c r="F391" s="21">
        <f>IF(A391="","",IFERROR(C391*VLOOKUP(A391,Semana!$A$5:$E$54,5,0),0))</f>
        <v/>
      </c>
    </row>
    <row r="392">
      <c r="A392" s="19" t="n"/>
      <c r="B392" s="19" t="n"/>
      <c r="C392" s="22" t="n"/>
      <c r="D392" s="12">
        <f>IF(B392="","",IFERROR(VLOOKUP(B392,Ingredientes!$A$4:$E$203,2,0),"?"))</f>
        <v/>
      </c>
      <c r="E392" s="9">
        <f>IF(B392="","",IFERROR(VLOOKUP(B392,Ingredientes!$A$4:$E$203,5,0)*C392,"ITEM NÃO CADASTRADO"))</f>
        <v/>
      </c>
      <c r="F392" s="21">
        <f>IF(A392="","",IFERROR(C392*VLOOKUP(A392,Semana!$A$5:$E$54,5,0),0))</f>
        <v/>
      </c>
    </row>
    <row r="393">
      <c r="A393" s="19" t="n"/>
      <c r="B393" s="19" t="n"/>
      <c r="C393" s="22" t="n"/>
      <c r="D393" s="12">
        <f>IF(B393="","",IFERROR(VLOOKUP(B393,Ingredientes!$A$4:$E$203,2,0),"?"))</f>
        <v/>
      </c>
      <c r="E393" s="9">
        <f>IF(B393="","",IFERROR(VLOOKUP(B393,Ingredientes!$A$4:$E$203,5,0)*C393,"ITEM NÃO CADASTRADO"))</f>
        <v/>
      </c>
      <c r="F393" s="21">
        <f>IF(A393="","",IFERROR(C393*VLOOKUP(A393,Semana!$A$5:$E$54,5,0),0))</f>
        <v/>
      </c>
    </row>
    <row r="394">
      <c r="A394" s="19" t="n"/>
      <c r="B394" s="19" t="n"/>
      <c r="C394" s="22" t="n"/>
      <c r="D394" s="12">
        <f>IF(B394="","",IFERROR(VLOOKUP(B394,Ingredientes!$A$4:$E$203,2,0),"?"))</f>
        <v/>
      </c>
      <c r="E394" s="9">
        <f>IF(B394="","",IFERROR(VLOOKUP(B394,Ingredientes!$A$4:$E$203,5,0)*C394,"ITEM NÃO CADASTRADO"))</f>
        <v/>
      </c>
      <c r="F394" s="21">
        <f>IF(A394="","",IFERROR(C394*VLOOKUP(A394,Semana!$A$5:$E$54,5,0),0))</f>
        <v/>
      </c>
    </row>
    <row r="395">
      <c r="A395" s="19" t="n"/>
      <c r="B395" s="19" t="n"/>
      <c r="C395" s="22" t="n"/>
      <c r="D395" s="12">
        <f>IF(B395="","",IFERROR(VLOOKUP(B395,Ingredientes!$A$4:$E$203,2,0),"?"))</f>
        <v/>
      </c>
      <c r="E395" s="9">
        <f>IF(B395="","",IFERROR(VLOOKUP(B395,Ingredientes!$A$4:$E$203,5,0)*C395,"ITEM NÃO CADASTRADO"))</f>
        <v/>
      </c>
      <c r="F395" s="21">
        <f>IF(A395="","",IFERROR(C395*VLOOKUP(A395,Semana!$A$5:$E$54,5,0),0))</f>
        <v/>
      </c>
    </row>
    <row r="396">
      <c r="A396" s="19" t="n"/>
      <c r="B396" s="19" t="n"/>
      <c r="C396" s="22" t="n"/>
      <c r="D396" s="12">
        <f>IF(B396="","",IFERROR(VLOOKUP(B396,Ingredientes!$A$4:$E$203,2,0),"?"))</f>
        <v/>
      </c>
      <c r="E396" s="9">
        <f>IF(B396="","",IFERROR(VLOOKUP(B396,Ingredientes!$A$4:$E$203,5,0)*C396,"ITEM NÃO CADASTRADO"))</f>
        <v/>
      </c>
      <c r="F396" s="21">
        <f>IF(A396="","",IFERROR(C396*VLOOKUP(A396,Semana!$A$5:$E$54,5,0),0))</f>
        <v/>
      </c>
    </row>
    <row r="397">
      <c r="A397" s="19" t="n"/>
      <c r="B397" s="19" t="n"/>
      <c r="C397" s="22" t="n"/>
      <c r="D397" s="12">
        <f>IF(B397="","",IFERROR(VLOOKUP(B397,Ingredientes!$A$4:$E$203,2,0),"?"))</f>
        <v/>
      </c>
      <c r="E397" s="9">
        <f>IF(B397="","",IFERROR(VLOOKUP(B397,Ingredientes!$A$4:$E$203,5,0)*C397,"ITEM NÃO CADASTRADO"))</f>
        <v/>
      </c>
      <c r="F397" s="21">
        <f>IF(A397="","",IFERROR(C397*VLOOKUP(A397,Semana!$A$5:$E$54,5,0),0))</f>
        <v/>
      </c>
    </row>
    <row r="398">
      <c r="A398" s="19" t="n"/>
      <c r="B398" s="19" t="n"/>
      <c r="C398" s="22" t="n"/>
      <c r="D398" s="12">
        <f>IF(B398="","",IFERROR(VLOOKUP(B398,Ingredientes!$A$4:$E$203,2,0),"?"))</f>
        <v/>
      </c>
      <c r="E398" s="9">
        <f>IF(B398="","",IFERROR(VLOOKUP(B398,Ingredientes!$A$4:$E$203,5,0)*C398,"ITEM NÃO CADASTRADO"))</f>
        <v/>
      </c>
      <c r="F398" s="21">
        <f>IF(A398="","",IFERROR(C398*VLOOKUP(A398,Semana!$A$5:$E$54,5,0),0))</f>
        <v/>
      </c>
    </row>
    <row r="399">
      <c r="A399" s="19" t="n"/>
      <c r="B399" s="19" t="n"/>
      <c r="C399" s="22" t="n"/>
      <c r="D399" s="12">
        <f>IF(B399="","",IFERROR(VLOOKUP(B399,Ingredientes!$A$4:$E$203,2,0),"?"))</f>
        <v/>
      </c>
      <c r="E399" s="9">
        <f>IF(B399="","",IFERROR(VLOOKUP(B399,Ingredientes!$A$4:$E$203,5,0)*C399,"ITEM NÃO CADASTRADO"))</f>
        <v/>
      </c>
      <c r="F399" s="21">
        <f>IF(A399="","",IFERROR(C399*VLOOKUP(A399,Semana!$A$5:$E$54,5,0),0))</f>
        <v/>
      </c>
    </row>
    <row r="400">
      <c r="A400" s="19" t="n"/>
      <c r="B400" s="19" t="n"/>
      <c r="C400" s="22" t="n"/>
      <c r="D400" s="12">
        <f>IF(B400="","",IFERROR(VLOOKUP(B400,Ingredientes!$A$4:$E$203,2,0),"?"))</f>
        <v/>
      </c>
      <c r="E400" s="9">
        <f>IF(B400="","",IFERROR(VLOOKUP(B400,Ingredientes!$A$4:$E$203,5,0)*C400,"ITEM NÃO CADASTRADO"))</f>
        <v/>
      </c>
      <c r="F400" s="21">
        <f>IF(A400="","",IFERROR(C400*VLOOKUP(A400,Semana!$A$5:$E$54,5,0),0))</f>
        <v/>
      </c>
    </row>
    <row r="401">
      <c r="A401" s="19" t="n"/>
      <c r="B401" s="19" t="n"/>
      <c r="C401" s="22" t="n"/>
      <c r="D401" s="12">
        <f>IF(B401="","",IFERROR(VLOOKUP(B401,Ingredientes!$A$4:$E$203,2,0),"?"))</f>
        <v/>
      </c>
      <c r="E401" s="9">
        <f>IF(B401="","",IFERROR(VLOOKUP(B401,Ingredientes!$A$4:$E$203,5,0)*C401,"ITEM NÃO CADASTRADO"))</f>
        <v/>
      </c>
      <c r="F401" s="21">
        <f>IF(A401="","",IFERROR(C401*VLOOKUP(A401,Semana!$A$5:$E$54,5,0),0))</f>
        <v/>
      </c>
    </row>
    <row r="402">
      <c r="A402" s="19" t="n"/>
      <c r="B402" s="19" t="n"/>
      <c r="C402" s="22" t="n"/>
      <c r="D402" s="12">
        <f>IF(B402="","",IFERROR(VLOOKUP(B402,Ingredientes!$A$4:$E$203,2,0),"?"))</f>
        <v/>
      </c>
      <c r="E402" s="9">
        <f>IF(B402="","",IFERROR(VLOOKUP(B402,Ingredientes!$A$4:$E$203,5,0)*C402,"ITEM NÃO CADASTRADO"))</f>
        <v/>
      </c>
      <c r="F402" s="21">
        <f>IF(A402="","",IFERROR(C402*VLOOKUP(A402,Semana!$A$5:$E$54,5,0),0))</f>
        <v/>
      </c>
    </row>
    <row r="403">
      <c r="A403" s="19" t="n"/>
      <c r="B403" s="19" t="n"/>
      <c r="C403" s="22" t="n"/>
      <c r="D403" s="12">
        <f>IF(B403="","",IFERROR(VLOOKUP(B403,Ingredientes!$A$4:$E$203,2,0),"?"))</f>
        <v/>
      </c>
      <c r="E403" s="9">
        <f>IF(B403="","",IFERROR(VLOOKUP(B403,Ingredientes!$A$4:$E$203,5,0)*C403,"ITEM NÃO CADASTRADO"))</f>
        <v/>
      </c>
      <c r="F403" s="21">
        <f>IF(A403="","",IFERROR(C403*VLOOKUP(A403,Semana!$A$5:$E$54,5,0),0))</f>
        <v/>
      </c>
    </row>
    <row r="404">
      <c r="A404" s="19" t="n"/>
      <c r="B404" s="19" t="n"/>
      <c r="C404" s="22" t="n"/>
      <c r="D404" s="12">
        <f>IF(B404="","",IFERROR(VLOOKUP(B404,Ingredientes!$A$4:$E$203,2,0),"?"))</f>
        <v/>
      </c>
      <c r="E404" s="9">
        <f>IF(B404="","",IFERROR(VLOOKUP(B404,Ingredientes!$A$4:$E$203,5,0)*C404,"ITEM NÃO CADASTRADO"))</f>
        <v/>
      </c>
      <c r="F404" s="21">
        <f>IF(A404="","",IFERROR(C404*VLOOKUP(A404,Semana!$A$5:$E$54,5,0),0))</f>
        <v/>
      </c>
    </row>
    <row r="405">
      <c r="A405" s="19" t="n"/>
      <c r="B405" s="19" t="n"/>
      <c r="C405" s="22" t="n"/>
      <c r="D405" s="12">
        <f>IF(B405="","",IFERROR(VLOOKUP(B405,Ingredientes!$A$4:$E$203,2,0),"?"))</f>
        <v/>
      </c>
      <c r="E405" s="9">
        <f>IF(B405="","",IFERROR(VLOOKUP(B405,Ingredientes!$A$4:$E$203,5,0)*C405,"ITEM NÃO CADASTRADO"))</f>
        <v/>
      </c>
      <c r="F405" s="21">
        <f>IF(A405="","",IFERROR(C405*VLOOKUP(A405,Semana!$A$5:$E$54,5,0),0))</f>
        <v/>
      </c>
    </row>
    <row r="406">
      <c r="A406" s="19" t="n"/>
      <c r="B406" s="19" t="n"/>
      <c r="C406" s="22" t="n"/>
      <c r="D406" s="12">
        <f>IF(B406="","",IFERROR(VLOOKUP(B406,Ingredientes!$A$4:$E$203,2,0),"?"))</f>
        <v/>
      </c>
      <c r="E406" s="9">
        <f>IF(B406="","",IFERROR(VLOOKUP(B406,Ingredientes!$A$4:$E$203,5,0)*C406,"ITEM NÃO CADASTRADO"))</f>
        <v/>
      </c>
      <c r="F406" s="21">
        <f>IF(A406="","",IFERROR(C406*VLOOKUP(A406,Semana!$A$5:$E$54,5,0),0))</f>
        <v/>
      </c>
    </row>
    <row r="407">
      <c r="A407" s="19" t="n"/>
      <c r="B407" s="19" t="n"/>
      <c r="C407" s="22" t="n"/>
      <c r="D407" s="12">
        <f>IF(B407="","",IFERROR(VLOOKUP(B407,Ingredientes!$A$4:$E$203,2,0),"?"))</f>
        <v/>
      </c>
      <c r="E407" s="9">
        <f>IF(B407="","",IFERROR(VLOOKUP(B407,Ingredientes!$A$4:$E$203,5,0)*C407,"ITEM NÃO CADASTRADO"))</f>
        <v/>
      </c>
      <c r="F407" s="21">
        <f>IF(A407="","",IFERROR(C407*VLOOKUP(A407,Semana!$A$5:$E$54,5,0),0))</f>
        <v/>
      </c>
    </row>
    <row r="408">
      <c r="A408" s="19" t="n"/>
      <c r="B408" s="19" t="n"/>
      <c r="C408" s="22" t="n"/>
      <c r="D408" s="12">
        <f>IF(B408="","",IFERROR(VLOOKUP(B408,Ingredientes!$A$4:$E$203,2,0),"?"))</f>
        <v/>
      </c>
      <c r="E408" s="9">
        <f>IF(B408="","",IFERROR(VLOOKUP(B408,Ingredientes!$A$4:$E$203,5,0)*C408,"ITEM NÃO CADASTRADO"))</f>
        <v/>
      </c>
      <c r="F408" s="21">
        <f>IF(A408="","",IFERROR(C408*VLOOKUP(A408,Semana!$A$5:$E$54,5,0),0))</f>
        <v/>
      </c>
    </row>
    <row r="409">
      <c r="A409" s="19" t="n"/>
      <c r="B409" s="19" t="n"/>
      <c r="C409" s="22" t="n"/>
      <c r="D409" s="12">
        <f>IF(B409="","",IFERROR(VLOOKUP(B409,Ingredientes!$A$4:$E$203,2,0),"?"))</f>
        <v/>
      </c>
      <c r="E409" s="9">
        <f>IF(B409="","",IFERROR(VLOOKUP(B409,Ingredientes!$A$4:$E$203,5,0)*C409,"ITEM NÃO CADASTRADO"))</f>
        <v/>
      </c>
      <c r="F409" s="21">
        <f>IF(A409="","",IFERROR(C409*VLOOKUP(A409,Semana!$A$5:$E$54,5,0),0))</f>
        <v/>
      </c>
    </row>
    <row r="410">
      <c r="A410" s="19" t="n"/>
      <c r="B410" s="19" t="n"/>
      <c r="C410" s="22" t="n"/>
      <c r="D410" s="12">
        <f>IF(B410="","",IFERROR(VLOOKUP(B410,Ingredientes!$A$4:$E$203,2,0),"?"))</f>
        <v/>
      </c>
      <c r="E410" s="9">
        <f>IF(B410="","",IFERROR(VLOOKUP(B410,Ingredientes!$A$4:$E$203,5,0)*C410,"ITEM NÃO CADASTRADO"))</f>
        <v/>
      </c>
      <c r="F410" s="21">
        <f>IF(A410="","",IFERROR(C410*VLOOKUP(A410,Semana!$A$5:$E$54,5,0),0))</f>
        <v/>
      </c>
    </row>
    <row r="411">
      <c r="A411" s="19" t="n"/>
      <c r="B411" s="19" t="n"/>
      <c r="C411" s="22" t="n"/>
      <c r="D411" s="12">
        <f>IF(B411="","",IFERROR(VLOOKUP(B411,Ingredientes!$A$4:$E$203,2,0),"?"))</f>
        <v/>
      </c>
      <c r="E411" s="9">
        <f>IF(B411="","",IFERROR(VLOOKUP(B411,Ingredientes!$A$4:$E$203,5,0)*C411,"ITEM NÃO CADASTRADO"))</f>
        <v/>
      </c>
      <c r="F411" s="21">
        <f>IF(A411="","",IFERROR(C411*VLOOKUP(A411,Semana!$A$5:$E$54,5,0),0))</f>
        <v/>
      </c>
    </row>
    <row r="412">
      <c r="A412" s="19" t="n"/>
      <c r="B412" s="19" t="n"/>
      <c r="C412" s="22" t="n"/>
      <c r="D412" s="12">
        <f>IF(B412="","",IFERROR(VLOOKUP(B412,Ingredientes!$A$4:$E$203,2,0),"?"))</f>
        <v/>
      </c>
      <c r="E412" s="9">
        <f>IF(B412="","",IFERROR(VLOOKUP(B412,Ingredientes!$A$4:$E$203,5,0)*C412,"ITEM NÃO CADASTRADO"))</f>
        <v/>
      </c>
      <c r="F412" s="21">
        <f>IF(A412="","",IFERROR(C412*VLOOKUP(A412,Semana!$A$5:$E$54,5,0),0))</f>
        <v/>
      </c>
    </row>
    <row r="413">
      <c r="A413" s="19" t="n"/>
      <c r="B413" s="19" t="n"/>
      <c r="C413" s="22" t="n"/>
      <c r="D413" s="12">
        <f>IF(B413="","",IFERROR(VLOOKUP(B413,Ingredientes!$A$4:$E$203,2,0),"?"))</f>
        <v/>
      </c>
      <c r="E413" s="9">
        <f>IF(B413="","",IFERROR(VLOOKUP(B413,Ingredientes!$A$4:$E$203,5,0)*C413,"ITEM NÃO CADASTRADO"))</f>
        <v/>
      </c>
      <c r="F413" s="21">
        <f>IF(A413="","",IFERROR(C413*VLOOKUP(A413,Semana!$A$5:$E$54,5,0),0))</f>
        <v/>
      </c>
    </row>
    <row r="414">
      <c r="A414" s="19" t="n"/>
      <c r="B414" s="19" t="n"/>
      <c r="C414" s="22" t="n"/>
      <c r="D414" s="12">
        <f>IF(B414="","",IFERROR(VLOOKUP(B414,Ingredientes!$A$4:$E$203,2,0),"?"))</f>
        <v/>
      </c>
      <c r="E414" s="9">
        <f>IF(B414="","",IFERROR(VLOOKUP(B414,Ingredientes!$A$4:$E$203,5,0)*C414,"ITEM NÃO CADASTRADO"))</f>
        <v/>
      </c>
      <c r="F414" s="21">
        <f>IF(A414="","",IFERROR(C414*VLOOKUP(A414,Semana!$A$5:$E$54,5,0),0))</f>
        <v/>
      </c>
    </row>
    <row r="415">
      <c r="A415" s="19" t="n"/>
      <c r="B415" s="19" t="n"/>
      <c r="C415" s="22" t="n"/>
      <c r="D415" s="12">
        <f>IF(B415="","",IFERROR(VLOOKUP(B415,Ingredientes!$A$4:$E$203,2,0),"?"))</f>
        <v/>
      </c>
      <c r="E415" s="9">
        <f>IF(B415="","",IFERROR(VLOOKUP(B415,Ingredientes!$A$4:$E$203,5,0)*C415,"ITEM NÃO CADASTRADO"))</f>
        <v/>
      </c>
      <c r="F415" s="21">
        <f>IF(A415="","",IFERROR(C415*VLOOKUP(A415,Semana!$A$5:$E$54,5,0),0))</f>
        <v/>
      </c>
    </row>
    <row r="416">
      <c r="A416" s="19" t="n"/>
      <c r="B416" s="19" t="n"/>
      <c r="C416" s="22" t="n"/>
      <c r="D416" s="12">
        <f>IF(B416="","",IFERROR(VLOOKUP(B416,Ingredientes!$A$4:$E$203,2,0),"?"))</f>
        <v/>
      </c>
      <c r="E416" s="9">
        <f>IF(B416="","",IFERROR(VLOOKUP(B416,Ingredientes!$A$4:$E$203,5,0)*C416,"ITEM NÃO CADASTRADO"))</f>
        <v/>
      </c>
      <c r="F416" s="21">
        <f>IF(A416="","",IFERROR(C416*VLOOKUP(A416,Semana!$A$5:$E$54,5,0),0))</f>
        <v/>
      </c>
    </row>
    <row r="417">
      <c r="A417" s="19" t="n"/>
      <c r="B417" s="19" t="n"/>
      <c r="C417" s="22" t="n"/>
      <c r="D417" s="12">
        <f>IF(B417="","",IFERROR(VLOOKUP(B417,Ingredientes!$A$4:$E$203,2,0),"?"))</f>
        <v/>
      </c>
      <c r="E417" s="9">
        <f>IF(B417="","",IFERROR(VLOOKUP(B417,Ingredientes!$A$4:$E$203,5,0)*C417,"ITEM NÃO CADASTRADO"))</f>
        <v/>
      </c>
      <c r="F417" s="21">
        <f>IF(A417="","",IFERROR(C417*VLOOKUP(A417,Semana!$A$5:$E$54,5,0),0))</f>
        <v/>
      </c>
    </row>
    <row r="418">
      <c r="A418" s="19" t="n"/>
      <c r="B418" s="19" t="n"/>
      <c r="C418" s="22" t="n"/>
      <c r="D418" s="12">
        <f>IF(B418="","",IFERROR(VLOOKUP(B418,Ingredientes!$A$4:$E$203,2,0),"?"))</f>
        <v/>
      </c>
      <c r="E418" s="9">
        <f>IF(B418="","",IFERROR(VLOOKUP(B418,Ingredientes!$A$4:$E$203,5,0)*C418,"ITEM NÃO CADASTRADO"))</f>
        <v/>
      </c>
      <c r="F418" s="21">
        <f>IF(A418="","",IFERROR(C418*VLOOKUP(A418,Semana!$A$5:$E$54,5,0),0))</f>
        <v/>
      </c>
    </row>
    <row r="419">
      <c r="A419" s="19" t="n"/>
      <c r="B419" s="19" t="n"/>
      <c r="C419" s="22" t="n"/>
      <c r="D419" s="12">
        <f>IF(B419="","",IFERROR(VLOOKUP(B419,Ingredientes!$A$4:$E$203,2,0),"?"))</f>
        <v/>
      </c>
      <c r="E419" s="9">
        <f>IF(B419="","",IFERROR(VLOOKUP(B419,Ingredientes!$A$4:$E$203,5,0)*C419,"ITEM NÃO CADASTRADO"))</f>
        <v/>
      </c>
      <c r="F419" s="21">
        <f>IF(A419="","",IFERROR(C419*VLOOKUP(A419,Semana!$A$5:$E$54,5,0),0))</f>
        <v/>
      </c>
    </row>
    <row r="420">
      <c r="A420" s="19" t="n"/>
      <c r="B420" s="19" t="n"/>
      <c r="C420" s="22" t="n"/>
      <c r="D420" s="12">
        <f>IF(B420="","",IFERROR(VLOOKUP(B420,Ingredientes!$A$4:$E$203,2,0),"?"))</f>
        <v/>
      </c>
      <c r="E420" s="9">
        <f>IF(B420="","",IFERROR(VLOOKUP(B420,Ingredientes!$A$4:$E$203,5,0)*C420,"ITEM NÃO CADASTRADO"))</f>
        <v/>
      </c>
      <c r="F420" s="21">
        <f>IF(A420="","",IFERROR(C420*VLOOKUP(A420,Semana!$A$5:$E$54,5,0),0))</f>
        <v/>
      </c>
    </row>
    <row r="421">
      <c r="A421" s="19" t="n"/>
      <c r="B421" s="19" t="n"/>
      <c r="C421" s="22" t="n"/>
      <c r="D421" s="12">
        <f>IF(B421="","",IFERROR(VLOOKUP(B421,Ingredientes!$A$4:$E$203,2,0),"?"))</f>
        <v/>
      </c>
      <c r="E421" s="9">
        <f>IF(B421="","",IFERROR(VLOOKUP(B421,Ingredientes!$A$4:$E$203,5,0)*C421,"ITEM NÃO CADASTRADO"))</f>
        <v/>
      </c>
      <c r="F421" s="21">
        <f>IF(A421="","",IFERROR(C421*VLOOKUP(A421,Semana!$A$5:$E$54,5,0),0))</f>
        <v/>
      </c>
    </row>
    <row r="422">
      <c r="A422" s="19" t="n"/>
      <c r="B422" s="19" t="n"/>
      <c r="C422" s="22" t="n"/>
      <c r="D422" s="12">
        <f>IF(B422="","",IFERROR(VLOOKUP(B422,Ingredientes!$A$4:$E$203,2,0),"?"))</f>
        <v/>
      </c>
      <c r="E422" s="9">
        <f>IF(B422="","",IFERROR(VLOOKUP(B422,Ingredientes!$A$4:$E$203,5,0)*C422,"ITEM NÃO CADASTRADO"))</f>
        <v/>
      </c>
      <c r="F422" s="21">
        <f>IF(A422="","",IFERROR(C422*VLOOKUP(A422,Semana!$A$5:$E$54,5,0),0))</f>
        <v/>
      </c>
    </row>
    <row r="423">
      <c r="A423" s="19" t="n"/>
      <c r="B423" s="19" t="n"/>
      <c r="C423" s="22" t="n"/>
      <c r="D423" s="12">
        <f>IF(B423="","",IFERROR(VLOOKUP(B423,Ingredientes!$A$4:$E$203,2,0),"?"))</f>
        <v/>
      </c>
      <c r="E423" s="9">
        <f>IF(B423="","",IFERROR(VLOOKUP(B423,Ingredientes!$A$4:$E$203,5,0)*C423,"ITEM NÃO CADASTRADO"))</f>
        <v/>
      </c>
      <c r="F423" s="21">
        <f>IF(A423="","",IFERROR(C423*VLOOKUP(A423,Semana!$A$5:$E$54,5,0),0))</f>
        <v/>
      </c>
    </row>
    <row r="424">
      <c r="A424" s="19" t="n"/>
      <c r="B424" s="19" t="n"/>
      <c r="C424" s="22" t="n"/>
      <c r="D424" s="12">
        <f>IF(B424="","",IFERROR(VLOOKUP(B424,Ingredientes!$A$4:$E$203,2,0),"?"))</f>
        <v/>
      </c>
      <c r="E424" s="9">
        <f>IF(B424="","",IFERROR(VLOOKUP(B424,Ingredientes!$A$4:$E$203,5,0)*C424,"ITEM NÃO CADASTRADO"))</f>
        <v/>
      </c>
      <c r="F424" s="21">
        <f>IF(A424="","",IFERROR(C424*VLOOKUP(A424,Semana!$A$5:$E$54,5,0),0))</f>
        <v/>
      </c>
    </row>
    <row r="425">
      <c r="A425" s="19" t="n"/>
      <c r="B425" s="19" t="n"/>
      <c r="C425" s="22" t="n"/>
      <c r="D425" s="12">
        <f>IF(B425="","",IFERROR(VLOOKUP(B425,Ingredientes!$A$4:$E$203,2,0),"?"))</f>
        <v/>
      </c>
      <c r="E425" s="9">
        <f>IF(B425="","",IFERROR(VLOOKUP(B425,Ingredientes!$A$4:$E$203,5,0)*C425,"ITEM NÃO CADASTRADO"))</f>
        <v/>
      </c>
      <c r="F425" s="21">
        <f>IF(A425="","",IFERROR(C425*VLOOKUP(A425,Semana!$A$5:$E$54,5,0),0))</f>
        <v/>
      </c>
    </row>
    <row r="426">
      <c r="A426" s="19" t="n"/>
      <c r="B426" s="19" t="n"/>
      <c r="C426" s="22" t="n"/>
      <c r="D426" s="12">
        <f>IF(B426="","",IFERROR(VLOOKUP(B426,Ingredientes!$A$4:$E$203,2,0),"?"))</f>
        <v/>
      </c>
      <c r="E426" s="9">
        <f>IF(B426="","",IFERROR(VLOOKUP(B426,Ingredientes!$A$4:$E$203,5,0)*C426,"ITEM NÃO CADASTRADO"))</f>
        <v/>
      </c>
      <c r="F426" s="21">
        <f>IF(A426="","",IFERROR(C426*VLOOKUP(A426,Semana!$A$5:$E$54,5,0),0))</f>
        <v/>
      </c>
    </row>
    <row r="427">
      <c r="A427" s="19" t="n"/>
      <c r="B427" s="19" t="n"/>
      <c r="C427" s="22" t="n"/>
      <c r="D427" s="12">
        <f>IF(B427="","",IFERROR(VLOOKUP(B427,Ingredientes!$A$4:$E$203,2,0),"?"))</f>
        <v/>
      </c>
      <c r="E427" s="9">
        <f>IF(B427="","",IFERROR(VLOOKUP(B427,Ingredientes!$A$4:$E$203,5,0)*C427,"ITEM NÃO CADASTRADO"))</f>
        <v/>
      </c>
      <c r="F427" s="21">
        <f>IF(A427="","",IFERROR(C427*VLOOKUP(A427,Semana!$A$5:$E$54,5,0),0))</f>
        <v/>
      </c>
    </row>
    <row r="428">
      <c r="A428" s="19" t="n"/>
      <c r="B428" s="19" t="n"/>
      <c r="C428" s="22" t="n"/>
      <c r="D428" s="12">
        <f>IF(B428="","",IFERROR(VLOOKUP(B428,Ingredientes!$A$4:$E$203,2,0),"?"))</f>
        <v/>
      </c>
      <c r="E428" s="9">
        <f>IF(B428="","",IFERROR(VLOOKUP(B428,Ingredientes!$A$4:$E$203,5,0)*C428,"ITEM NÃO CADASTRADO"))</f>
        <v/>
      </c>
      <c r="F428" s="21">
        <f>IF(A428="","",IFERROR(C428*VLOOKUP(A428,Semana!$A$5:$E$54,5,0),0))</f>
        <v/>
      </c>
    </row>
    <row r="429">
      <c r="A429" s="19" t="n"/>
      <c r="B429" s="19" t="n"/>
      <c r="C429" s="22" t="n"/>
      <c r="D429" s="12">
        <f>IF(B429="","",IFERROR(VLOOKUP(B429,Ingredientes!$A$4:$E$203,2,0),"?"))</f>
        <v/>
      </c>
      <c r="E429" s="9">
        <f>IF(B429="","",IFERROR(VLOOKUP(B429,Ingredientes!$A$4:$E$203,5,0)*C429,"ITEM NÃO CADASTRADO"))</f>
        <v/>
      </c>
      <c r="F429" s="21">
        <f>IF(A429="","",IFERROR(C429*VLOOKUP(A429,Semana!$A$5:$E$54,5,0),0))</f>
        <v/>
      </c>
    </row>
    <row r="430">
      <c r="A430" s="19" t="n"/>
      <c r="B430" s="19" t="n"/>
      <c r="C430" s="22" t="n"/>
      <c r="D430" s="12">
        <f>IF(B430="","",IFERROR(VLOOKUP(B430,Ingredientes!$A$4:$E$203,2,0),"?"))</f>
        <v/>
      </c>
      <c r="E430" s="9">
        <f>IF(B430="","",IFERROR(VLOOKUP(B430,Ingredientes!$A$4:$E$203,5,0)*C430,"ITEM NÃO CADASTRADO"))</f>
        <v/>
      </c>
      <c r="F430" s="21">
        <f>IF(A430="","",IFERROR(C430*VLOOKUP(A430,Semana!$A$5:$E$54,5,0),0))</f>
        <v/>
      </c>
    </row>
    <row r="431">
      <c r="A431" s="19" t="n"/>
      <c r="B431" s="19" t="n"/>
      <c r="C431" s="22" t="n"/>
      <c r="D431" s="12">
        <f>IF(B431="","",IFERROR(VLOOKUP(B431,Ingredientes!$A$4:$E$203,2,0),"?"))</f>
        <v/>
      </c>
      <c r="E431" s="9">
        <f>IF(B431="","",IFERROR(VLOOKUP(B431,Ingredientes!$A$4:$E$203,5,0)*C431,"ITEM NÃO CADASTRADO"))</f>
        <v/>
      </c>
      <c r="F431" s="21">
        <f>IF(A431="","",IFERROR(C431*VLOOKUP(A431,Semana!$A$5:$E$54,5,0),0))</f>
        <v/>
      </c>
    </row>
    <row r="432">
      <c r="A432" s="19" t="n"/>
      <c r="B432" s="19" t="n"/>
      <c r="C432" s="22" t="n"/>
      <c r="D432" s="12">
        <f>IF(B432="","",IFERROR(VLOOKUP(B432,Ingredientes!$A$4:$E$203,2,0),"?"))</f>
        <v/>
      </c>
      <c r="E432" s="9">
        <f>IF(B432="","",IFERROR(VLOOKUP(B432,Ingredientes!$A$4:$E$203,5,0)*C432,"ITEM NÃO CADASTRADO"))</f>
        <v/>
      </c>
      <c r="F432" s="21">
        <f>IF(A432="","",IFERROR(C432*VLOOKUP(A432,Semana!$A$5:$E$54,5,0),0))</f>
        <v/>
      </c>
    </row>
    <row r="433">
      <c r="A433" s="19" t="n"/>
      <c r="B433" s="19" t="n"/>
      <c r="C433" s="22" t="n"/>
      <c r="D433" s="12">
        <f>IF(B433="","",IFERROR(VLOOKUP(B433,Ingredientes!$A$4:$E$203,2,0),"?"))</f>
        <v/>
      </c>
      <c r="E433" s="9">
        <f>IF(B433="","",IFERROR(VLOOKUP(B433,Ingredientes!$A$4:$E$203,5,0)*C433,"ITEM NÃO CADASTRADO"))</f>
        <v/>
      </c>
      <c r="F433" s="21">
        <f>IF(A433="","",IFERROR(C433*VLOOKUP(A433,Semana!$A$5:$E$54,5,0),0))</f>
        <v/>
      </c>
    </row>
    <row r="434">
      <c r="A434" s="19" t="n"/>
      <c r="B434" s="19" t="n"/>
      <c r="C434" s="22" t="n"/>
      <c r="D434" s="12">
        <f>IF(B434="","",IFERROR(VLOOKUP(B434,Ingredientes!$A$4:$E$203,2,0),"?"))</f>
        <v/>
      </c>
      <c r="E434" s="9">
        <f>IF(B434="","",IFERROR(VLOOKUP(B434,Ingredientes!$A$4:$E$203,5,0)*C434,"ITEM NÃO CADASTRADO"))</f>
        <v/>
      </c>
      <c r="F434" s="21">
        <f>IF(A434="","",IFERROR(C434*VLOOKUP(A434,Semana!$A$5:$E$54,5,0),0))</f>
        <v/>
      </c>
    </row>
    <row r="435">
      <c r="A435" s="19" t="n"/>
      <c r="B435" s="19" t="n"/>
      <c r="C435" s="22" t="n"/>
      <c r="D435" s="12">
        <f>IF(B435="","",IFERROR(VLOOKUP(B435,Ingredientes!$A$4:$E$203,2,0),"?"))</f>
        <v/>
      </c>
      <c r="E435" s="9">
        <f>IF(B435="","",IFERROR(VLOOKUP(B435,Ingredientes!$A$4:$E$203,5,0)*C435,"ITEM NÃO CADASTRADO"))</f>
        <v/>
      </c>
      <c r="F435" s="21">
        <f>IF(A435="","",IFERROR(C435*VLOOKUP(A435,Semana!$A$5:$E$54,5,0),0))</f>
        <v/>
      </c>
    </row>
    <row r="436">
      <c r="A436" s="19" t="n"/>
      <c r="B436" s="19" t="n"/>
      <c r="C436" s="22" t="n"/>
      <c r="D436" s="12">
        <f>IF(B436="","",IFERROR(VLOOKUP(B436,Ingredientes!$A$4:$E$203,2,0),"?"))</f>
        <v/>
      </c>
      <c r="E436" s="9">
        <f>IF(B436="","",IFERROR(VLOOKUP(B436,Ingredientes!$A$4:$E$203,5,0)*C436,"ITEM NÃO CADASTRADO"))</f>
        <v/>
      </c>
      <c r="F436" s="21">
        <f>IF(A436="","",IFERROR(C436*VLOOKUP(A436,Semana!$A$5:$E$54,5,0),0))</f>
        <v/>
      </c>
    </row>
    <row r="437">
      <c r="A437" s="19" t="n"/>
      <c r="B437" s="19" t="n"/>
      <c r="C437" s="22" t="n"/>
      <c r="D437" s="12">
        <f>IF(B437="","",IFERROR(VLOOKUP(B437,Ingredientes!$A$4:$E$203,2,0),"?"))</f>
        <v/>
      </c>
      <c r="E437" s="9">
        <f>IF(B437="","",IFERROR(VLOOKUP(B437,Ingredientes!$A$4:$E$203,5,0)*C437,"ITEM NÃO CADASTRADO"))</f>
        <v/>
      </c>
      <c r="F437" s="21">
        <f>IF(A437="","",IFERROR(C437*VLOOKUP(A437,Semana!$A$5:$E$54,5,0),0))</f>
        <v/>
      </c>
    </row>
    <row r="438">
      <c r="A438" s="19" t="n"/>
      <c r="B438" s="19" t="n"/>
      <c r="C438" s="22" t="n"/>
      <c r="D438" s="12">
        <f>IF(B438="","",IFERROR(VLOOKUP(B438,Ingredientes!$A$4:$E$203,2,0),"?"))</f>
        <v/>
      </c>
      <c r="E438" s="9">
        <f>IF(B438="","",IFERROR(VLOOKUP(B438,Ingredientes!$A$4:$E$203,5,0)*C438,"ITEM NÃO CADASTRADO"))</f>
        <v/>
      </c>
      <c r="F438" s="21">
        <f>IF(A438="","",IFERROR(C438*VLOOKUP(A438,Semana!$A$5:$E$54,5,0),0))</f>
        <v/>
      </c>
    </row>
    <row r="439">
      <c r="A439" s="19" t="n"/>
      <c r="B439" s="19" t="n"/>
      <c r="C439" s="22" t="n"/>
      <c r="D439" s="12">
        <f>IF(B439="","",IFERROR(VLOOKUP(B439,Ingredientes!$A$4:$E$203,2,0),"?"))</f>
        <v/>
      </c>
      <c r="E439" s="9">
        <f>IF(B439="","",IFERROR(VLOOKUP(B439,Ingredientes!$A$4:$E$203,5,0)*C439,"ITEM NÃO CADASTRADO"))</f>
        <v/>
      </c>
      <c r="F439" s="21">
        <f>IF(A439="","",IFERROR(C439*VLOOKUP(A439,Semana!$A$5:$E$54,5,0),0))</f>
        <v/>
      </c>
    </row>
    <row r="440">
      <c r="A440" s="19" t="n"/>
      <c r="B440" s="19" t="n"/>
      <c r="C440" s="22" t="n"/>
      <c r="D440" s="12">
        <f>IF(B440="","",IFERROR(VLOOKUP(B440,Ingredientes!$A$4:$E$203,2,0),"?"))</f>
        <v/>
      </c>
      <c r="E440" s="9">
        <f>IF(B440="","",IFERROR(VLOOKUP(B440,Ingredientes!$A$4:$E$203,5,0)*C440,"ITEM NÃO CADASTRADO"))</f>
        <v/>
      </c>
      <c r="F440" s="21">
        <f>IF(A440="","",IFERROR(C440*VLOOKUP(A440,Semana!$A$5:$E$54,5,0),0))</f>
        <v/>
      </c>
    </row>
    <row r="441">
      <c r="A441" s="19" t="n"/>
      <c r="B441" s="19" t="n"/>
      <c r="C441" s="22" t="n"/>
      <c r="D441" s="12">
        <f>IF(B441="","",IFERROR(VLOOKUP(B441,Ingredientes!$A$4:$E$203,2,0),"?"))</f>
        <v/>
      </c>
      <c r="E441" s="9">
        <f>IF(B441="","",IFERROR(VLOOKUP(B441,Ingredientes!$A$4:$E$203,5,0)*C441,"ITEM NÃO CADASTRADO"))</f>
        <v/>
      </c>
      <c r="F441" s="21">
        <f>IF(A441="","",IFERROR(C441*VLOOKUP(A441,Semana!$A$5:$E$54,5,0),0))</f>
        <v/>
      </c>
    </row>
    <row r="442">
      <c r="A442" s="19" t="n"/>
      <c r="B442" s="19" t="n"/>
      <c r="C442" s="22" t="n"/>
      <c r="D442" s="12">
        <f>IF(B442="","",IFERROR(VLOOKUP(B442,Ingredientes!$A$4:$E$203,2,0),"?"))</f>
        <v/>
      </c>
      <c r="E442" s="9">
        <f>IF(B442="","",IFERROR(VLOOKUP(B442,Ingredientes!$A$4:$E$203,5,0)*C442,"ITEM NÃO CADASTRADO"))</f>
        <v/>
      </c>
      <c r="F442" s="21">
        <f>IF(A442="","",IFERROR(C442*VLOOKUP(A442,Semana!$A$5:$E$54,5,0),0))</f>
        <v/>
      </c>
    </row>
    <row r="443">
      <c r="A443" s="19" t="n"/>
      <c r="B443" s="19" t="n"/>
      <c r="C443" s="22" t="n"/>
      <c r="D443" s="12">
        <f>IF(B443="","",IFERROR(VLOOKUP(B443,Ingredientes!$A$4:$E$203,2,0),"?"))</f>
        <v/>
      </c>
      <c r="E443" s="9">
        <f>IF(B443="","",IFERROR(VLOOKUP(B443,Ingredientes!$A$4:$E$203,5,0)*C443,"ITEM NÃO CADASTRADO"))</f>
        <v/>
      </c>
      <c r="F443" s="21">
        <f>IF(A443="","",IFERROR(C443*VLOOKUP(A443,Semana!$A$5:$E$54,5,0),0))</f>
        <v/>
      </c>
    </row>
    <row r="444">
      <c r="A444" s="19" t="n"/>
      <c r="B444" s="19" t="n"/>
      <c r="C444" s="22" t="n"/>
      <c r="D444" s="12">
        <f>IF(B444="","",IFERROR(VLOOKUP(B444,Ingredientes!$A$4:$E$203,2,0),"?"))</f>
        <v/>
      </c>
      <c r="E444" s="9">
        <f>IF(B444="","",IFERROR(VLOOKUP(B444,Ingredientes!$A$4:$E$203,5,0)*C444,"ITEM NÃO CADASTRADO"))</f>
        <v/>
      </c>
      <c r="F444" s="21">
        <f>IF(A444="","",IFERROR(C444*VLOOKUP(A444,Semana!$A$5:$E$54,5,0),0))</f>
        <v/>
      </c>
    </row>
    <row r="445">
      <c r="A445" s="19" t="n"/>
      <c r="B445" s="19" t="n"/>
      <c r="C445" s="22" t="n"/>
      <c r="D445" s="12">
        <f>IF(B445="","",IFERROR(VLOOKUP(B445,Ingredientes!$A$4:$E$203,2,0),"?"))</f>
        <v/>
      </c>
      <c r="E445" s="9">
        <f>IF(B445="","",IFERROR(VLOOKUP(B445,Ingredientes!$A$4:$E$203,5,0)*C445,"ITEM NÃO CADASTRADO"))</f>
        <v/>
      </c>
      <c r="F445" s="21">
        <f>IF(A445="","",IFERROR(C445*VLOOKUP(A445,Semana!$A$5:$E$54,5,0),0))</f>
        <v/>
      </c>
    </row>
    <row r="446">
      <c r="A446" s="19" t="n"/>
      <c r="B446" s="19" t="n"/>
      <c r="C446" s="22" t="n"/>
      <c r="D446" s="12">
        <f>IF(B446="","",IFERROR(VLOOKUP(B446,Ingredientes!$A$4:$E$203,2,0),"?"))</f>
        <v/>
      </c>
      <c r="E446" s="9">
        <f>IF(B446="","",IFERROR(VLOOKUP(B446,Ingredientes!$A$4:$E$203,5,0)*C446,"ITEM NÃO CADASTRADO"))</f>
        <v/>
      </c>
      <c r="F446" s="21">
        <f>IF(A446="","",IFERROR(C446*VLOOKUP(A446,Semana!$A$5:$E$54,5,0),0))</f>
        <v/>
      </c>
    </row>
    <row r="447">
      <c r="A447" s="19" t="n"/>
      <c r="B447" s="19" t="n"/>
      <c r="C447" s="22" t="n"/>
      <c r="D447" s="12">
        <f>IF(B447="","",IFERROR(VLOOKUP(B447,Ingredientes!$A$4:$E$203,2,0),"?"))</f>
        <v/>
      </c>
      <c r="E447" s="9">
        <f>IF(B447="","",IFERROR(VLOOKUP(B447,Ingredientes!$A$4:$E$203,5,0)*C447,"ITEM NÃO CADASTRADO"))</f>
        <v/>
      </c>
      <c r="F447" s="21">
        <f>IF(A447="","",IFERROR(C447*VLOOKUP(A447,Semana!$A$5:$E$54,5,0),0))</f>
        <v/>
      </c>
    </row>
    <row r="448">
      <c r="A448" s="19" t="n"/>
      <c r="B448" s="19" t="n"/>
      <c r="C448" s="22" t="n"/>
      <c r="D448" s="12">
        <f>IF(B448="","",IFERROR(VLOOKUP(B448,Ingredientes!$A$4:$E$203,2,0),"?"))</f>
        <v/>
      </c>
      <c r="E448" s="9">
        <f>IF(B448="","",IFERROR(VLOOKUP(B448,Ingredientes!$A$4:$E$203,5,0)*C448,"ITEM NÃO CADASTRADO"))</f>
        <v/>
      </c>
      <c r="F448" s="21">
        <f>IF(A448="","",IFERROR(C448*VLOOKUP(A448,Semana!$A$5:$E$54,5,0),0))</f>
        <v/>
      </c>
    </row>
    <row r="449">
      <c r="A449" s="19" t="n"/>
      <c r="B449" s="19" t="n"/>
      <c r="C449" s="22" t="n"/>
      <c r="D449" s="12">
        <f>IF(B449="","",IFERROR(VLOOKUP(B449,Ingredientes!$A$4:$E$203,2,0),"?"))</f>
        <v/>
      </c>
      <c r="E449" s="9">
        <f>IF(B449="","",IFERROR(VLOOKUP(B449,Ingredientes!$A$4:$E$203,5,0)*C449,"ITEM NÃO CADASTRADO"))</f>
        <v/>
      </c>
      <c r="F449" s="21">
        <f>IF(A449="","",IFERROR(C449*VLOOKUP(A449,Semana!$A$5:$E$54,5,0),0))</f>
        <v/>
      </c>
    </row>
    <row r="450">
      <c r="A450" s="19" t="n"/>
      <c r="B450" s="19" t="n"/>
      <c r="C450" s="22" t="n"/>
      <c r="D450" s="12">
        <f>IF(B450="","",IFERROR(VLOOKUP(B450,Ingredientes!$A$4:$E$203,2,0),"?"))</f>
        <v/>
      </c>
      <c r="E450" s="9">
        <f>IF(B450="","",IFERROR(VLOOKUP(B450,Ingredientes!$A$4:$E$203,5,0)*C450,"ITEM NÃO CADASTRADO"))</f>
        <v/>
      </c>
      <c r="F450" s="21">
        <f>IF(A450="","",IFERROR(C450*VLOOKUP(A450,Semana!$A$5:$E$54,5,0),0))</f>
        <v/>
      </c>
    </row>
    <row r="451">
      <c r="A451" s="19" t="n"/>
      <c r="B451" s="19" t="n"/>
      <c r="C451" s="22" t="n"/>
      <c r="D451" s="12">
        <f>IF(B451="","",IFERROR(VLOOKUP(B451,Ingredientes!$A$4:$E$203,2,0),"?"))</f>
        <v/>
      </c>
      <c r="E451" s="9">
        <f>IF(B451="","",IFERROR(VLOOKUP(B451,Ingredientes!$A$4:$E$203,5,0)*C451,"ITEM NÃO CADASTRADO"))</f>
        <v/>
      </c>
      <c r="F451" s="21">
        <f>IF(A451="","",IFERROR(C451*VLOOKUP(A451,Semana!$A$5:$E$54,5,0),0))</f>
        <v/>
      </c>
    </row>
    <row r="452">
      <c r="A452" s="19" t="n"/>
      <c r="B452" s="19" t="n"/>
      <c r="C452" s="22" t="n"/>
      <c r="D452" s="12">
        <f>IF(B452="","",IFERROR(VLOOKUP(B452,Ingredientes!$A$4:$E$203,2,0),"?"))</f>
        <v/>
      </c>
      <c r="E452" s="9">
        <f>IF(B452="","",IFERROR(VLOOKUP(B452,Ingredientes!$A$4:$E$203,5,0)*C452,"ITEM NÃO CADASTRADO"))</f>
        <v/>
      </c>
      <c r="F452" s="21">
        <f>IF(A452="","",IFERROR(C452*VLOOKUP(A452,Semana!$A$5:$E$54,5,0),0))</f>
        <v/>
      </c>
    </row>
    <row r="453">
      <c r="A453" s="19" t="n"/>
      <c r="B453" s="19" t="n"/>
      <c r="C453" s="22" t="n"/>
      <c r="D453" s="12">
        <f>IF(B453="","",IFERROR(VLOOKUP(B453,Ingredientes!$A$4:$E$203,2,0),"?"))</f>
        <v/>
      </c>
      <c r="E453" s="9">
        <f>IF(B453="","",IFERROR(VLOOKUP(B453,Ingredientes!$A$4:$E$203,5,0)*C453,"ITEM NÃO CADASTRADO"))</f>
        <v/>
      </c>
      <c r="F453" s="21">
        <f>IF(A453="","",IFERROR(C453*VLOOKUP(A453,Semana!$A$5:$E$54,5,0),0))</f>
        <v/>
      </c>
    </row>
    <row r="454">
      <c r="A454" s="19" t="n"/>
      <c r="B454" s="19" t="n"/>
      <c r="C454" s="22" t="n"/>
      <c r="D454" s="12">
        <f>IF(B454="","",IFERROR(VLOOKUP(B454,Ingredientes!$A$4:$E$203,2,0),"?"))</f>
        <v/>
      </c>
      <c r="E454" s="9">
        <f>IF(B454="","",IFERROR(VLOOKUP(B454,Ingredientes!$A$4:$E$203,5,0)*C454,"ITEM NÃO CADASTRADO"))</f>
        <v/>
      </c>
      <c r="F454" s="21">
        <f>IF(A454="","",IFERROR(C454*VLOOKUP(A454,Semana!$A$5:$E$54,5,0),0))</f>
        <v/>
      </c>
    </row>
    <row r="455">
      <c r="A455" s="19" t="n"/>
      <c r="B455" s="19" t="n"/>
      <c r="C455" s="22" t="n"/>
      <c r="D455" s="12">
        <f>IF(B455="","",IFERROR(VLOOKUP(B455,Ingredientes!$A$4:$E$203,2,0),"?"))</f>
        <v/>
      </c>
      <c r="E455" s="9">
        <f>IF(B455="","",IFERROR(VLOOKUP(B455,Ingredientes!$A$4:$E$203,5,0)*C455,"ITEM NÃO CADASTRADO"))</f>
        <v/>
      </c>
      <c r="F455" s="21">
        <f>IF(A455="","",IFERROR(C455*VLOOKUP(A455,Semana!$A$5:$E$54,5,0),0))</f>
        <v/>
      </c>
    </row>
    <row r="456">
      <c r="A456" s="19" t="n"/>
      <c r="B456" s="19" t="n"/>
      <c r="C456" s="22" t="n"/>
      <c r="D456" s="12">
        <f>IF(B456="","",IFERROR(VLOOKUP(B456,Ingredientes!$A$4:$E$203,2,0),"?"))</f>
        <v/>
      </c>
      <c r="E456" s="9">
        <f>IF(B456="","",IFERROR(VLOOKUP(B456,Ingredientes!$A$4:$E$203,5,0)*C456,"ITEM NÃO CADASTRADO"))</f>
        <v/>
      </c>
      <c r="F456" s="21">
        <f>IF(A456="","",IFERROR(C456*VLOOKUP(A456,Semana!$A$5:$E$54,5,0),0))</f>
        <v/>
      </c>
    </row>
    <row r="457">
      <c r="A457" s="19" t="n"/>
      <c r="B457" s="19" t="n"/>
      <c r="C457" s="22" t="n"/>
      <c r="D457" s="12">
        <f>IF(B457="","",IFERROR(VLOOKUP(B457,Ingredientes!$A$4:$E$203,2,0),"?"))</f>
        <v/>
      </c>
      <c r="E457" s="9">
        <f>IF(B457="","",IFERROR(VLOOKUP(B457,Ingredientes!$A$4:$E$203,5,0)*C457,"ITEM NÃO CADASTRADO"))</f>
        <v/>
      </c>
      <c r="F457" s="21">
        <f>IF(A457="","",IFERROR(C457*VLOOKUP(A457,Semana!$A$5:$E$54,5,0),0))</f>
        <v/>
      </c>
    </row>
    <row r="458">
      <c r="A458" s="19" t="n"/>
      <c r="B458" s="19" t="n"/>
      <c r="C458" s="22" t="n"/>
      <c r="D458" s="12">
        <f>IF(B458="","",IFERROR(VLOOKUP(B458,Ingredientes!$A$4:$E$203,2,0),"?"))</f>
        <v/>
      </c>
      <c r="E458" s="9">
        <f>IF(B458="","",IFERROR(VLOOKUP(B458,Ingredientes!$A$4:$E$203,5,0)*C458,"ITEM NÃO CADASTRADO"))</f>
        <v/>
      </c>
      <c r="F458" s="21">
        <f>IF(A458="","",IFERROR(C458*VLOOKUP(A458,Semana!$A$5:$E$54,5,0),0))</f>
        <v/>
      </c>
    </row>
    <row r="459">
      <c r="A459" s="19" t="n"/>
      <c r="B459" s="19" t="n"/>
      <c r="C459" s="22" t="n"/>
      <c r="D459" s="12">
        <f>IF(B459="","",IFERROR(VLOOKUP(B459,Ingredientes!$A$4:$E$203,2,0),"?"))</f>
        <v/>
      </c>
      <c r="E459" s="9">
        <f>IF(B459="","",IFERROR(VLOOKUP(B459,Ingredientes!$A$4:$E$203,5,0)*C459,"ITEM NÃO CADASTRADO"))</f>
        <v/>
      </c>
      <c r="F459" s="21">
        <f>IF(A459="","",IFERROR(C459*VLOOKUP(A459,Semana!$A$5:$E$54,5,0),0))</f>
        <v/>
      </c>
    </row>
    <row r="460">
      <c r="A460" s="19" t="n"/>
      <c r="B460" s="19" t="n"/>
      <c r="C460" s="22" t="n"/>
      <c r="D460" s="12">
        <f>IF(B460="","",IFERROR(VLOOKUP(B460,Ingredientes!$A$4:$E$203,2,0),"?"))</f>
        <v/>
      </c>
      <c r="E460" s="9">
        <f>IF(B460="","",IFERROR(VLOOKUP(B460,Ingredientes!$A$4:$E$203,5,0)*C460,"ITEM NÃO CADASTRADO"))</f>
        <v/>
      </c>
      <c r="F460" s="21">
        <f>IF(A460="","",IFERROR(C460*VLOOKUP(A460,Semana!$A$5:$E$54,5,0),0))</f>
        <v/>
      </c>
    </row>
    <row r="461">
      <c r="A461" s="19" t="n"/>
      <c r="B461" s="19" t="n"/>
      <c r="C461" s="22" t="n"/>
      <c r="D461" s="12">
        <f>IF(B461="","",IFERROR(VLOOKUP(B461,Ingredientes!$A$4:$E$203,2,0),"?"))</f>
        <v/>
      </c>
      <c r="E461" s="9">
        <f>IF(B461="","",IFERROR(VLOOKUP(B461,Ingredientes!$A$4:$E$203,5,0)*C461,"ITEM NÃO CADASTRADO"))</f>
        <v/>
      </c>
      <c r="F461" s="21">
        <f>IF(A461="","",IFERROR(C461*VLOOKUP(A461,Semana!$A$5:$E$54,5,0),0))</f>
        <v/>
      </c>
    </row>
    <row r="462">
      <c r="A462" s="19" t="n"/>
      <c r="B462" s="19" t="n"/>
      <c r="C462" s="22" t="n"/>
      <c r="D462" s="12">
        <f>IF(B462="","",IFERROR(VLOOKUP(B462,Ingredientes!$A$4:$E$203,2,0),"?"))</f>
        <v/>
      </c>
      <c r="E462" s="9">
        <f>IF(B462="","",IFERROR(VLOOKUP(B462,Ingredientes!$A$4:$E$203,5,0)*C462,"ITEM NÃO CADASTRADO"))</f>
        <v/>
      </c>
      <c r="F462" s="21">
        <f>IF(A462="","",IFERROR(C462*VLOOKUP(A462,Semana!$A$5:$E$54,5,0),0))</f>
        <v/>
      </c>
    </row>
    <row r="463">
      <c r="A463" s="19" t="n"/>
      <c r="B463" s="19" t="n"/>
      <c r="C463" s="22" t="n"/>
      <c r="D463" s="12">
        <f>IF(B463="","",IFERROR(VLOOKUP(B463,Ingredientes!$A$4:$E$203,2,0),"?"))</f>
        <v/>
      </c>
      <c r="E463" s="9">
        <f>IF(B463="","",IFERROR(VLOOKUP(B463,Ingredientes!$A$4:$E$203,5,0)*C463,"ITEM NÃO CADASTRADO"))</f>
        <v/>
      </c>
      <c r="F463" s="21">
        <f>IF(A463="","",IFERROR(C463*VLOOKUP(A463,Semana!$A$5:$E$54,5,0),0))</f>
        <v/>
      </c>
    </row>
    <row r="464">
      <c r="A464" s="19" t="n"/>
      <c r="B464" s="19" t="n"/>
      <c r="C464" s="22" t="n"/>
      <c r="D464" s="12">
        <f>IF(B464="","",IFERROR(VLOOKUP(B464,Ingredientes!$A$4:$E$203,2,0),"?"))</f>
        <v/>
      </c>
      <c r="E464" s="9">
        <f>IF(B464="","",IFERROR(VLOOKUP(B464,Ingredientes!$A$4:$E$203,5,0)*C464,"ITEM NÃO CADASTRADO"))</f>
        <v/>
      </c>
      <c r="F464" s="21">
        <f>IF(A464="","",IFERROR(C464*VLOOKUP(A464,Semana!$A$5:$E$54,5,0),0))</f>
        <v/>
      </c>
    </row>
    <row r="465">
      <c r="A465" s="19" t="n"/>
      <c r="B465" s="19" t="n"/>
      <c r="C465" s="22" t="n"/>
      <c r="D465" s="12">
        <f>IF(B465="","",IFERROR(VLOOKUP(B465,Ingredientes!$A$4:$E$203,2,0),"?"))</f>
        <v/>
      </c>
      <c r="E465" s="9">
        <f>IF(B465="","",IFERROR(VLOOKUP(B465,Ingredientes!$A$4:$E$203,5,0)*C465,"ITEM NÃO CADASTRADO"))</f>
        <v/>
      </c>
      <c r="F465" s="21">
        <f>IF(A465="","",IFERROR(C465*VLOOKUP(A465,Semana!$A$5:$E$54,5,0),0))</f>
        <v/>
      </c>
    </row>
    <row r="466">
      <c r="A466" s="19" t="n"/>
      <c r="B466" s="19" t="n"/>
      <c r="C466" s="22" t="n"/>
      <c r="D466" s="12">
        <f>IF(B466="","",IFERROR(VLOOKUP(B466,Ingredientes!$A$4:$E$203,2,0),"?"))</f>
        <v/>
      </c>
      <c r="E466" s="9">
        <f>IF(B466="","",IFERROR(VLOOKUP(B466,Ingredientes!$A$4:$E$203,5,0)*C466,"ITEM NÃO CADASTRADO"))</f>
        <v/>
      </c>
      <c r="F466" s="21">
        <f>IF(A466="","",IFERROR(C466*VLOOKUP(A466,Semana!$A$5:$E$54,5,0),0))</f>
        <v/>
      </c>
    </row>
    <row r="467">
      <c r="A467" s="19" t="n"/>
      <c r="B467" s="19" t="n"/>
      <c r="C467" s="22" t="n"/>
      <c r="D467" s="12">
        <f>IF(B467="","",IFERROR(VLOOKUP(B467,Ingredientes!$A$4:$E$203,2,0),"?"))</f>
        <v/>
      </c>
      <c r="E467" s="9">
        <f>IF(B467="","",IFERROR(VLOOKUP(B467,Ingredientes!$A$4:$E$203,5,0)*C467,"ITEM NÃO CADASTRADO"))</f>
        <v/>
      </c>
      <c r="F467" s="21">
        <f>IF(A467="","",IFERROR(C467*VLOOKUP(A467,Semana!$A$5:$E$54,5,0),0))</f>
        <v/>
      </c>
    </row>
    <row r="468">
      <c r="A468" s="19" t="n"/>
      <c r="B468" s="19" t="n"/>
      <c r="C468" s="22" t="n"/>
      <c r="D468" s="12">
        <f>IF(B468="","",IFERROR(VLOOKUP(B468,Ingredientes!$A$4:$E$203,2,0),"?"))</f>
        <v/>
      </c>
      <c r="E468" s="9">
        <f>IF(B468="","",IFERROR(VLOOKUP(B468,Ingredientes!$A$4:$E$203,5,0)*C468,"ITEM NÃO CADASTRADO"))</f>
        <v/>
      </c>
      <c r="F468" s="21">
        <f>IF(A468="","",IFERROR(C468*VLOOKUP(A468,Semana!$A$5:$E$54,5,0),0))</f>
        <v/>
      </c>
    </row>
    <row r="469">
      <c r="A469" s="19" t="n"/>
      <c r="B469" s="19" t="n"/>
      <c r="C469" s="22" t="n"/>
      <c r="D469" s="12">
        <f>IF(B469="","",IFERROR(VLOOKUP(B469,Ingredientes!$A$4:$E$203,2,0),"?"))</f>
        <v/>
      </c>
      <c r="E469" s="9">
        <f>IF(B469="","",IFERROR(VLOOKUP(B469,Ingredientes!$A$4:$E$203,5,0)*C469,"ITEM NÃO CADASTRADO"))</f>
        <v/>
      </c>
      <c r="F469" s="21">
        <f>IF(A469="","",IFERROR(C469*VLOOKUP(A469,Semana!$A$5:$E$54,5,0),0))</f>
        <v/>
      </c>
    </row>
    <row r="470">
      <c r="A470" s="19" t="n"/>
      <c r="B470" s="19" t="n"/>
      <c r="C470" s="22" t="n"/>
      <c r="D470" s="12">
        <f>IF(B470="","",IFERROR(VLOOKUP(B470,Ingredientes!$A$4:$E$203,2,0),"?"))</f>
        <v/>
      </c>
      <c r="E470" s="9">
        <f>IF(B470="","",IFERROR(VLOOKUP(B470,Ingredientes!$A$4:$E$203,5,0)*C470,"ITEM NÃO CADASTRADO"))</f>
        <v/>
      </c>
      <c r="F470" s="21">
        <f>IF(A470="","",IFERROR(C470*VLOOKUP(A470,Semana!$A$5:$E$54,5,0),0))</f>
        <v/>
      </c>
    </row>
    <row r="471">
      <c r="A471" s="19" t="n"/>
      <c r="B471" s="19" t="n"/>
      <c r="C471" s="22" t="n"/>
      <c r="D471" s="12">
        <f>IF(B471="","",IFERROR(VLOOKUP(B471,Ingredientes!$A$4:$E$203,2,0),"?"))</f>
        <v/>
      </c>
      <c r="E471" s="9">
        <f>IF(B471="","",IFERROR(VLOOKUP(B471,Ingredientes!$A$4:$E$203,5,0)*C471,"ITEM NÃO CADASTRADO"))</f>
        <v/>
      </c>
      <c r="F471" s="21">
        <f>IF(A471="","",IFERROR(C471*VLOOKUP(A471,Semana!$A$5:$E$54,5,0),0))</f>
        <v/>
      </c>
    </row>
    <row r="472">
      <c r="A472" s="19" t="n"/>
      <c r="B472" s="19" t="n"/>
      <c r="C472" s="22" t="n"/>
      <c r="D472" s="12">
        <f>IF(B472="","",IFERROR(VLOOKUP(B472,Ingredientes!$A$4:$E$203,2,0),"?"))</f>
        <v/>
      </c>
      <c r="E472" s="9">
        <f>IF(B472="","",IFERROR(VLOOKUP(B472,Ingredientes!$A$4:$E$203,5,0)*C472,"ITEM NÃO CADASTRADO"))</f>
        <v/>
      </c>
      <c r="F472" s="21">
        <f>IF(A472="","",IFERROR(C472*VLOOKUP(A472,Semana!$A$5:$E$54,5,0),0))</f>
        <v/>
      </c>
    </row>
    <row r="473">
      <c r="A473" s="19" t="n"/>
      <c r="B473" s="19" t="n"/>
      <c r="C473" s="22" t="n"/>
      <c r="D473" s="12">
        <f>IF(B473="","",IFERROR(VLOOKUP(B473,Ingredientes!$A$4:$E$203,2,0),"?"))</f>
        <v/>
      </c>
      <c r="E473" s="9">
        <f>IF(B473="","",IFERROR(VLOOKUP(B473,Ingredientes!$A$4:$E$203,5,0)*C473,"ITEM NÃO CADASTRADO"))</f>
        <v/>
      </c>
      <c r="F473" s="21">
        <f>IF(A473="","",IFERROR(C473*VLOOKUP(A473,Semana!$A$5:$E$54,5,0),0))</f>
        <v/>
      </c>
    </row>
    <row r="474">
      <c r="A474" s="19" t="n"/>
      <c r="B474" s="19" t="n"/>
      <c r="C474" s="22" t="n"/>
      <c r="D474" s="12">
        <f>IF(B474="","",IFERROR(VLOOKUP(B474,Ingredientes!$A$4:$E$203,2,0),"?"))</f>
        <v/>
      </c>
      <c r="E474" s="9">
        <f>IF(B474="","",IFERROR(VLOOKUP(B474,Ingredientes!$A$4:$E$203,5,0)*C474,"ITEM NÃO CADASTRADO"))</f>
        <v/>
      </c>
      <c r="F474" s="21">
        <f>IF(A474="","",IFERROR(C474*VLOOKUP(A474,Semana!$A$5:$E$54,5,0),0))</f>
        <v/>
      </c>
    </row>
    <row r="475">
      <c r="A475" s="19" t="n"/>
      <c r="B475" s="19" t="n"/>
      <c r="C475" s="22" t="n"/>
      <c r="D475" s="12">
        <f>IF(B475="","",IFERROR(VLOOKUP(B475,Ingredientes!$A$4:$E$203,2,0),"?"))</f>
        <v/>
      </c>
      <c r="E475" s="9">
        <f>IF(B475="","",IFERROR(VLOOKUP(B475,Ingredientes!$A$4:$E$203,5,0)*C475,"ITEM NÃO CADASTRADO"))</f>
        <v/>
      </c>
      <c r="F475" s="21">
        <f>IF(A475="","",IFERROR(C475*VLOOKUP(A475,Semana!$A$5:$E$54,5,0),0))</f>
        <v/>
      </c>
    </row>
    <row r="476">
      <c r="A476" s="19" t="n"/>
      <c r="B476" s="19" t="n"/>
      <c r="C476" s="22" t="n"/>
      <c r="D476" s="12">
        <f>IF(B476="","",IFERROR(VLOOKUP(B476,Ingredientes!$A$4:$E$203,2,0),"?"))</f>
        <v/>
      </c>
      <c r="E476" s="9">
        <f>IF(B476="","",IFERROR(VLOOKUP(B476,Ingredientes!$A$4:$E$203,5,0)*C476,"ITEM NÃO CADASTRADO"))</f>
        <v/>
      </c>
      <c r="F476" s="21">
        <f>IF(A476="","",IFERROR(C476*VLOOKUP(A476,Semana!$A$5:$E$54,5,0),0))</f>
        <v/>
      </c>
    </row>
    <row r="477">
      <c r="A477" s="19" t="n"/>
      <c r="B477" s="19" t="n"/>
      <c r="C477" s="22" t="n"/>
      <c r="D477" s="12">
        <f>IF(B477="","",IFERROR(VLOOKUP(B477,Ingredientes!$A$4:$E$203,2,0),"?"))</f>
        <v/>
      </c>
      <c r="E477" s="9">
        <f>IF(B477="","",IFERROR(VLOOKUP(B477,Ingredientes!$A$4:$E$203,5,0)*C477,"ITEM NÃO CADASTRADO"))</f>
        <v/>
      </c>
      <c r="F477" s="21">
        <f>IF(A477="","",IFERROR(C477*VLOOKUP(A477,Semana!$A$5:$E$54,5,0),0))</f>
        <v/>
      </c>
    </row>
    <row r="478">
      <c r="A478" s="19" t="n"/>
      <c r="B478" s="19" t="n"/>
      <c r="C478" s="22" t="n"/>
      <c r="D478" s="12">
        <f>IF(B478="","",IFERROR(VLOOKUP(B478,Ingredientes!$A$4:$E$203,2,0),"?"))</f>
        <v/>
      </c>
      <c r="E478" s="9">
        <f>IF(B478="","",IFERROR(VLOOKUP(B478,Ingredientes!$A$4:$E$203,5,0)*C478,"ITEM NÃO CADASTRADO"))</f>
        <v/>
      </c>
      <c r="F478" s="21">
        <f>IF(A478="","",IFERROR(C478*VLOOKUP(A478,Semana!$A$5:$E$54,5,0),0))</f>
        <v/>
      </c>
    </row>
    <row r="479">
      <c r="A479" s="19" t="n"/>
      <c r="B479" s="19" t="n"/>
      <c r="C479" s="22" t="n"/>
      <c r="D479" s="12">
        <f>IF(B479="","",IFERROR(VLOOKUP(B479,Ingredientes!$A$4:$E$203,2,0),"?"))</f>
        <v/>
      </c>
      <c r="E479" s="9">
        <f>IF(B479="","",IFERROR(VLOOKUP(B479,Ingredientes!$A$4:$E$203,5,0)*C479,"ITEM NÃO CADASTRADO"))</f>
        <v/>
      </c>
      <c r="F479" s="21">
        <f>IF(A479="","",IFERROR(C479*VLOOKUP(A479,Semana!$A$5:$E$54,5,0),0))</f>
        <v/>
      </c>
    </row>
    <row r="480">
      <c r="A480" s="19" t="n"/>
      <c r="B480" s="19" t="n"/>
      <c r="C480" s="22" t="n"/>
      <c r="D480" s="12">
        <f>IF(B480="","",IFERROR(VLOOKUP(B480,Ingredientes!$A$4:$E$203,2,0),"?"))</f>
        <v/>
      </c>
      <c r="E480" s="9">
        <f>IF(B480="","",IFERROR(VLOOKUP(B480,Ingredientes!$A$4:$E$203,5,0)*C480,"ITEM NÃO CADASTRADO"))</f>
        <v/>
      </c>
      <c r="F480" s="21">
        <f>IF(A480="","",IFERROR(C480*VLOOKUP(A480,Semana!$A$5:$E$54,5,0),0))</f>
        <v/>
      </c>
    </row>
    <row r="481">
      <c r="A481" s="19" t="n"/>
      <c r="B481" s="19" t="n"/>
      <c r="C481" s="22" t="n"/>
      <c r="D481" s="12">
        <f>IF(B481="","",IFERROR(VLOOKUP(B481,Ingredientes!$A$4:$E$203,2,0),"?"))</f>
        <v/>
      </c>
      <c r="E481" s="9">
        <f>IF(B481="","",IFERROR(VLOOKUP(B481,Ingredientes!$A$4:$E$203,5,0)*C481,"ITEM NÃO CADASTRADO"))</f>
        <v/>
      </c>
      <c r="F481" s="21">
        <f>IF(A481="","",IFERROR(C481*VLOOKUP(A481,Semana!$A$5:$E$54,5,0),0))</f>
        <v/>
      </c>
    </row>
    <row r="482">
      <c r="A482" s="19" t="n"/>
      <c r="B482" s="19" t="n"/>
      <c r="C482" s="22" t="n"/>
      <c r="D482" s="12">
        <f>IF(B482="","",IFERROR(VLOOKUP(B482,Ingredientes!$A$4:$E$203,2,0),"?"))</f>
        <v/>
      </c>
      <c r="E482" s="9">
        <f>IF(B482="","",IFERROR(VLOOKUP(B482,Ingredientes!$A$4:$E$203,5,0)*C482,"ITEM NÃO CADASTRADO"))</f>
        <v/>
      </c>
      <c r="F482" s="21">
        <f>IF(A482="","",IFERROR(C482*VLOOKUP(A482,Semana!$A$5:$E$54,5,0),0))</f>
        <v/>
      </c>
    </row>
    <row r="483">
      <c r="A483" s="19" t="n"/>
      <c r="B483" s="19" t="n"/>
      <c r="C483" s="22" t="n"/>
      <c r="D483" s="12">
        <f>IF(B483="","",IFERROR(VLOOKUP(B483,Ingredientes!$A$4:$E$203,2,0),"?"))</f>
        <v/>
      </c>
      <c r="E483" s="9">
        <f>IF(B483="","",IFERROR(VLOOKUP(B483,Ingredientes!$A$4:$E$203,5,0)*C483,"ITEM NÃO CADASTRADO"))</f>
        <v/>
      </c>
      <c r="F483" s="21">
        <f>IF(A483="","",IFERROR(C483*VLOOKUP(A483,Semana!$A$5:$E$54,5,0),0))</f>
        <v/>
      </c>
    </row>
    <row r="484">
      <c r="A484" s="19" t="n"/>
      <c r="B484" s="19" t="n"/>
      <c r="C484" s="22" t="n"/>
      <c r="D484" s="12">
        <f>IF(B484="","",IFERROR(VLOOKUP(B484,Ingredientes!$A$4:$E$203,2,0),"?"))</f>
        <v/>
      </c>
      <c r="E484" s="9">
        <f>IF(B484="","",IFERROR(VLOOKUP(B484,Ingredientes!$A$4:$E$203,5,0)*C484,"ITEM NÃO CADASTRADO"))</f>
        <v/>
      </c>
      <c r="F484" s="21">
        <f>IF(A484="","",IFERROR(C484*VLOOKUP(A484,Semana!$A$5:$E$54,5,0),0))</f>
        <v/>
      </c>
    </row>
    <row r="485">
      <c r="A485" s="19" t="n"/>
      <c r="B485" s="19" t="n"/>
      <c r="C485" s="22" t="n"/>
      <c r="D485" s="12">
        <f>IF(B485="","",IFERROR(VLOOKUP(B485,Ingredientes!$A$4:$E$203,2,0),"?"))</f>
        <v/>
      </c>
      <c r="E485" s="9">
        <f>IF(B485="","",IFERROR(VLOOKUP(B485,Ingredientes!$A$4:$E$203,5,0)*C485,"ITEM NÃO CADASTRADO"))</f>
        <v/>
      </c>
      <c r="F485" s="21">
        <f>IF(A485="","",IFERROR(C485*VLOOKUP(A485,Semana!$A$5:$E$54,5,0),0))</f>
        <v/>
      </c>
    </row>
    <row r="486">
      <c r="A486" s="19" t="n"/>
      <c r="B486" s="19" t="n"/>
      <c r="C486" s="22" t="n"/>
      <c r="D486" s="12">
        <f>IF(B486="","",IFERROR(VLOOKUP(B486,Ingredientes!$A$4:$E$203,2,0),"?"))</f>
        <v/>
      </c>
      <c r="E486" s="9">
        <f>IF(B486="","",IFERROR(VLOOKUP(B486,Ingredientes!$A$4:$E$203,5,0)*C486,"ITEM NÃO CADASTRADO"))</f>
        <v/>
      </c>
      <c r="F486" s="21">
        <f>IF(A486="","",IFERROR(C486*VLOOKUP(A486,Semana!$A$5:$E$54,5,0),0))</f>
        <v/>
      </c>
    </row>
    <row r="487">
      <c r="A487" s="19" t="n"/>
      <c r="B487" s="19" t="n"/>
      <c r="C487" s="22" t="n"/>
      <c r="D487" s="12">
        <f>IF(B487="","",IFERROR(VLOOKUP(B487,Ingredientes!$A$4:$E$203,2,0),"?"))</f>
        <v/>
      </c>
      <c r="E487" s="9">
        <f>IF(B487="","",IFERROR(VLOOKUP(B487,Ingredientes!$A$4:$E$203,5,0)*C487,"ITEM NÃO CADASTRADO"))</f>
        <v/>
      </c>
      <c r="F487" s="21">
        <f>IF(A487="","",IFERROR(C487*VLOOKUP(A487,Semana!$A$5:$E$54,5,0),0))</f>
        <v/>
      </c>
    </row>
    <row r="488">
      <c r="A488" s="19" t="n"/>
      <c r="B488" s="19" t="n"/>
      <c r="C488" s="22" t="n"/>
      <c r="D488" s="12">
        <f>IF(B488="","",IFERROR(VLOOKUP(B488,Ingredientes!$A$4:$E$203,2,0),"?"))</f>
        <v/>
      </c>
      <c r="E488" s="9">
        <f>IF(B488="","",IFERROR(VLOOKUP(B488,Ingredientes!$A$4:$E$203,5,0)*C488,"ITEM NÃO CADASTRADO"))</f>
        <v/>
      </c>
      <c r="F488" s="21">
        <f>IF(A488="","",IFERROR(C488*VLOOKUP(A488,Semana!$A$5:$E$54,5,0),0))</f>
        <v/>
      </c>
    </row>
    <row r="489">
      <c r="A489" s="19" t="n"/>
      <c r="B489" s="19" t="n"/>
      <c r="C489" s="22" t="n"/>
      <c r="D489" s="12">
        <f>IF(B489="","",IFERROR(VLOOKUP(B489,Ingredientes!$A$4:$E$203,2,0),"?"))</f>
        <v/>
      </c>
      <c r="E489" s="9">
        <f>IF(B489="","",IFERROR(VLOOKUP(B489,Ingredientes!$A$4:$E$203,5,0)*C489,"ITEM NÃO CADASTRADO"))</f>
        <v/>
      </c>
      <c r="F489" s="21">
        <f>IF(A489="","",IFERROR(C489*VLOOKUP(A489,Semana!$A$5:$E$54,5,0),0))</f>
        <v/>
      </c>
    </row>
    <row r="490">
      <c r="A490" s="19" t="n"/>
      <c r="B490" s="19" t="n"/>
      <c r="C490" s="22" t="n"/>
      <c r="D490" s="12">
        <f>IF(B490="","",IFERROR(VLOOKUP(B490,Ingredientes!$A$4:$E$203,2,0),"?"))</f>
        <v/>
      </c>
      <c r="E490" s="9">
        <f>IF(B490="","",IFERROR(VLOOKUP(B490,Ingredientes!$A$4:$E$203,5,0)*C490,"ITEM NÃO CADASTRADO"))</f>
        <v/>
      </c>
      <c r="F490" s="21">
        <f>IF(A490="","",IFERROR(C490*VLOOKUP(A490,Semana!$A$5:$E$54,5,0),0))</f>
        <v/>
      </c>
    </row>
    <row r="491">
      <c r="A491" s="19" t="n"/>
      <c r="B491" s="19" t="n"/>
      <c r="C491" s="22" t="n"/>
      <c r="D491" s="12">
        <f>IF(B491="","",IFERROR(VLOOKUP(B491,Ingredientes!$A$4:$E$203,2,0),"?"))</f>
        <v/>
      </c>
      <c r="E491" s="9">
        <f>IF(B491="","",IFERROR(VLOOKUP(B491,Ingredientes!$A$4:$E$203,5,0)*C491,"ITEM NÃO CADASTRADO"))</f>
        <v/>
      </c>
      <c r="F491" s="21">
        <f>IF(A491="","",IFERROR(C491*VLOOKUP(A491,Semana!$A$5:$E$54,5,0),0))</f>
        <v/>
      </c>
    </row>
    <row r="492">
      <c r="A492" s="19" t="n"/>
      <c r="B492" s="19" t="n"/>
      <c r="C492" s="22" t="n"/>
      <c r="D492" s="12">
        <f>IF(B492="","",IFERROR(VLOOKUP(B492,Ingredientes!$A$4:$E$203,2,0),"?"))</f>
        <v/>
      </c>
      <c r="E492" s="9">
        <f>IF(B492="","",IFERROR(VLOOKUP(B492,Ingredientes!$A$4:$E$203,5,0)*C492,"ITEM NÃO CADASTRADO"))</f>
        <v/>
      </c>
      <c r="F492" s="21">
        <f>IF(A492="","",IFERROR(C492*VLOOKUP(A492,Semana!$A$5:$E$54,5,0),0))</f>
        <v/>
      </c>
    </row>
    <row r="493">
      <c r="A493" s="19" t="n"/>
      <c r="B493" s="19" t="n"/>
      <c r="C493" s="22" t="n"/>
      <c r="D493" s="12">
        <f>IF(B493="","",IFERROR(VLOOKUP(B493,Ingredientes!$A$4:$E$203,2,0),"?"))</f>
        <v/>
      </c>
      <c r="E493" s="9">
        <f>IF(B493="","",IFERROR(VLOOKUP(B493,Ingredientes!$A$4:$E$203,5,0)*C493,"ITEM NÃO CADASTRADO"))</f>
        <v/>
      </c>
      <c r="F493" s="21">
        <f>IF(A493="","",IFERROR(C493*VLOOKUP(A493,Semana!$A$5:$E$54,5,0),0))</f>
        <v/>
      </c>
    </row>
    <row r="494">
      <c r="A494" s="19" t="n"/>
      <c r="B494" s="19" t="n"/>
      <c r="C494" s="22" t="n"/>
      <c r="D494" s="12">
        <f>IF(B494="","",IFERROR(VLOOKUP(B494,Ingredientes!$A$4:$E$203,2,0),"?"))</f>
        <v/>
      </c>
      <c r="E494" s="9">
        <f>IF(B494="","",IFERROR(VLOOKUP(B494,Ingredientes!$A$4:$E$203,5,0)*C494,"ITEM NÃO CADASTRADO"))</f>
        <v/>
      </c>
      <c r="F494" s="21">
        <f>IF(A494="","",IFERROR(C494*VLOOKUP(A494,Semana!$A$5:$E$54,5,0),0))</f>
        <v/>
      </c>
    </row>
    <row r="495">
      <c r="A495" s="19" t="n"/>
      <c r="B495" s="19" t="n"/>
      <c r="C495" s="22" t="n"/>
      <c r="D495" s="12">
        <f>IF(B495="","",IFERROR(VLOOKUP(B495,Ingredientes!$A$4:$E$203,2,0),"?"))</f>
        <v/>
      </c>
      <c r="E495" s="9">
        <f>IF(B495="","",IFERROR(VLOOKUP(B495,Ingredientes!$A$4:$E$203,5,0)*C495,"ITEM NÃO CADASTRADO"))</f>
        <v/>
      </c>
      <c r="F495" s="21">
        <f>IF(A495="","",IFERROR(C495*VLOOKUP(A495,Semana!$A$5:$E$54,5,0),0))</f>
        <v/>
      </c>
    </row>
    <row r="496">
      <c r="A496" s="19" t="n"/>
      <c r="B496" s="19" t="n"/>
      <c r="C496" s="22" t="n"/>
      <c r="D496" s="12">
        <f>IF(B496="","",IFERROR(VLOOKUP(B496,Ingredientes!$A$4:$E$203,2,0),"?"))</f>
        <v/>
      </c>
      <c r="E496" s="9">
        <f>IF(B496="","",IFERROR(VLOOKUP(B496,Ingredientes!$A$4:$E$203,5,0)*C496,"ITEM NÃO CADASTRADO"))</f>
        <v/>
      </c>
      <c r="F496" s="21">
        <f>IF(A496="","",IFERROR(C496*VLOOKUP(A496,Semana!$A$5:$E$54,5,0),0))</f>
        <v/>
      </c>
    </row>
    <row r="497">
      <c r="A497" s="19" t="n"/>
      <c r="B497" s="19" t="n"/>
      <c r="C497" s="22" t="n"/>
      <c r="D497" s="12">
        <f>IF(B497="","",IFERROR(VLOOKUP(B497,Ingredientes!$A$4:$E$203,2,0),"?"))</f>
        <v/>
      </c>
      <c r="E497" s="9">
        <f>IF(B497="","",IFERROR(VLOOKUP(B497,Ingredientes!$A$4:$E$203,5,0)*C497,"ITEM NÃO CADASTRADO"))</f>
        <v/>
      </c>
      <c r="F497" s="21">
        <f>IF(A497="","",IFERROR(C497*VLOOKUP(A497,Semana!$A$5:$E$54,5,0),0))</f>
        <v/>
      </c>
    </row>
    <row r="498">
      <c r="A498" s="19" t="n"/>
      <c r="B498" s="19" t="n"/>
      <c r="C498" s="22" t="n"/>
      <c r="D498" s="12">
        <f>IF(B498="","",IFERROR(VLOOKUP(B498,Ingredientes!$A$4:$E$203,2,0),"?"))</f>
        <v/>
      </c>
      <c r="E498" s="9">
        <f>IF(B498="","",IFERROR(VLOOKUP(B498,Ingredientes!$A$4:$E$203,5,0)*C498,"ITEM NÃO CADASTRADO"))</f>
        <v/>
      </c>
      <c r="F498" s="21">
        <f>IF(A498="","",IFERROR(C498*VLOOKUP(A498,Semana!$A$5:$E$54,5,0),0))</f>
        <v/>
      </c>
    </row>
    <row r="499">
      <c r="A499" s="19" t="n"/>
      <c r="B499" s="19" t="n"/>
      <c r="C499" s="22" t="n"/>
      <c r="D499" s="12">
        <f>IF(B499="","",IFERROR(VLOOKUP(B499,Ingredientes!$A$4:$E$203,2,0),"?"))</f>
        <v/>
      </c>
      <c r="E499" s="9">
        <f>IF(B499="","",IFERROR(VLOOKUP(B499,Ingredientes!$A$4:$E$203,5,0)*C499,"ITEM NÃO CADASTRADO"))</f>
        <v/>
      </c>
      <c r="F499" s="21">
        <f>IF(A499="","",IFERROR(C499*VLOOKUP(A499,Semana!$A$5:$E$54,5,0),0))</f>
        <v/>
      </c>
    </row>
    <row r="500">
      <c r="A500" s="19" t="n"/>
      <c r="B500" s="19" t="n"/>
      <c r="C500" s="22" t="n"/>
      <c r="D500" s="12">
        <f>IF(B500="","",IFERROR(VLOOKUP(B500,Ingredientes!$A$4:$E$203,2,0),"?"))</f>
        <v/>
      </c>
      <c r="E500" s="9">
        <f>IF(B500="","",IFERROR(VLOOKUP(B500,Ingredientes!$A$4:$E$203,5,0)*C500,"ITEM NÃO CADASTRADO"))</f>
        <v/>
      </c>
      <c r="F500" s="21">
        <f>IF(A500="","",IFERROR(C500*VLOOKUP(A500,Semana!$A$5:$E$54,5,0),0))</f>
        <v/>
      </c>
    </row>
    <row r="501">
      <c r="A501" s="19" t="n"/>
      <c r="B501" s="19" t="n"/>
      <c r="C501" s="22" t="n"/>
      <c r="D501" s="12">
        <f>IF(B501="","",IFERROR(VLOOKUP(B501,Ingredientes!$A$4:$E$203,2,0),"?"))</f>
        <v/>
      </c>
      <c r="E501" s="9">
        <f>IF(B501="","",IFERROR(VLOOKUP(B501,Ingredientes!$A$4:$E$203,5,0)*C501,"ITEM NÃO CADASTRADO"))</f>
        <v/>
      </c>
      <c r="F501" s="21">
        <f>IF(A501="","",IFERROR(C501*VLOOKUP(A501,Semana!$A$5:$E$54,5,0),0))</f>
        <v/>
      </c>
    </row>
    <row r="502">
      <c r="A502" s="19" t="n"/>
      <c r="B502" s="19" t="n"/>
      <c r="C502" s="22" t="n"/>
      <c r="D502" s="12">
        <f>IF(B502="","",IFERROR(VLOOKUP(B502,Ingredientes!$A$4:$E$203,2,0),"?"))</f>
        <v/>
      </c>
      <c r="E502" s="9">
        <f>IF(B502="","",IFERROR(VLOOKUP(B502,Ingredientes!$A$4:$E$203,5,0)*C502,"ITEM NÃO CADASTRADO"))</f>
        <v/>
      </c>
      <c r="F502" s="21">
        <f>IF(A502="","",IFERROR(C502*VLOOKUP(A502,Semana!$A$5:$E$54,5,0),0))</f>
        <v/>
      </c>
    </row>
    <row r="503">
      <c r="A503" s="19" t="n"/>
      <c r="B503" s="19" t="n"/>
      <c r="C503" s="22" t="n"/>
      <c r="D503" s="12">
        <f>IF(B503="","",IFERROR(VLOOKUP(B503,Ingredientes!$A$4:$E$203,2,0),"?"))</f>
        <v/>
      </c>
      <c r="E503" s="9">
        <f>IF(B503="","",IFERROR(VLOOKUP(B503,Ingredientes!$A$4:$E$203,5,0)*C503,"ITEM NÃO CADASTRADO"))</f>
        <v/>
      </c>
      <c r="F503" s="21">
        <f>IF(A503="","",IFERROR(C503*VLOOKUP(A503,Semana!$A$5:$E$54,5,0),0))</f>
        <v/>
      </c>
    </row>
    <row r="504">
      <c r="A504" s="19" t="n"/>
      <c r="B504" s="19" t="n"/>
      <c r="C504" s="22" t="n"/>
      <c r="D504" s="12">
        <f>IF(B504="","",IFERROR(VLOOKUP(B504,Ingredientes!$A$4:$E$203,2,0),"?"))</f>
        <v/>
      </c>
      <c r="E504" s="9">
        <f>IF(B504="","",IFERROR(VLOOKUP(B504,Ingredientes!$A$4:$E$203,5,0)*C504,"ITEM NÃO CADASTRADO"))</f>
        <v/>
      </c>
      <c r="F504" s="21">
        <f>IF(A504="","",IFERROR(C504*VLOOKUP(A504,Semana!$A$5:$E$54,5,0),0))</f>
        <v/>
      </c>
    </row>
    <row r="505">
      <c r="A505" s="19" t="n"/>
      <c r="B505" s="19" t="n"/>
      <c r="C505" s="22" t="n"/>
      <c r="D505" s="12">
        <f>IF(B505="","",IFERROR(VLOOKUP(B505,Ingredientes!$A$4:$E$203,2,0),"?"))</f>
        <v/>
      </c>
      <c r="E505" s="9">
        <f>IF(B505="","",IFERROR(VLOOKUP(B505,Ingredientes!$A$4:$E$203,5,0)*C505,"ITEM NÃO CADASTRADO"))</f>
        <v/>
      </c>
      <c r="F505" s="21">
        <f>IF(A505="","",IFERROR(C505*VLOOKUP(A505,Semana!$A$5:$E$54,5,0),0))</f>
        <v/>
      </c>
    </row>
    <row r="506">
      <c r="A506" s="19" t="n"/>
      <c r="B506" s="19" t="n"/>
      <c r="C506" s="22" t="n"/>
      <c r="D506" s="12">
        <f>IF(B506="","",IFERROR(VLOOKUP(B506,Ingredientes!$A$4:$E$203,2,0),"?"))</f>
        <v/>
      </c>
      <c r="E506" s="9">
        <f>IF(B506="","",IFERROR(VLOOKUP(B506,Ingredientes!$A$4:$E$203,5,0)*C506,"ITEM NÃO CADASTRADO"))</f>
        <v/>
      </c>
      <c r="F506" s="21">
        <f>IF(A506="","",IFERROR(C506*VLOOKUP(A506,Semana!$A$5:$E$54,5,0),0))</f>
        <v/>
      </c>
    </row>
    <row r="507">
      <c r="A507" s="19" t="n"/>
      <c r="B507" s="19" t="n"/>
      <c r="C507" s="22" t="n"/>
      <c r="D507" s="12">
        <f>IF(B507="","",IFERROR(VLOOKUP(B507,Ingredientes!$A$4:$E$203,2,0),"?"))</f>
        <v/>
      </c>
      <c r="E507" s="9">
        <f>IF(B507="","",IFERROR(VLOOKUP(B507,Ingredientes!$A$4:$E$203,5,0)*C507,"ITEM NÃO CADASTRADO"))</f>
        <v/>
      </c>
      <c r="F507" s="21">
        <f>IF(A507="","",IFERROR(C507*VLOOKUP(A507,Semana!$A$5:$E$54,5,0),0))</f>
        <v/>
      </c>
    </row>
    <row r="508">
      <c r="A508" s="19" t="n"/>
      <c r="B508" s="19" t="n"/>
      <c r="C508" s="22" t="n"/>
      <c r="D508" s="12">
        <f>IF(B508="","",IFERROR(VLOOKUP(B508,Ingredientes!$A$4:$E$203,2,0),"?"))</f>
        <v/>
      </c>
      <c r="E508" s="9">
        <f>IF(B508="","",IFERROR(VLOOKUP(B508,Ingredientes!$A$4:$E$203,5,0)*C508,"ITEM NÃO CADASTRADO"))</f>
        <v/>
      </c>
      <c r="F508" s="21">
        <f>IF(A508="","",IFERROR(C508*VLOOKUP(A508,Semana!$A$5:$E$54,5,0),0))</f>
        <v/>
      </c>
    </row>
    <row r="509">
      <c r="A509" s="19" t="n"/>
      <c r="B509" s="19" t="n"/>
      <c r="C509" s="22" t="n"/>
      <c r="D509" s="12">
        <f>IF(B509="","",IFERROR(VLOOKUP(B509,Ingredientes!$A$4:$E$203,2,0),"?"))</f>
        <v/>
      </c>
      <c r="E509" s="9">
        <f>IF(B509="","",IFERROR(VLOOKUP(B509,Ingredientes!$A$4:$E$203,5,0)*C509,"ITEM NÃO CADASTRADO"))</f>
        <v/>
      </c>
      <c r="F509" s="21">
        <f>IF(A509="","",IFERROR(C509*VLOOKUP(A509,Semana!$A$5:$E$54,5,0),0))</f>
        <v/>
      </c>
    </row>
    <row r="510">
      <c r="A510" s="19" t="n"/>
      <c r="B510" s="19" t="n"/>
      <c r="C510" s="22" t="n"/>
      <c r="D510" s="12">
        <f>IF(B510="","",IFERROR(VLOOKUP(B510,Ingredientes!$A$4:$E$203,2,0),"?"))</f>
        <v/>
      </c>
      <c r="E510" s="9">
        <f>IF(B510="","",IFERROR(VLOOKUP(B510,Ingredientes!$A$4:$E$203,5,0)*C510,"ITEM NÃO CADASTRADO"))</f>
        <v/>
      </c>
      <c r="F510" s="21">
        <f>IF(A510="","",IFERROR(C510*VLOOKUP(A510,Semana!$A$5:$E$54,5,0),0))</f>
        <v/>
      </c>
    </row>
    <row r="511">
      <c r="A511" s="19" t="n"/>
      <c r="B511" s="19" t="n"/>
      <c r="C511" s="22" t="n"/>
      <c r="D511" s="12">
        <f>IF(B511="","",IFERROR(VLOOKUP(B511,Ingredientes!$A$4:$E$203,2,0),"?"))</f>
        <v/>
      </c>
      <c r="E511" s="9">
        <f>IF(B511="","",IFERROR(VLOOKUP(B511,Ingredientes!$A$4:$E$203,5,0)*C511,"ITEM NÃO CADASTRADO"))</f>
        <v/>
      </c>
      <c r="F511" s="21">
        <f>IF(A511="","",IFERROR(C511*VLOOKUP(A511,Semana!$A$5:$E$54,5,0),0))</f>
        <v/>
      </c>
    </row>
    <row r="512">
      <c r="A512" s="19" t="n"/>
      <c r="B512" s="19" t="n"/>
      <c r="C512" s="22" t="n"/>
      <c r="D512" s="12">
        <f>IF(B512="","",IFERROR(VLOOKUP(B512,Ingredientes!$A$4:$E$203,2,0),"?"))</f>
        <v/>
      </c>
      <c r="E512" s="9">
        <f>IF(B512="","",IFERROR(VLOOKUP(B512,Ingredientes!$A$4:$E$203,5,0)*C512,"ITEM NÃO CADASTRADO"))</f>
        <v/>
      </c>
      <c r="F512" s="21">
        <f>IF(A512="","",IFERROR(C512*VLOOKUP(A512,Semana!$A$5:$E$54,5,0),0))</f>
        <v/>
      </c>
    </row>
    <row r="513">
      <c r="A513" s="19" t="n"/>
      <c r="B513" s="19" t="n"/>
      <c r="C513" s="22" t="n"/>
      <c r="D513" s="12">
        <f>IF(B513="","",IFERROR(VLOOKUP(B513,Ingredientes!$A$4:$E$203,2,0),"?"))</f>
        <v/>
      </c>
      <c r="E513" s="9">
        <f>IF(B513="","",IFERROR(VLOOKUP(B513,Ingredientes!$A$4:$E$203,5,0)*C513,"ITEM NÃO CADASTRADO"))</f>
        <v/>
      </c>
      <c r="F513" s="21">
        <f>IF(A513="","",IFERROR(C513*VLOOKUP(A513,Semana!$A$5:$E$54,5,0),0))</f>
        <v/>
      </c>
    </row>
    <row r="514">
      <c r="A514" s="19" t="n"/>
      <c r="B514" s="19" t="n"/>
      <c r="C514" s="22" t="n"/>
      <c r="D514" s="12">
        <f>IF(B514="","",IFERROR(VLOOKUP(B514,Ingredientes!$A$4:$E$203,2,0),"?"))</f>
        <v/>
      </c>
      <c r="E514" s="9">
        <f>IF(B514="","",IFERROR(VLOOKUP(B514,Ingredientes!$A$4:$E$203,5,0)*C514,"ITEM NÃO CADASTRADO"))</f>
        <v/>
      </c>
      <c r="F514" s="21">
        <f>IF(A514="","",IFERROR(C514*VLOOKUP(A514,Semana!$A$5:$E$54,5,0),0))</f>
        <v/>
      </c>
    </row>
    <row r="515">
      <c r="A515" s="19" t="n"/>
      <c r="B515" s="19" t="n"/>
      <c r="C515" s="22" t="n"/>
      <c r="D515" s="12">
        <f>IF(B515="","",IFERROR(VLOOKUP(B515,Ingredientes!$A$4:$E$203,2,0),"?"))</f>
        <v/>
      </c>
      <c r="E515" s="9">
        <f>IF(B515="","",IFERROR(VLOOKUP(B515,Ingredientes!$A$4:$E$203,5,0)*C515,"ITEM NÃO CADASTRADO"))</f>
        <v/>
      </c>
      <c r="F515" s="21">
        <f>IF(A515="","",IFERROR(C515*VLOOKUP(A515,Semana!$A$5:$E$54,5,0),0))</f>
        <v/>
      </c>
    </row>
    <row r="516">
      <c r="A516" s="19" t="n"/>
      <c r="B516" s="19" t="n"/>
      <c r="C516" s="22" t="n"/>
      <c r="D516" s="12">
        <f>IF(B516="","",IFERROR(VLOOKUP(B516,Ingredientes!$A$4:$E$203,2,0),"?"))</f>
        <v/>
      </c>
      <c r="E516" s="9">
        <f>IF(B516="","",IFERROR(VLOOKUP(B516,Ingredientes!$A$4:$E$203,5,0)*C516,"ITEM NÃO CADASTRADO"))</f>
        <v/>
      </c>
      <c r="F516" s="21">
        <f>IF(A516="","",IFERROR(C516*VLOOKUP(A516,Semana!$A$5:$E$54,5,0),0))</f>
        <v/>
      </c>
    </row>
    <row r="517">
      <c r="A517" s="19" t="n"/>
      <c r="B517" s="19" t="n"/>
      <c r="C517" s="22" t="n"/>
      <c r="D517" s="12">
        <f>IF(B517="","",IFERROR(VLOOKUP(B517,Ingredientes!$A$4:$E$203,2,0),"?"))</f>
        <v/>
      </c>
      <c r="E517" s="9">
        <f>IF(B517="","",IFERROR(VLOOKUP(B517,Ingredientes!$A$4:$E$203,5,0)*C517,"ITEM NÃO CADASTRADO"))</f>
        <v/>
      </c>
      <c r="F517" s="21">
        <f>IF(A517="","",IFERROR(C517*VLOOKUP(A517,Semana!$A$5:$E$54,5,0),0))</f>
        <v/>
      </c>
    </row>
    <row r="518">
      <c r="A518" s="19" t="n"/>
      <c r="B518" s="19" t="n"/>
      <c r="C518" s="22" t="n"/>
      <c r="D518" s="12">
        <f>IF(B518="","",IFERROR(VLOOKUP(B518,Ingredientes!$A$4:$E$203,2,0),"?"))</f>
        <v/>
      </c>
      <c r="E518" s="9">
        <f>IF(B518="","",IFERROR(VLOOKUP(B518,Ingredientes!$A$4:$E$203,5,0)*C518,"ITEM NÃO CADASTRADO"))</f>
        <v/>
      </c>
      <c r="F518" s="21">
        <f>IF(A518="","",IFERROR(C518*VLOOKUP(A518,Semana!$A$5:$E$54,5,0),0))</f>
        <v/>
      </c>
    </row>
    <row r="519">
      <c r="A519" s="19" t="n"/>
      <c r="B519" s="19" t="n"/>
      <c r="C519" s="22" t="n"/>
      <c r="D519" s="12">
        <f>IF(B519="","",IFERROR(VLOOKUP(B519,Ingredientes!$A$4:$E$203,2,0),"?"))</f>
        <v/>
      </c>
      <c r="E519" s="9">
        <f>IF(B519="","",IFERROR(VLOOKUP(B519,Ingredientes!$A$4:$E$203,5,0)*C519,"ITEM NÃO CADASTRADO"))</f>
        <v/>
      </c>
      <c r="F519" s="21">
        <f>IF(A519="","",IFERROR(C519*VLOOKUP(A519,Semana!$A$5:$E$54,5,0),0))</f>
        <v/>
      </c>
    </row>
    <row r="520">
      <c r="A520" s="19" t="n"/>
      <c r="B520" s="19" t="n"/>
      <c r="C520" s="22" t="n"/>
      <c r="D520" s="12">
        <f>IF(B520="","",IFERROR(VLOOKUP(B520,Ingredientes!$A$4:$E$203,2,0),"?"))</f>
        <v/>
      </c>
      <c r="E520" s="9">
        <f>IF(B520="","",IFERROR(VLOOKUP(B520,Ingredientes!$A$4:$E$203,5,0)*C520,"ITEM NÃO CADASTRADO"))</f>
        <v/>
      </c>
      <c r="F520" s="21">
        <f>IF(A520="","",IFERROR(C520*VLOOKUP(A520,Semana!$A$5:$E$54,5,0),0))</f>
        <v/>
      </c>
    </row>
    <row r="521">
      <c r="A521" s="19" t="n"/>
      <c r="B521" s="19" t="n"/>
      <c r="C521" s="22" t="n"/>
      <c r="D521" s="12">
        <f>IF(B521="","",IFERROR(VLOOKUP(B521,Ingredientes!$A$4:$E$203,2,0),"?"))</f>
        <v/>
      </c>
      <c r="E521" s="9">
        <f>IF(B521="","",IFERROR(VLOOKUP(B521,Ingredientes!$A$4:$E$203,5,0)*C521,"ITEM NÃO CADASTRADO"))</f>
        <v/>
      </c>
      <c r="F521" s="21">
        <f>IF(A521="","",IFERROR(C521*VLOOKUP(A521,Semana!$A$5:$E$54,5,0),0))</f>
        <v/>
      </c>
    </row>
    <row r="522">
      <c r="A522" s="19" t="n"/>
      <c r="B522" s="19" t="n"/>
      <c r="C522" s="22" t="n"/>
      <c r="D522" s="12">
        <f>IF(B522="","",IFERROR(VLOOKUP(B522,Ingredientes!$A$4:$E$203,2,0),"?"))</f>
        <v/>
      </c>
      <c r="E522" s="9">
        <f>IF(B522="","",IFERROR(VLOOKUP(B522,Ingredientes!$A$4:$E$203,5,0)*C522,"ITEM NÃO CADASTRADO"))</f>
        <v/>
      </c>
      <c r="F522" s="21">
        <f>IF(A522="","",IFERROR(C522*VLOOKUP(A522,Semana!$A$5:$E$54,5,0),0))</f>
        <v/>
      </c>
    </row>
    <row r="523">
      <c r="A523" s="19" t="n"/>
      <c r="B523" s="19" t="n"/>
      <c r="C523" s="22" t="n"/>
      <c r="D523" s="12">
        <f>IF(B523="","",IFERROR(VLOOKUP(B523,Ingredientes!$A$4:$E$203,2,0),"?"))</f>
        <v/>
      </c>
      <c r="E523" s="9">
        <f>IF(B523="","",IFERROR(VLOOKUP(B523,Ingredientes!$A$4:$E$203,5,0)*C523,"ITEM NÃO CADASTRADO"))</f>
        <v/>
      </c>
      <c r="F523" s="21">
        <f>IF(A523="","",IFERROR(C523*VLOOKUP(A523,Semana!$A$5:$E$54,5,0),0))</f>
        <v/>
      </c>
    </row>
    <row r="524">
      <c r="A524" s="19" t="n"/>
      <c r="B524" s="19" t="n"/>
      <c r="C524" s="22" t="n"/>
      <c r="D524" s="12">
        <f>IF(B524="","",IFERROR(VLOOKUP(B524,Ingredientes!$A$4:$E$203,2,0),"?"))</f>
        <v/>
      </c>
      <c r="E524" s="9">
        <f>IF(B524="","",IFERROR(VLOOKUP(B524,Ingredientes!$A$4:$E$203,5,0)*C524,"ITEM NÃO CADASTRADO"))</f>
        <v/>
      </c>
      <c r="F524" s="21">
        <f>IF(A524="","",IFERROR(C524*VLOOKUP(A524,Semana!$A$5:$E$54,5,0),0))</f>
        <v/>
      </c>
    </row>
    <row r="525">
      <c r="A525" s="19" t="n"/>
      <c r="B525" s="19" t="n"/>
      <c r="C525" s="22" t="n"/>
      <c r="D525" s="12">
        <f>IF(B525="","",IFERROR(VLOOKUP(B525,Ingredientes!$A$4:$E$203,2,0),"?"))</f>
        <v/>
      </c>
      <c r="E525" s="9">
        <f>IF(B525="","",IFERROR(VLOOKUP(B525,Ingredientes!$A$4:$E$203,5,0)*C525,"ITEM NÃO CADASTRADO"))</f>
        <v/>
      </c>
      <c r="F525" s="21">
        <f>IF(A525="","",IFERROR(C525*VLOOKUP(A525,Semana!$A$5:$E$54,5,0),0))</f>
        <v/>
      </c>
    </row>
    <row r="526">
      <c r="A526" s="19" t="n"/>
      <c r="B526" s="19" t="n"/>
      <c r="C526" s="22" t="n"/>
      <c r="D526" s="12">
        <f>IF(B526="","",IFERROR(VLOOKUP(B526,Ingredientes!$A$4:$E$203,2,0),"?"))</f>
        <v/>
      </c>
      <c r="E526" s="9">
        <f>IF(B526="","",IFERROR(VLOOKUP(B526,Ingredientes!$A$4:$E$203,5,0)*C526,"ITEM NÃO CADASTRADO"))</f>
        <v/>
      </c>
      <c r="F526" s="21">
        <f>IF(A526="","",IFERROR(C526*VLOOKUP(A526,Semana!$A$5:$E$54,5,0),0))</f>
        <v/>
      </c>
    </row>
    <row r="527">
      <c r="A527" s="19" t="n"/>
      <c r="B527" s="19" t="n"/>
      <c r="C527" s="22" t="n"/>
      <c r="D527" s="12">
        <f>IF(B527="","",IFERROR(VLOOKUP(B527,Ingredientes!$A$4:$E$203,2,0),"?"))</f>
        <v/>
      </c>
      <c r="E527" s="9">
        <f>IF(B527="","",IFERROR(VLOOKUP(B527,Ingredientes!$A$4:$E$203,5,0)*C527,"ITEM NÃO CADASTRADO"))</f>
        <v/>
      </c>
      <c r="F527" s="21">
        <f>IF(A527="","",IFERROR(C527*VLOOKUP(A527,Semana!$A$5:$E$54,5,0),0))</f>
        <v/>
      </c>
    </row>
    <row r="528">
      <c r="A528" s="19" t="n"/>
      <c r="B528" s="19" t="n"/>
      <c r="C528" s="22" t="n"/>
      <c r="D528" s="12">
        <f>IF(B528="","",IFERROR(VLOOKUP(B528,Ingredientes!$A$4:$E$203,2,0),"?"))</f>
        <v/>
      </c>
      <c r="E528" s="9">
        <f>IF(B528="","",IFERROR(VLOOKUP(B528,Ingredientes!$A$4:$E$203,5,0)*C528,"ITEM NÃO CADASTRADO"))</f>
        <v/>
      </c>
      <c r="F528" s="21">
        <f>IF(A528="","",IFERROR(C528*VLOOKUP(A528,Semana!$A$5:$E$54,5,0),0))</f>
        <v/>
      </c>
    </row>
    <row r="529">
      <c r="A529" s="19" t="n"/>
      <c r="B529" s="19" t="n"/>
      <c r="C529" s="22" t="n"/>
      <c r="D529" s="12">
        <f>IF(B529="","",IFERROR(VLOOKUP(B529,Ingredientes!$A$4:$E$203,2,0),"?"))</f>
        <v/>
      </c>
      <c r="E529" s="9">
        <f>IF(B529="","",IFERROR(VLOOKUP(B529,Ingredientes!$A$4:$E$203,5,0)*C529,"ITEM NÃO CADASTRADO"))</f>
        <v/>
      </c>
      <c r="F529" s="21">
        <f>IF(A529="","",IFERROR(C529*VLOOKUP(A529,Semana!$A$5:$E$54,5,0),0))</f>
        <v/>
      </c>
    </row>
    <row r="530">
      <c r="A530" s="19" t="n"/>
      <c r="B530" s="19" t="n"/>
      <c r="C530" s="22" t="n"/>
      <c r="D530" s="12">
        <f>IF(B530="","",IFERROR(VLOOKUP(B530,Ingredientes!$A$4:$E$203,2,0),"?"))</f>
        <v/>
      </c>
      <c r="E530" s="9">
        <f>IF(B530="","",IFERROR(VLOOKUP(B530,Ingredientes!$A$4:$E$203,5,0)*C530,"ITEM NÃO CADASTRADO"))</f>
        <v/>
      </c>
      <c r="F530" s="21">
        <f>IF(A530="","",IFERROR(C530*VLOOKUP(A530,Semana!$A$5:$E$54,5,0),0))</f>
        <v/>
      </c>
    </row>
    <row r="531">
      <c r="A531" s="19" t="n"/>
      <c r="B531" s="19" t="n"/>
      <c r="C531" s="22" t="n"/>
      <c r="D531" s="12">
        <f>IF(B531="","",IFERROR(VLOOKUP(B531,Ingredientes!$A$4:$E$203,2,0),"?"))</f>
        <v/>
      </c>
      <c r="E531" s="9">
        <f>IF(B531="","",IFERROR(VLOOKUP(B531,Ingredientes!$A$4:$E$203,5,0)*C531,"ITEM NÃO CADASTRADO"))</f>
        <v/>
      </c>
      <c r="F531" s="21">
        <f>IF(A531="","",IFERROR(C531*VLOOKUP(A531,Semana!$A$5:$E$54,5,0),0))</f>
        <v/>
      </c>
    </row>
    <row r="532">
      <c r="A532" s="19" t="n"/>
      <c r="B532" s="19" t="n"/>
      <c r="C532" s="22" t="n"/>
      <c r="D532" s="12">
        <f>IF(B532="","",IFERROR(VLOOKUP(B532,Ingredientes!$A$4:$E$203,2,0),"?"))</f>
        <v/>
      </c>
      <c r="E532" s="9">
        <f>IF(B532="","",IFERROR(VLOOKUP(B532,Ingredientes!$A$4:$E$203,5,0)*C532,"ITEM NÃO CADASTRADO"))</f>
        <v/>
      </c>
      <c r="F532" s="21">
        <f>IF(A532="","",IFERROR(C532*VLOOKUP(A532,Semana!$A$5:$E$54,5,0),0))</f>
        <v/>
      </c>
    </row>
    <row r="533">
      <c r="A533" s="19" t="n"/>
      <c r="B533" s="19" t="n"/>
      <c r="C533" s="22" t="n"/>
      <c r="D533" s="12">
        <f>IF(B533="","",IFERROR(VLOOKUP(B533,Ingredientes!$A$4:$E$203,2,0),"?"))</f>
        <v/>
      </c>
      <c r="E533" s="9">
        <f>IF(B533="","",IFERROR(VLOOKUP(B533,Ingredientes!$A$4:$E$203,5,0)*C533,"ITEM NÃO CADASTRADO"))</f>
        <v/>
      </c>
      <c r="F533" s="21">
        <f>IF(A533="","",IFERROR(C533*VLOOKUP(A533,Semana!$A$5:$E$54,5,0),0))</f>
        <v/>
      </c>
    </row>
    <row r="534">
      <c r="A534" s="19" t="n"/>
      <c r="B534" s="19" t="n"/>
      <c r="C534" s="22" t="n"/>
      <c r="D534" s="12">
        <f>IF(B534="","",IFERROR(VLOOKUP(B534,Ingredientes!$A$4:$E$203,2,0),"?"))</f>
        <v/>
      </c>
      <c r="E534" s="9">
        <f>IF(B534="","",IFERROR(VLOOKUP(B534,Ingredientes!$A$4:$E$203,5,0)*C534,"ITEM NÃO CADASTRADO"))</f>
        <v/>
      </c>
      <c r="F534" s="21">
        <f>IF(A534="","",IFERROR(C534*VLOOKUP(A534,Semana!$A$5:$E$54,5,0),0))</f>
        <v/>
      </c>
    </row>
    <row r="535">
      <c r="A535" s="19" t="n"/>
      <c r="B535" s="19" t="n"/>
      <c r="C535" s="22" t="n"/>
      <c r="D535" s="12">
        <f>IF(B535="","",IFERROR(VLOOKUP(B535,Ingredientes!$A$4:$E$203,2,0),"?"))</f>
        <v/>
      </c>
      <c r="E535" s="9">
        <f>IF(B535="","",IFERROR(VLOOKUP(B535,Ingredientes!$A$4:$E$203,5,0)*C535,"ITEM NÃO CADASTRADO"))</f>
        <v/>
      </c>
      <c r="F535" s="21">
        <f>IF(A535="","",IFERROR(C535*VLOOKUP(A535,Semana!$A$5:$E$54,5,0),0))</f>
        <v/>
      </c>
    </row>
    <row r="536">
      <c r="A536" s="19" t="n"/>
      <c r="B536" s="19" t="n"/>
      <c r="C536" s="22" t="n"/>
      <c r="D536" s="12">
        <f>IF(B536="","",IFERROR(VLOOKUP(B536,Ingredientes!$A$4:$E$203,2,0),"?"))</f>
        <v/>
      </c>
      <c r="E536" s="9">
        <f>IF(B536="","",IFERROR(VLOOKUP(B536,Ingredientes!$A$4:$E$203,5,0)*C536,"ITEM NÃO CADASTRADO"))</f>
        <v/>
      </c>
      <c r="F536" s="21">
        <f>IF(A536="","",IFERROR(C536*VLOOKUP(A536,Semana!$A$5:$E$54,5,0),0))</f>
        <v/>
      </c>
    </row>
    <row r="537">
      <c r="A537" s="19" t="n"/>
      <c r="B537" s="19" t="n"/>
      <c r="C537" s="22" t="n"/>
      <c r="D537" s="12">
        <f>IF(B537="","",IFERROR(VLOOKUP(B537,Ingredientes!$A$4:$E$203,2,0),"?"))</f>
        <v/>
      </c>
      <c r="E537" s="9">
        <f>IF(B537="","",IFERROR(VLOOKUP(B537,Ingredientes!$A$4:$E$203,5,0)*C537,"ITEM NÃO CADASTRADO"))</f>
        <v/>
      </c>
      <c r="F537" s="21">
        <f>IF(A537="","",IFERROR(C537*VLOOKUP(A537,Semana!$A$5:$E$54,5,0),0))</f>
        <v/>
      </c>
    </row>
    <row r="538">
      <c r="A538" s="19" t="n"/>
      <c r="B538" s="19" t="n"/>
      <c r="C538" s="22" t="n"/>
      <c r="D538" s="12">
        <f>IF(B538="","",IFERROR(VLOOKUP(B538,Ingredientes!$A$4:$E$203,2,0),"?"))</f>
        <v/>
      </c>
      <c r="E538" s="9">
        <f>IF(B538="","",IFERROR(VLOOKUP(B538,Ingredientes!$A$4:$E$203,5,0)*C538,"ITEM NÃO CADASTRADO"))</f>
        <v/>
      </c>
      <c r="F538" s="21">
        <f>IF(A538="","",IFERROR(C538*VLOOKUP(A538,Semana!$A$5:$E$54,5,0),0))</f>
        <v/>
      </c>
    </row>
    <row r="539">
      <c r="A539" s="19" t="n"/>
      <c r="B539" s="19" t="n"/>
      <c r="C539" s="22" t="n"/>
      <c r="D539" s="12">
        <f>IF(B539="","",IFERROR(VLOOKUP(B539,Ingredientes!$A$4:$E$203,2,0),"?"))</f>
        <v/>
      </c>
      <c r="E539" s="9">
        <f>IF(B539="","",IFERROR(VLOOKUP(B539,Ingredientes!$A$4:$E$203,5,0)*C539,"ITEM NÃO CADASTRADO"))</f>
        <v/>
      </c>
      <c r="F539" s="21">
        <f>IF(A539="","",IFERROR(C539*VLOOKUP(A539,Semana!$A$5:$E$54,5,0),0))</f>
        <v/>
      </c>
    </row>
    <row r="540">
      <c r="A540" s="19" t="n"/>
      <c r="B540" s="19" t="n"/>
      <c r="C540" s="22" t="n"/>
      <c r="D540" s="12">
        <f>IF(B540="","",IFERROR(VLOOKUP(B540,Ingredientes!$A$4:$E$203,2,0),"?"))</f>
        <v/>
      </c>
      <c r="E540" s="9">
        <f>IF(B540="","",IFERROR(VLOOKUP(B540,Ingredientes!$A$4:$E$203,5,0)*C540,"ITEM NÃO CADASTRADO"))</f>
        <v/>
      </c>
      <c r="F540" s="21">
        <f>IF(A540="","",IFERROR(C540*VLOOKUP(A540,Semana!$A$5:$E$54,5,0),0))</f>
        <v/>
      </c>
    </row>
    <row r="541">
      <c r="A541" s="19" t="n"/>
      <c r="B541" s="19" t="n"/>
      <c r="C541" s="22" t="n"/>
      <c r="D541" s="12">
        <f>IF(B541="","",IFERROR(VLOOKUP(B541,Ingredientes!$A$4:$E$203,2,0),"?"))</f>
        <v/>
      </c>
      <c r="E541" s="9">
        <f>IF(B541="","",IFERROR(VLOOKUP(B541,Ingredientes!$A$4:$E$203,5,0)*C541,"ITEM NÃO CADASTRADO"))</f>
        <v/>
      </c>
      <c r="F541" s="21">
        <f>IF(A541="","",IFERROR(C541*VLOOKUP(A541,Semana!$A$5:$E$54,5,0),0))</f>
        <v/>
      </c>
    </row>
    <row r="542">
      <c r="A542" s="19" t="n"/>
      <c r="B542" s="19" t="n"/>
      <c r="C542" s="22" t="n"/>
      <c r="D542" s="12">
        <f>IF(B542="","",IFERROR(VLOOKUP(B542,Ingredientes!$A$4:$E$203,2,0),"?"))</f>
        <v/>
      </c>
      <c r="E542" s="9">
        <f>IF(B542="","",IFERROR(VLOOKUP(B542,Ingredientes!$A$4:$E$203,5,0)*C542,"ITEM NÃO CADASTRADO"))</f>
        <v/>
      </c>
      <c r="F542" s="21">
        <f>IF(A542="","",IFERROR(C542*VLOOKUP(A542,Semana!$A$5:$E$54,5,0),0))</f>
        <v/>
      </c>
    </row>
    <row r="543">
      <c r="A543" s="19" t="n"/>
      <c r="B543" s="19" t="n"/>
      <c r="C543" s="22" t="n"/>
      <c r="D543" s="12">
        <f>IF(B543="","",IFERROR(VLOOKUP(B543,Ingredientes!$A$4:$E$203,2,0),"?"))</f>
        <v/>
      </c>
      <c r="E543" s="9">
        <f>IF(B543="","",IFERROR(VLOOKUP(B543,Ingredientes!$A$4:$E$203,5,0)*C543,"ITEM NÃO CADASTRADO"))</f>
        <v/>
      </c>
      <c r="F543" s="21">
        <f>IF(A543="","",IFERROR(C543*VLOOKUP(A543,Semana!$A$5:$E$54,5,0),0))</f>
        <v/>
      </c>
    </row>
    <row r="544">
      <c r="A544" s="19" t="n"/>
      <c r="B544" s="19" t="n"/>
      <c r="C544" s="22" t="n"/>
      <c r="D544" s="12">
        <f>IF(B544="","",IFERROR(VLOOKUP(B544,Ingredientes!$A$4:$E$203,2,0),"?"))</f>
        <v/>
      </c>
      <c r="E544" s="9">
        <f>IF(B544="","",IFERROR(VLOOKUP(B544,Ingredientes!$A$4:$E$203,5,0)*C544,"ITEM NÃO CADASTRADO"))</f>
        <v/>
      </c>
      <c r="F544" s="21">
        <f>IF(A544="","",IFERROR(C544*VLOOKUP(A544,Semana!$A$5:$E$54,5,0),0))</f>
        <v/>
      </c>
    </row>
    <row r="545">
      <c r="A545" s="19" t="n"/>
      <c r="B545" s="19" t="n"/>
      <c r="C545" s="22" t="n"/>
      <c r="D545" s="12">
        <f>IF(B545="","",IFERROR(VLOOKUP(B545,Ingredientes!$A$4:$E$203,2,0),"?"))</f>
        <v/>
      </c>
      <c r="E545" s="9">
        <f>IF(B545="","",IFERROR(VLOOKUP(B545,Ingredientes!$A$4:$E$203,5,0)*C545,"ITEM NÃO CADASTRADO"))</f>
        <v/>
      </c>
      <c r="F545" s="21">
        <f>IF(A545="","",IFERROR(C545*VLOOKUP(A545,Semana!$A$5:$E$54,5,0),0))</f>
        <v/>
      </c>
    </row>
    <row r="546">
      <c r="A546" s="19" t="n"/>
      <c r="B546" s="19" t="n"/>
      <c r="C546" s="22" t="n"/>
      <c r="D546" s="12">
        <f>IF(B546="","",IFERROR(VLOOKUP(B546,Ingredientes!$A$4:$E$203,2,0),"?"))</f>
        <v/>
      </c>
      <c r="E546" s="9">
        <f>IF(B546="","",IFERROR(VLOOKUP(B546,Ingredientes!$A$4:$E$203,5,0)*C546,"ITEM NÃO CADASTRADO"))</f>
        <v/>
      </c>
      <c r="F546" s="21">
        <f>IF(A546="","",IFERROR(C546*VLOOKUP(A546,Semana!$A$5:$E$54,5,0),0))</f>
        <v/>
      </c>
    </row>
    <row r="547">
      <c r="A547" s="19" t="n"/>
      <c r="B547" s="19" t="n"/>
      <c r="C547" s="22" t="n"/>
      <c r="D547" s="12">
        <f>IF(B547="","",IFERROR(VLOOKUP(B547,Ingredientes!$A$4:$E$203,2,0),"?"))</f>
        <v/>
      </c>
      <c r="E547" s="9">
        <f>IF(B547="","",IFERROR(VLOOKUP(B547,Ingredientes!$A$4:$E$203,5,0)*C547,"ITEM NÃO CADASTRADO"))</f>
        <v/>
      </c>
      <c r="F547" s="21">
        <f>IF(A547="","",IFERROR(C547*VLOOKUP(A547,Semana!$A$5:$E$54,5,0),0))</f>
        <v/>
      </c>
    </row>
    <row r="548">
      <c r="A548" s="19" t="n"/>
      <c r="B548" s="19" t="n"/>
      <c r="C548" s="22" t="n"/>
      <c r="D548" s="12">
        <f>IF(B548="","",IFERROR(VLOOKUP(B548,Ingredientes!$A$4:$E$203,2,0),"?"))</f>
        <v/>
      </c>
      <c r="E548" s="9">
        <f>IF(B548="","",IFERROR(VLOOKUP(B548,Ingredientes!$A$4:$E$203,5,0)*C548,"ITEM NÃO CADASTRADO"))</f>
        <v/>
      </c>
      <c r="F548" s="21">
        <f>IF(A548="","",IFERROR(C548*VLOOKUP(A548,Semana!$A$5:$E$54,5,0),0))</f>
        <v/>
      </c>
    </row>
    <row r="549">
      <c r="A549" s="19" t="n"/>
      <c r="B549" s="19" t="n"/>
      <c r="C549" s="22" t="n"/>
      <c r="D549" s="12">
        <f>IF(B549="","",IFERROR(VLOOKUP(B549,Ingredientes!$A$4:$E$203,2,0),"?"))</f>
        <v/>
      </c>
      <c r="E549" s="9">
        <f>IF(B549="","",IFERROR(VLOOKUP(B549,Ingredientes!$A$4:$E$203,5,0)*C549,"ITEM NÃO CADASTRADO"))</f>
        <v/>
      </c>
      <c r="F549" s="21">
        <f>IF(A549="","",IFERROR(C549*VLOOKUP(A549,Semana!$A$5:$E$54,5,0),0))</f>
        <v/>
      </c>
    </row>
    <row r="550">
      <c r="A550" s="19" t="n"/>
      <c r="B550" s="19" t="n"/>
      <c r="C550" s="22" t="n"/>
      <c r="D550" s="12">
        <f>IF(B550="","",IFERROR(VLOOKUP(B550,Ingredientes!$A$4:$E$203,2,0),"?"))</f>
        <v/>
      </c>
      <c r="E550" s="9">
        <f>IF(B550="","",IFERROR(VLOOKUP(B550,Ingredientes!$A$4:$E$203,5,0)*C550,"ITEM NÃO CADASTRADO"))</f>
        <v/>
      </c>
      <c r="F550" s="21">
        <f>IF(A550="","",IFERROR(C550*VLOOKUP(A550,Semana!$A$5:$E$54,5,0),0))</f>
        <v/>
      </c>
    </row>
    <row r="551">
      <c r="A551" s="19" t="n"/>
      <c r="B551" s="19" t="n"/>
      <c r="C551" s="22" t="n"/>
      <c r="D551" s="12">
        <f>IF(B551="","",IFERROR(VLOOKUP(B551,Ingredientes!$A$4:$E$203,2,0),"?"))</f>
        <v/>
      </c>
      <c r="E551" s="9">
        <f>IF(B551="","",IFERROR(VLOOKUP(B551,Ingredientes!$A$4:$E$203,5,0)*C551,"ITEM NÃO CADASTRADO"))</f>
        <v/>
      </c>
      <c r="F551" s="21">
        <f>IF(A551="","",IFERROR(C551*VLOOKUP(A551,Semana!$A$5:$E$54,5,0),0))</f>
        <v/>
      </c>
    </row>
    <row r="552">
      <c r="A552" s="19" t="n"/>
      <c r="B552" s="19" t="n"/>
      <c r="C552" s="22" t="n"/>
      <c r="D552" s="12">
        <f>IF(B552="","",IFERROR(VLOOKUP(B552,Ingredientes!$A$4:$E$203,2,0),"?"))</f>
        <v/>
      </c>
      <c r="E552" s="9">
        <f>IF(B552="","",IFERROR(VLOOKUP(B552,Ingredientes!$A$4:$E$203,5,0)*C552,"ITEM NÃO CADASTRADO"))</f>
        <v/>
      </c>
      <c r="F552" s="21">
        <f>IF(A552="","",IFERROR(C552*VLOOKUP(A552,Semana!$A$5:$E$54,5,0),0))</f>
        <v/>
      </c>
    </row>
    <row r="553">
      <c r="A553" s="19" t="n"/>
      <c r="B553" s="19" t="n"/>
      <c r="C553" s="22" t="n"/>
      <c r="D553" s="12">
        <f>IF(B553="","",IFERROR(VLOOKUP(B553,Ingredientes!$A$4:$E$203,2,0),"?"))</f>
        <v/>
      </c>
      <c r="E553" s="9">
        <f>IF(B553="","",IFERROR(VLOOKUP(B553,Ingredientes!$A$4:$E$203,5,0)*C553,"ITEM NÃO CADASTRADO"))</f>
        <v/>
      </c>
      <c r="F553" s="21">
        <f>IF(A553="","",IFERROR(C553*VLOOKUP(A553,Semana!$A$5:$E$54,5,0),0))</f>
        <v/>
      </c>
    </row>
    <row r="554">
      <c r="A554" s="19" t="n"/>
      <c r="B554" s="19" t="n"/>
      <c r="C554" s="22" t="n"/>
      <c r="D554" s="12">
        <f>IF(B554="","",IFERROR(VLOOKUP(B554,Ingredientes!$A$4:$E$203,2,0),"?"))</f>
        <v/>
      </c>
      <c r="E554" s="9">
        <f>IF(B554="","",IFERROR(VLOOKUP(B554,Ingredientes!$A$4:$E$203,5,0)*C554,"ITEM NÃO CADASTRADO"))</f>
        <v/>
      </c>
      <c r="F554" s="21">
        <f>IF(A554="","",IFERROR(C554*VLOOKUP(A554,Semana!$A$5:$E$54,5,0),0))</f>
        <v/>
      </c>
    </row>
    <row r="555">
      <c r="A555" s="19" t="n"/>
      <c r="B555" s="19" t="n"/>
      <c r="C555" s="22" t="n"/>
      <c r="D555" s="12">
        <f>IF(B555="","",IFERROR(VLOOKUP(B555,Ingredientes!$A$4:$E$203,2,0),"?"))</f>
        <v/>
      </c>
      <c r="E555" s="9">
        <f>IF(B555="","",IFERROR(VLOOKUP(B555,Ingredientes!$A$4:$E$203,5,0)*C555,"ITEM NÃO CADASTRADO"))</f>
        <v/>
      </c>
      <c r="F555" s="21">
        <f>IF(A555="","",IFERROR(C555*VLOOKUP(A555,Semana!$A$5:$E$54,5,0),0))</f>
        <v/>
      </c>
    </row>
    <row r="556">
      <c r="A556" s="19" t="n"/>
      <c r="B556" s="19" t="n"/>
      <c r="C556" s="22" t="n"/>
      <c r="D556" s="12">
        <f>IF(B556="","",IFERROR(VLOOKUP(B556,Ingredientes!$A$4:$E$203,2,0),"?"))</f>
        <v/>
      </c>
      <c r="E556" s="9">
        <f>IF(B556="","",IFERROR(VLOOKUP(B556,Ingredientes!$A$4:$E$203,5,0)*C556,"ITEM NÃO CADASTRADO"))</f>
        <v/>
      </c>
      <c r="F556" s="21">
        <f>IF(A556="","",IFERROR(C556*VLOOKUP(A556,Semana!$A$5:$E$54,5,0),0))</f>
        <v/>
      </c>
    </row>
    <row r="557">
      <c r="A557" s="19" t="n"/>
      <c r="B557" s="19" t="n"/>
      <c r="C557" s="22" t="n"/>
      <c r="D557" s="12">
        <f>IF(B557="","",IFERROR(VLOOKUP(B557,Ingredientes!$A$4:$E$203,2,0),"?"))</f>
        <v/>
      </c>
      <c r="E557" s="9">
        <f>IF(B557="","",IFERROR(VLOOKUP(B557,Ingredientes!$A$4:$E$203,5,0)*C557,"ITEM NÃO CADASTRADO"))</f>
        <v/>
      </c>
      <c r="F557" s="21">
        <f>IF(A557="","",IFERROR(C557*VLOOKUP(A557,Semana!$A$5:$E$54,5,0),0))</f>
        <v/>
      </c>
    </row>
    <row r="558">
      <c r="A558" s="19" t="n"/>
      <c r="B558" s="19" t="n"/>
      <c r="C558" s="22" t="n"/>
      <c r="D558" s="12">
        <f>IF(B558="","",IFERROR(VLOOKUP(B558,Ingredientes!$A$4:$E$203,2,0),"?"))</f>
        <v/>
      </c>
      <c r="E558" s="9">
        <f>IF(B558="","",IFERROR(VLOOKUP(B558,Ingredientes!$A$4:$E$203,5,0)*C558,"ITEM NÃO CADASTRADO"))</f>
        <v/>
      </c>
      <c r="F558" s="21">
        <f>IF(A558="","",IFERROR(C558*VLOOKUP(A558,Semana!$A$5:$E$54,5,0),0))</f>
        <v/>
      </c>
    </row>
    <row r="559">
      <c r="A559" s="19" t="n"/>
      <c r="B559" s="19" t="n"/>
      <c r="C559" s="22" t="n"/>
      <c r="D559" s="12">
        <f>IF(B559="","",IFERROR(VLOOKUP(B559,Ingredientes!$A$4:$E$203,2,0),"?"))</f>
        <v/>
      </c>
      <c r="E559" s="9">
        <f>IF(B559="","",IFERROR(VLOOKUP(B559,Ingredientes!$A$4:$E$203,5,0)*C559,"ITEM NÃO CADASTRADO"))</f>
        <v/>
      </c>
      <c r="F559" s="21">
        <f>IF(A559="","",IFERROR(C559*VLOOKUP(A559,Semana!$A$5:$E$54,5,0),0))</f>
        <v/>
      </c>
    </row>
    <row r="560">
      <c r="A560" s="19" t="n"/>
      <c r="B560" s="19" t="n"/>
      <c r="C560" s="22" t="n"/>
      <c r="D560" s="12">
        <f>IF(B560="","",IFERROR(VLOOKUP(B560,Ingredientes!$A$4:$E$203,2,0),"?"))</f>
        <v/>
      </c>
      <c r="E560" s="9">
        <f>IF(B560="","",IFERROR(VLOOKUP(B560,Ingredientes!$A$4:$E$203,5,0)*C560,"ITEM NÃO CADASTRADO"))</f>
        <v/>
      </c>
      <c r="F560" s="21">
        <f>IF(A560="","",IFERROR(C560*VLOOKUP(A560,Semana!$A$5:$E$54,5,0),0))</f>
        <v/>
      </c>
    </row>
    <row r="561">
      <c r="A561" s="19" t="n"/>
      <c r="B561" s="19" t="n"/>
      <c r="C561" s="22" t="n"/>
      <c r="D561" s="12">
        <f>IF(B561="","",IFERROR(VLOOKUP(B561,Ingredientes!$A$4:$E$203,2,0),"?"))</f>
        <v/>
      </c>
      <c r="E561" s="9">
        <f>IF(B561="","",IFERROR(VLOOKUP(B561,Ingredientes!$A$4:$E$203,5,0)*C561,"ITEM NÃO CADASTRADO"))</f>
        <v/>
      </c>
      <c r="F561" s="21">
        <f>IF(A561="","",IFERROR(C561*VLOOKUP(A561,Semana!$A$5:$E$54,5,0),0))</f>
        <v/>
      </c>
    </row>
    <row r="562">
      <c r="A562" s="19" t="n"/>
      <c r="B562" s="19" t="n"/>
      <c r="C562" s="22" t="n"/>
      <c r="D562" s="12">
        <f>IF(B562="","",IFERROR(VLOOKUP(B562,Ingredientes!$A$4:$E$203,2,0),"?"))</f>
        <v/>
      </c>
      <c r="E562" s="9">
        <f>IF(B562="","",IFERROR(VLOOKUP(B562,Ingredientes!$A$4:$E$203,5,0)*C562,"ITEM NÃO CADASTRADO"))</f>
        <v/>
      </c>
      <c r="F562" s="21">
        <f>IF(A562="","",IFERROR(C562*VLOOKUP(A562,Semana!$A$5:$E$54,5,0),0))</f>
        <v/>
      </c>
    </row>
    <row r="563">
      <c r="A563" s="19" t="n"/>
      <c r="B563" s="19" t="n"/>
      <c r="C563" s="22" t="n"/>
      <c r="D563" s="12">
        <f>IF(B563="","",IFERROR(VLOOKUP(B563,Ingredientes!$A$4:$E$203,2,0),"?"))</f>
        <v/>
      </c>
      <c r="E563" s="9">
        <f>IF(B563="","",IFERROR(VLOOKUP(B563,Ingredientes!$A$4:$E$203,5,0)*C563,"ITEM NÃO CADASTRADO"))</f>
        <v/>
      </c>
      <c r="F563" s="21">
        <f>IF(A563="","",IFERROR(C563*VLOOKUP(A563,Semana!$A$5:$E$54,5,0),0))</f>
        <v/>
      </c>
    </row>
    <row r="564">
      <c r="A564" s="19" t="n"/>
      <c r="B564" s="19" t="n"/>
      <c r="C564" s="22" t="n"/>
      <c r="D564" s="12">
        <f>IF(B564="","",IFERROR(VLOOKUP(B564,Ingredientes!$A$4:$E$203,2,0),"?"))</f>
        <v/>
      </c>
      <c r="E564" s="9">
        <f>IF(B564="","",IFERROR(VLOOKUP(B564,Ingredientes!$A$4:$E$203,5,0)*C564,"ITEM NÃO CADASTRADO"))</f>
        <v/>
      </c>
      <c r="F564" s="21">
        <f>IF(A564="","",IFERROR(C564*VLOOKUP(A564,Semana!$A$5:$E$54,5,0),0))</f>
        <v/>
      </c>
    </row>
    <row r="565">
      <c r="A565" s="19" t="n"/>
      <c r="B565" s="19" t="n"/>
      <c r="C565" s="22" t="n"/>
      <c r="D565" s="12">
        <f>IF(B565="","",IFERROR(VLOOKUP(B565,Ingredientes!$A$4:$E$203,2,0),"?"))</f>
        <v/>
      </c>
      <c r="E565" s="9">
        <f>IF(B565="","",IFERROR(VLOOKUP(B565,Ingredientes!$A$4:$E$203,5,0)*C565,"ITEM NÃO CADASTRADO"))</f>
        <v/>
      </c>
      <c r="F565" s="21">
        <f>IF(A565="","",IFERROR(C565*VLOOKUP(A565,Semana!$A$5:$E$54,5,0),0))</f>
        <v/>
      </c>
    </row>
    <row r="566">
      <c r="A566" s="19" t="n"/>
      <c r="B566" s="19" t="n"/>
      <c r="C566" s="22" t="n"/>
      <c r="D566" s="12">
        <f>IF(B566="","",IFERROR(VLOOKUP(B566,Ingredientes!$A$4:$E$203,2,0),"?"))</f>
        <v/>
      </c>
      <c r="E566" s="9">
        <f>IF(B566="","",IFERROR(VLOOKUP(B566,Ingredientes!$A$4:$E$203,5,0)*C566,"ITEM NÃO CADASTRADO"))</f>
        <v/>
      </c>
      <c r="F566" s="21">
        <f>IF(A566="","",IFERROR(C566*VLOOKUP(A566,Semana!$A$5:$E$54,5,0),0))</f>
        <v/>
      </c>
    </row>
    <row r="567">
      <c r="A567" s="19" t="n"/>
      <c r="B567" s="19" t="n"/>
      <c r="C567" s="22" t="n"/>
      <c r="D567" s="12">
        <f>IF(B567="","",IFERROR(VLOOKUP(B567,Ingredientes!$A$4:$E$203,2,0),"?"))</f>
        <v/>
      </c>
      <c r="E567" s="9">
        <f>IF(B567="","",IFERROR(VLOOKUP(B567,Ingredientes!$A$4:$E$203,5,0)*C567,"ITEM NÃO CADASTRADO"))</f>
        <v/>
      </c>
      <c r="F567" s="21">
        <f>IF(A567="","",IFERROR(C567*VLOOKUP(A567,Semana!$A$5:$E$54,5,0),0))</f>
        <v/>
      </c>
    </row>
    <row r="568">
      <c r="A568" s="19" t="n"/>
      <c r="B568" s="19" t="n"/>
      <c r="C568" s="22" t="n"/>
      <c r="D568" s="12">
        <f>IF(B568="","",IFERROR(VLOOKUP(B568,Ingredientes!$A$4:$E$203,2,0),"?"))</f>
        <v/>
      </c>
      <c r="E568" s="9">
        <f>IF(B568="","",IFERROR(VLOOKUP(B568,Ingredientes!$A$4:$E$203,5,0)*C568,"ITEM NÃO CADASTRADO"))</f>
        <v/>
      </c>
      <c r="F568" s="21">
        <f>IF(A568="","",IFERROR(C568*VLOOKUP(A568,Semana!$A$5:$E$54,5,0),0))</f>
        <v/>
      </c>
    </row>
    <row r="569">
      <c r="A569" s="19" t="n"/>
      <c r="B569" s="19" t="n"/>
      <c r="C569" s="22" t="n"/>
      <c r="D569" s="12">
        <f>IF(B569="","",IFERROR(VLOOKUP(B569,Ingredientes!$A$4:$E$203,2,0),"?"))</f>
        <v/>
      </c>
      <c r="E569" s="9">
        <f>IF(B569="","",IFERROR(VLOOKUP(B569,Ingredientes!$A$4:$E$203,5,0)*C569,"ITEM NÃO CADASTRADO"))</f>
        <v/>
      </c>
      <c r="F569" s="21">
        <f>IF(A569="","",IFERROR(C569*VLOOKUP(A569,Semana!$A$5:$E$54,5,0),0))</f>
        <v/>
      </c>
    </row>
    <row r="570">
      <c r="A570" s="19" t="n"/>
      <c r="B570" s="19" t="n"/>
      <c r="C570" s="22" t="n"/>
      <c r="D570" s="12">
        <f>IF(B570="","",IFERROR(VLOOKUP(B570,Ingredientes!$A$4:$E$203,2,0),"?"))</f>
        <v/>
      </c>
      <c r="E570" s="9">
        <f>IF(B570="","",IFERROR(VLOOKUP(B570,Ingredientes!$A$4:$E$203,5,0)*C570,"ITEM NÃO CADASTRADO"))</f>
        <v/>
      </c>
      <c r="F570" s="21">
        <f>IF(A570="","",IFERROR(C570*VLOOKUP(A570,Semana!$A$5:$E$54,5,0),0))</f>
        <v/>
      </c>
    </row>
    <row r="571">
      <c r="A571" s="19" t="n"/>
      <c r="B571" s="19" t="n"/>
      <c r="C571" s="22" t="n"/>
      <c r="D571" s="12">
        <f>IF(B571="","",IFERROR(VLOOKUP(B571,Ingredientes!$A$4:$E$203,2,0),"?"))</f>
        <v/>
      </c>
      <c r="E571" s="9">
        <f>IF(B571="","",IFERROR(VLOOKUP(B571,Ingredientes!$A$4:$E$203,5,0)*C571,"ITEM NÃO CADASTRADO"))</f>
        <v/>
      </c>
      <c r="F571" s="21">
        <f>IF(A571="","",IFERROR(C571*VLOOKUP(A571,Semana!$A$5:$E$54,5,0),0))</f>
        <v/>
      </c>
    </row>
    <row r="572">
      <c r="A572" s="19" t="n"/>
      <c r="B572" s="19" t="n"/>
      <c r="C572" s="22" t="n"/>
      <c r="D572" s="12">
        <f>IF(B572="","",IFERROR(VLOOKUP(B572,Ingredientes!$A$4:$E$203,2,0),"?"))</f>
        <v/>
      </c>
      <c r="E572" s="9">
        <f>IF(B572="","",IFERROR(VLOOKUP(B572,Ingredientes!$A$4:$E$203,5,0)*C572,"ITEM NÃO CADASTRADO"))</f>
        <v/>
      </c>
      <c r="F572" s="21">
        <f>IF(A572="","",IFERROR(C572*VLOOKUP(A572,Semana!$A$5:$E$54,5,0),0))</f>
        <v/>
      </c>
    </row>
    <row r="573">
      <c r="A573" s="19" t="n"/>
      <c r="B573" s="19" t="n"/>
      <c r="C573" s="22" t="n"/>
      <c r="D573" s="12">
        <f>IF(B573="","",IFERROR(VLOOKUP(B573,Ingredientes!$A$4:$E$203,2,0),"?"))</f>
        <v/>
      </c>
      <c r="E573" s="9">
        <f>IF(B573="","",IFERROR(VLOOKUP(B573,Ingredientes!$A$4:$E$203,5,0)*C573,"ITEM NÃO CADASTRADO"))</f>
        <v/>
      </c>
      <c r="F573" s="21">
        <f>IF(A573="","",IFERROR(C573*VLOOKUP(A573,Semana!$A$5:$E$54,5,0),0))</f>
        <v/>
      </c>
    </row>
    <row r="574">
      <c r="A574" s="19" t="n"/>
      <c r="B574" s="19" t="n"/>
      <c r="C574" s="22" t="n"/>
      <c r="D574" s="12">
        <f>IF(B574="","",IFERROR(VLOOKUP(B574,Ingredientes!$A$4:$E$203,2,0),"?"))</f>
        <v/>
      </c>
      <c r="E574" s="9">
        <f>IF(B574="","",IFERROR(VLOOKUP(B574,Ingredientes!$A$4:$E$203,5,0)*C574,"ITEM NÃO CADASTRADO"))</f>
        <v/>
      </c>
      <c r="F574" s="21">
        <f>IF(A574="","",IFERROR(C574*VLOOKUP(A574,Semana!$A$5:$E$54,5,0),0))</f>
        <v/>
      </c>
    </row>
    <row r="575">
      <c r="A575" s="19" t="n"/>
      <c r="B575" s="19" t="n"/>
      <c r="C575" s="22" t="n"/>
      <c r="D575" s="12">
        <f>IF(B575="","",IFERROR(VLOOKUP(B575,Ingredientes!$A$4:$E$203,2,0),"?"))</f>
        <v/>
      </c>
      <c r="E575" s="9">
        <f>IF(B575="","",IFERROR(VLOOKUP(B575,Ingredientes!$A$4:$E$203,5,0)*C575,"ITEM NÃO CADASTRADO"))</f>
        <v/>
      </c>
      <c r="F575" s="21">
        <f>IF(A575="","",IFERROR(C575*VLOOKUP(A575,Semana!$A$5:$E$54,5,0),0))</f>
        <v/>
      </c>
    </row>
    <row r="576">
      <c r="A576" s="19" t="n"/>
      <c r="B576" s="19" t="n"/>
      <c r="C576" s="22" t="n"/>
      <c r="D576" s="12">
        <f>IF(B576="","",IFERROR(VLOOKUP(B576,Ingredientes!$A$4:$E$203,2,0),"?"))</f>
        <v/>
      </c>
      <c r="E576" s="9">
        <f>IF(B576="","",IFERROR(VLOOKUP(B576,Ingredientes!$A$4:$E$203,5,0)*C576,"ITEM NÃO CADASTRADO"))</f>
        <v/>
      </c>
      <c r="F576" s="21">
        <f>IF(A576="","",IFERROR(C576*VLOOKUP(A576,Semana!$A$5:$E$54,5,0),0))</f>
        <v/>
      </c>
    </row>
    <row r="577">
      <c r="A577" s="19" t="n"/>
      <c r="B577" s="19" t="n"/>
      <c r="C577" s="22" t="n"/>
      <c r="D577" s="12">
        <f>IF(B577="","",IFERROR(VLOOKUP(B577,Ingredientes!$A$4:$E$203,2,0),"?"))</f>
        <v/>
      </c>
      <c r="E577" s="9">
        <f>IF(B577="","",IFERROR(VLOOKUP(B577,Ingredientes!$A$4:$E$203,5,0)*C577,"ITEM NÃO CADASTRADO"))</f>
        <v/>
      </c>
      <c r="F577" s="21">
        <f>IF(A577="","",IFERROR(C577*VLOOKUP(A577,Semana!$A$5:$E$54,5,0),0))</f>
        <v/>
      </c>
    </row>
    <row r="578">
      <c r="A578" s="19" t="n"/>
      <c r="B578" s="19" t="n"/>
      <c r="C578" s="22" t="n"/>
      <c r="D578" s="12">
        <f>IF(B578="","",IFERROR(VLOOKUP(B578,Ingredientes!$A$4:$E$203,2,0),"?"))</f>
        <v/>
      </c>
      <c r="E578" s="9">
        <f>IF(B578="","",IFERROR(VLOOKUP(B578,Ingredientes!$A$4:$E$203,5,0)*C578,"ITEM NÃO CADASTRADO"))</f>
        <v/>
      </c>
      <c r="F578" s="21">
        <f>IF(A578="","",IFERROR(C578*VLOOKUP(A578,Semana!$A$5:$E$54,5,0),0))</f>
        <v/>
      </c>
    </row>
    <row r="579">
      <c r="A579" s="19" t="n"/>
      <c r="B579" s="19" t="n"/>
      <c r="C579" s="22" t="n"/>
      <c r="D579" s="12">
        <f>IF(B579="","",IFERROR(VLOOKUP(B579,Ingredientes!$A$4:$E$203,2,0),"?"))</f>
        <v/>
      </c>
      <c r="E579" s="9">
        <f>IF(B579="","",IFERROR(VLOOKUP(B579,Ingredientes!$A$4:$E$203,5,0)*C579,"ITEM NÃO CADASTRADO"))</f>
        <v/>
      </c>
      <c r="F579" s="21">
        <f>IF(A579="","",IFERROR(C579*VLOOKUP(A579,Semana!$A$5:$E$54,5,0),0))</f>
        <v/>
      </c>
    </row>
    <row r="580">
      <c r="A580" s="19" t="n"/>
      <c r="B580" s="19" t="n"/>
      <c r="C580" s="22" t="n"/>
      <c r="D580" s="12">
        <f>IF(B580="","",IFERROR(VLOOKUP(B580,Ingredientes!$A$4:$E$203,2,0),"?"))</f>
        <v/>
      </c>
      <c r="E580" s="9">
        <f>IF(B580="","",IFERROR(VLOOKUP(B580,Ingredientes!$A$4:$E$203,5,0)*C580,"ITEM NÃO CADASTRADO"))</f>
        <v/>
      </c>
      <c r="F580" s="21">
        <f>IF(A580="","",IFERROR(C580*VLOOKUP(A580,Semana!$A$5:$E$54,5,0),0))</f>
        <v/>
      </c>
    </row>
    <row r="581">
      <c r="A581" s="19" t="n"/>
      <c r="B581" s="19" t="n"/>
      <c r="C581" s="22" t="n"/>
      <c r="D581" s="12">
        <f>IF(B581="","",IFERROR(VLOOKUP(B581,Ingredientes!$A$4:$E$203,2,0),"?"))</f>
        <v/>
      </c>
      <c r="E581" s="9">
        <f>IF(B581="","",IFERROR(VLOOKUP(B581,Ingredientes!$A$4:$E$203,5,0)*C581,"ITEM NÃO CADASTRADO"))</f>
        <v/>
      </c>
      <c r="F581" s="21">
        <f>IF(A581="","",IFERROR(C581*VLOOKUP(A581,Semana!$A$5:$E$54,5,0),0))</f>
        <v/>
      </c>
    </row>
    <row r="582">
      <c r="A582" s="19" t="n"/>
      <c r="B582" s="19" t="n"/>
      <c r="C582" s="22" t="n"/>
      <c r="D582" s="12">
        <f>IF(B582="","",IFERROR(VLOOKUP(B582,Ingredientes!$A$4:$E$203,2,0),"?"))</f>
        <v/>
      </c>
      <c r="E582" s="9">
        <f>IF(B582="","",IFERROR(VLOOKUP(B582,Ingredientes!$A$4:$E$203,5,0)*C582,"ITEM NÃO CADASTRADO"))</f>
        <v/>
      </c>
      <c r="F582" s="21">
        <f>IF(A582="","",IFERROR(C582*VLOOKUP(A582,Semana!$A$5:$E$54,5,0),0))</f>
        <v/>
      </c>
    </row>
    <row r="583">
      <c r="A583" s="19" t="n"/>
      <c r="B583" s="19" t="n"/>
      <c r="C583" s="22" t="n"/>
      <c r="D583" s="12">
        <f>IF(B583="","",IFERROR(VLOOKUP(B583,Ingredientes!$A$4:$E$203,2,0),"?"))</f>
        <v/>
      </c>
      <c r="E583" s="9">
        <f>IF(B583="","",IFERROR(VLOOKUP(B583,Ingredientes!$A$4:$E$203,5,0)*C583,"ITEM NÃO CADASTRADO"))</f>
        <v/>
      </c>
      <c r="F583" s="21">
        <f>IF(A583="","",IFERROR(C583*VLOOKUP(A583,Semana!$A$5:$E$54,5,0),0))</f>
        <v/>
      </c>
    </row>
    <row r="584">
      <c r="A584" s="19" t="n"/>
      <c r="B584" s="19" t="n"/>
      <c r="C584" s="22" t="n"/>
      <c r="D584" s="12">
        <f>IF(B584="","",IFERROR(VLOOKUP(B584,Ingredientes!$A$4:$E$203,2,0),"?"))</f>
        <v/>
      </c>
      <c r="E584" s="9">
        <f>IF(B584="","",IFERROR(VLOOKUP(B584,Ingredientes!$A$4:$E$203,5,0)*C584,"ITEM NÃO CADASTRADO"))</f>
        <v/>
      </c>
      <c r="F584" s="21">
        <f>IF(A584="","",IFERROR(C584*VLOOKUP(A584,Semana!$A$5:$E$54,5,0),0))</f>
        <v/>
      </c>
    </row>
    <row r="585">
      <c r="A585" s="19" t="n"/>
      <c r="B585" s="19" t="n"/>
      <c r="C585" s="22" t="n"/>
      <c r="D585" s="12">
        <f>IF(B585="","",IFERROR(VLOOKUP(B585,Ingredientes!$A$4:$E$203,2,0),"?"))</f>
        <v/>
      </c>
      <c r="E585" s="9">
        <f>IF(B585="","",IFERROR(VLOOKUP(B585,Ingredientes!$A$4:$E$203,5,0)*C585,"ITEM NÃO CADASTRADO"))</f>
        <v/>
      </c>
      <c r="F585" s="21">
        <f>IF(A585="","",IFERROR(C585*VLOOKUP(A585,Semana!$A$5:$E$54,5,0),0))</f>
        <v/>
      </c>
    </row>
    <row r="586">
      <c r="A586" s="19" t="n"/>
      <c r="B586" s="19" t="n"/>
      <c r="C586" s="22" t="n"/>
      <c r="D586" s="12">
        <f>IF(B586="","",IFERROR(VLOOKUP(B586,Ingredientes!$A$4:$E$203,2,0),"?"))</f>
        <v/>
      </c>
      <c r="E586" s="9">
        <f>IF(B586="","",IFERROR(VLOOKUP(B586,Ingredientes!$A$4:$E$203,5,0)*C586,"ITEM NÃO CADASTRADO"))</f>
        <v/>
      </c>
      <c r="F586" s="21">
        <f>IF(A586="","",IFERROR(C586*VLOOKUP(A586,Semana!$A$5:$E$54,5,0),0))</f>
        <v/>
      </c>
    </row>
    <row r="587">
      <c r="A587" s="19" t="n"/>
      <c r="B587" s="19" t="n"/>
      <c r="C587" s="22" t="n"/>
      <c r="D587" s="12">
        <f>IF(B587="","",IFERROR(VLOOKUP(B587,Ingredientes!$A$4:$E$203,2,0),"?"))</f>
        <v/>
      </c>
      <c r="E587" s="9">
        <f>IF(B587="","",IFERROR(VLOOKUP(B587,Ingredientes!$A$4:$E$203,5,0)*C587,"ITEM NÃO CADASTRADO"))</f>
        <v/>
      </c>
      <c r="F587" s="21">
        <f>IF(A587="","",IFERROR(C587*VLOOKUP(A587,Semana!$A$5:$E$54,5,0),0))</f>
        <v/>
      </c>
    </row>
    <row r="588">
      <c r="A588" s="19" t="n"/>
      <c r="B588" s="19" t="n"/>
      <c r="C588" s="22" t="n"/>
      <c r="D588" s="12">
        <f>IF(B588="","",IFERROR(VLOOKUP(B588,Ingredientes!$A$4:$E$203,2,0),"?"))</f>
        <v/>
      </c>
      <c r="E588" s="9">
        <f>IF(B588="","",IFERROR(VLOOKUP(B588,Ingredientes!$A$4:$E$203,5,0)*C588,"ITEM NÃO CADASTRADO"))</f>
        <v/>
      </c>
      <c r="F588" s="21">
        <f>IF(A588="","",IFERROR(C588*VLOOKUP(A588,Semana!$A$5:$E$54,5,0),0))</f>
        <v/>
      </c>
    </row>
    <row r="589">
      <c r="A589" s="19" t="n"/>
      <c r="B589" s="19" t="n"/>
      <c r="C589" s="22" t="n"/>
      <c r="D589" s="12">
        <f>IF(B589="","",IFERROR(VLOOKUP(B589,Ingredientes!$A$4:$E$203,2,0),"?"))</f>
        <v/>
      </c>
      <c r="E589" s="9">
        <f>IF(B589="","",IFERROR(VLOOKUP(B589,Ingredientes!$A$4:$E$203,5,0)*C589,"ITEM NÃO CADASTRADO"))</f>
        <v/>
      </c>
      <c r="F589" s="21">
        <f>IF(A589="","",IFERROR(C589*VLOOKUP(A589,Semana!$A$5:$E$54,5,0),0))</f>
        <v/>
      </c>
    </row>
    <row r="590">
      <c r="A590" s="19" t="n"/>
      <c r="B590" s="19" t="n"/>
      <c r="C590" s="22" t="n"/>
      <c r="D590" s="12">
        <f>IF(B590="","",IFERROR(VLOOKUP(B590,Ingredientes!$A$4:$E$203,2,0),"?"))</f>
        <v/>
      </c>
      <c r="E590" s="9">
        <f>IF(B590="","",IFERROR(VLOOKUP(B590,Ingredientes!$A$4:$E$203,5,0)*C590,"ITEM NÃO CADASTRADO"))</f>
        <v/>
      </c>
      <c r="F590" s="21">
        <f>IF(A590="","",IFERROR(C590*VLOOKUP(A590,Semana!$A$5:$E$54,5,0),0))</f>
        <v/>
      </c>
    </row>
    <row r="591">
      <c r="A591" s="19" t="n"/>
      <c r="B591" s="19" t="n"/>
      <c r="C591" s="22" t="n"/>
      <c r="D591" s="12">
        <f>IF(B591="","",IFERROR(VLOOKUP(B591,Ingredientes!$A$4:$E$203,2,0),"?"))</f>
        <v/>
      </c>
      <c r="E591" s="9">
        <f>IF(B591="","",IFERROR(VLOOKUP(B591,Ingredientes!$A$4:$E$203,5,0)*C591,"ITEM NÃO CADASTRADO"))</f>
        <v/>
      </c>
      <c r="F591" s="21">
        <f>IF(A591="","",IFERROR(C591*VLOOKUP(A591,Semana!$A$5:$E$54,5,0),0))</f>
        <v/>
      </c>
    </row>
    <row r="592">
      <c r="A592" s="19" t="n"/>
      <c r="B592" s="19" t="n"/>
      <c r="C592" s="22" t="n"/>
      <c r="D592" s="12">
        <f>IF(B592="","",IFERROR(VLOOKUP(B592,Ingredientes!$A$4:$E$203,2,0),"?"))</f>
        <v/>
      </c>
      <c r="E592" s="9">
        <f>IF(B592="","",IFERROR(VLOOKUP(B592,Ingredientes!$A$4:$E$203,5,0)*C592,"ITEM NÃO CADASTRADO"))</f>
        <v/>
      </c>
      <c r="F592" s="21">
        <f>IF(A592="","",IFERROR(C592*VLOOKUP(A592,Semana!$A$5:$E$54,5,0),0))</f>
        <v/>
      </c>
    </row>
    <row r="593">
      <c r="A593" s="19" t="n"/>
      <c r="B593" s="19" t="n"/>
      <c r="C593" s="22" t="n"/>
      <c r="D593" s="12">
        <f>IF(B593="","",IFERROR(VLOOKUP(B593,Ingredientes!$A$4:$E$203,2,0),"?"))</f>
        <v/>
      </c>
      <c r="E593" s="9">
        <f>IF(B593="","",IFERROR(VLOOKUP(B593,Ingredientes!$A$4:$E$203,5,0)*C593,"ITEM NÃO CADASTRADO"))</f>
        <v/>
      </c>
      <c r="F593" s="21">
        <f>IF(A593="","",IFERROR(C593*VLOOKUP(A593,Semana!$A$5:$E$54,5,0),0))</f>
        <v/>
      </c>
    </row>
    <row r="594">
      <c r="A594" s="19" t="n"/>
      <c r="B594" s="19" t="n"/>
      <c r="C594" s="22" t="n"/>
      <c r="D594" s="12">
        <f>IF(B594="","",IFERROR(VLOOKUP(B594,Ingredientes!$A$4:$E$203,2,0),"?"))</f>
        <v/>
      </c>
      <c r="E594" s="9">
        <f>IF(B594="","",IFERROR(VLOOKUP(B594,Ingredientes!$A$4:$E$203,5,0)*C594,"ITEM NÃO CADASTRADO"))</f>
        <v/>
      </c>
      <c r="F594" s="21">
        <f>IF(A594="","",IFERROR(C594*VLOOKUP(A594,Semana!$A$5:$E$54,5,0),0))</f>
        <v/>
      </c>
    </row>
    <row r="595">
      <c r="A595" s="19" t="n"/>
      <c r="B595" s="19" t="n"/>
      <c r="C595" s="22" t="n"/>
      <c r="D595" s="12">
        <f>IF(B595="","",IFERROR(VLOOKUP(B595,Ingredientes!$A$4:$E$203,2,0),"?"))</f>
        <v/>
      </c>
      <c r="E595" s="9">
        <f>IF(B595="","",IFERROR(VLOOKUP(B595,Ingredientes!$A$4:$E$203,5,0)*C595,"ITEM NÃO CADASTRADO"))</f>
        <v/>
      </c>
      <c r="F595" s="21">
        <f>IF(A595="","",IFERROR(C595*VLOOKUP(A595,Semana!$A$5:$E$54,5,0),0))</f>
        <v/>
      </c>
    </row>
    <row r="596">
      <c r="A596" s="19" t="n"/>
      <c r="B596" s="19" t="n"/>
      <c r="C596" s="22" t="n"/>
      <c r="D596" s="12">
        <f>IF(B596="","",IFERROR(VLOOKUP(B596,Ingredientes!$A$4:$E$203,2,0),"?"))</f>
        <v/>
      </c>
      <c r="E596" s="9">
        <f>IF(B596="","",IFERROR(VLOOKUP(B596,Ingredientes!$A$4:$E$203,5,0)*C596,"ITEM NÃO CADASTRADO"))</f>
        <v/>
      </c>
      <c r="F596" s="21">
        <f>IF(A596="","",IFERROR(C596*VLOOKUP(A596,Semana!$A$5:$E$54,5,0),0))</f>
        <v/>
      </c>
    </row>
    <row r="597">
      <c r="A597" s="19" t="n"/>
      <c r="B597" s="19" t="n"/>
      <c r="C597" s="22" t="n"/>
      <c r="D597" s="12">
        <f>IF(B597="","",IFERROR(VLOOKUP(B597,Ingredientes!$A$4:$E$203,2,0),"?"))</f>
        <v/>
      </c>
      <c r="E597" s="9">
        <f>IF(B597="","",IFERROR(VLOOKUP(B597,Ingredientes!$A$4:$E$203,5,0)*C597,"ITEM NÃO CADASTRADO"))</f>
        <v/>
      </c>
      <c r="F597" s="21">
        <f>IF(A597="","",IFERROR(C597*VLOOKUP(A597,Semana!$A$5:$E$54,5,0),0))</f>
        <v/>
      </c>
    </row>
    <row r="598">
      <c r="A598" s="19" t="n"/>
      <c r="B598" s="19" t="n"/>
      <c r="C598" s="22" t="n"/>
      <c r="D598" s="12">
        <f>IF(B598="","",IFERROR(VLOOKUP(B598,Ingredientes!$A$4:$E$203,2,0),"?"))</f>
        <v/>
      </c>
      <c r="E598" s="9">
        <f>IF(B598="","",IFERROR(VLOOKUP(B598,Ingredientes!$A$4:$E$203,5,0)*C598,"ITEM NÃO CADASTRADO"))</f>
        <v/>
      </c>
      <c r="F598" s="21">
        <f>IF(A598="","",IFERROR(C598*VLOOKUP(A598,Semana!$A$5:$E$54,5,0),0))</f>
        <v/>
      </c>
    </row>
    <row r="599">
      <c r="A599" s="19" t="n"/>
      <c r="B599" s="19" t="n"/>
      <c r="C599" s="22" t="n"/>
      <c r="D599" s="12">
        <f>IF(B599="","",IFERROR(VLOOKUP(B599,Ingredientes!$A$4:$E$203,2,0),"?"))</f>
        <v/>
      </c>
      <c r="E599" s="9">
        <f>IF(B599="","",IFERROR(VLOOKUP(B599,Ingredientes!$A$4:$E$203,5,0)*C599,"ITEM NÃO CADASTRADO"))</f>
        <v/>
      </c>
      <c r="F599" s="21">
        <f>IF(A599="","",IFERROR(C599*VLOOKUP(A599,Semana!$A$5:$E$54,5,0),0))</f>
        <v/>
      </c>
    </row>
    <row r="600">
      <c r="A600" s="19" t="n"/>
      <c r="B600" s="19" t="n"/>
      <c r="C600" s="22" t="n"/>
      <c r="D600" s="12">
        <f>IF(B600="","",IFERROR(VLOOKUP(B600,Ingredientes!$A$4:$E$203,2,0),"?"))</f>
        <v/>
      </c>
      <c r="E600" s="9">
        <f>IF(B600="","",IFERROR(VLOOKUP(B600,Ingredientes!$A$4:$E$203,5,0)*C600,"ITEM NÃO CADASTRADO"))</f>
        <v/>
      </c>
      <c r="F600" s="21">
        <f>IF(A600="","",IFERROR(C600*VLOOKUP(A600,Semana!$A$5:$E$54,5,0),0))</f>
        <v/>
      </c>
    </row>
    <row r="601">
      <c r="A601" s="19" t="n"/>
      <c r="B601" s="19" t="n"/>
      <c r="C601" s="22" t="n"/>
      <c r="D601" s="12">
        <f>IF(B601="","",IFERROR(VLOOKUP(B601,Ingredientes!$A$4:$E$203,2,0),"?"))</f>
        <v/>
      </c>
      <c r="E601" s="9">
        <f>IF(B601="","",IFERROR(VLOOKUP(B601,Ingredientes!$A$4:$E$203,5,0)*C601,"ITEM NÃO CADASTRADO"))</f>
        <v/>
      </c>
      <c r="F601" s="21">
        <f>IF(A601="","",IFERROR(C601*VLOOKUP(A601,Semana!$A$5:$E$54,5,0),0))</f>
        <v/>
      </c>
    </row>
    <row r="602">
      <c r="A602" s="19" t="n"/>
      <c r="B602" s="19" t="n"/>
      <c r="C602" s="22" t="n"/>
      <c r="D602" s="12">
        <f>IF(B602="","",IFERROR(VLOOKUP(B602,Ingredientes!$A$4:$E$203,2,0),"?"))</f>
        <v/>
      </c>
      <c r="E602" s="9">
        <f>IF(B602="","",IFERROR(VLOOKUP(B602,Ingredientes!$A$4:$E$203,5,0)*C602,"ITEM NÃO CADASTRADO"))</f>
        <v/>
      </c>
      <c r="F602" s="21">
        <f>IF(A602="","",IFERROR(C602*VLOOKUP(A602,Semana!$A$5:$E$54,5,0),0))</f>
        <v/>
      </c>
    </row>
    <row r="603">
      <c r="A603" s="19" t="n"/>
      <c r="B603" s="19" t="n"/>
      <c r="C603" s="22" t="n"/>
      <c r="D603" s="12">
        <f>IF(B603="","",IFERROR(VLOOKUP(B603,Ingredientes!$A$4:$E$203,2,0),"?"))</f>
        <v/>
      </c>
      <c r="E603" s="9">
        <f>IF(B603="","",IFERROR(VLOOKUP(B603,Ingredientes!$A$4:$E$203,5,0)*C603,"ITEM NÃO CADASTRADO"))</f>
        <v/>
      </c>
      <c r="F603" s="21">
        <f>IF(A603="","",IFERROR(C603*VLOOKUP(A603,Semana!$A$5:$E$54,5,0),0))</f>
        <v/>
      </c>
    </row>
  </sheetData>
  <dataValidations count="1">
    <dataValidation sqref="B4:B603" showDropDown="0" showInputMessage="0" showErrorMessage="0" allowBlank="1" type="list">
      <formula1>=Ingredientes!$A$4:$A$203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D3A"/>
    <outlinePr summaryBelow="1" summaryRight="1"/>
    <pageSetUpPr/>
  </sheetPr>
  <dimension ref="A1:R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3" customWidth="1" min="9" max="9"/>
    <col width="11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5" customWidth="1" min="17" max="17"/>
    <col width="26" customWidth="1" min="18" max="18"/>
  </cols>
  <sheetData>
    <row r="1">
      <c r="A1" s="1" t="inlineStr">
        <is>
          <t>4. Produtos e preços</t>
        </is>
      </c>
    </row>
    <row r="2">
      <c r="A2" s="2" t="inlineStr">
        <is>
          <t>Custo real por unidade vendida e três preços: MÍNIMO (paga tudo, inclusive a sua hora, sem lucro), SUGERIDO (com a sua margem) e no APP.</t>
        </is>
      </c>
    </row>
    <row r="3" ht="42" customHeight="1">
      <c r="A3" s="18" t="inlineStr">
        <is>
          <t>Produto (= nome da receita)</t>
        </is>
      </c>
      <c r="B3" s="18" t="inlineStr">
        <is>
          <t>Rende quantas unidades</t>
        </is>
      </c>
      <c r="C3" s="18" t="inlineStr">
        <is>
          <t>Custo dos ingredientes da receita</t>
        </is>
      </c>
      <c r="D3" s="18" t="inlineStr">
        <is>
          <t>Embalagem por unidade (R$)</t>
        </is>
      </c>
      <c r="E3" s="18" t="inlineStr">
        <is>
          <t>Minutos de boca acesa na receita</t>
        </is>
      </c>
      <c r="F3" s="18" t="inlineStr">
        <is>
          <t>Minutos de trabalho na receita</t>
        </is>
      </c>
      <c r="G3" s="18" t="inlineStr">
        <is>
          <t>Ingredientes por unidade</t>
        </is>
      </c>
      <c r="H3" s="18" t="inlineStr">
        <is>
          <t>Gás por unidade</t>
        </is>
      </c>
      <c r="I3" s="18" t="inlineStr">
        <is>
          <t>CUSTO DE MATERIAL por unidade</t>
        </is>
      </c>
      <c r="J3" s="18" t="inlineStr">
        <is>
          <t>Sua hora por unidade</t>
        </is>
      </c>
      <c r="K3" s="18" t="inlineStr">
        <is>
          <t>CUSTO TOTAL por unidade</t>
        </is>
      </c>
      <c r="L3" s="18" t="inlineStr">
        <is>
          <t>PREÇO MÍNIMO</t>
        </is>
      </c>
      <c r="M3" s="18" t="inlineStr">
        <is>
          <t>PREÇO SUGERIDO</t>
        </is>
      </c>
      <c r="N3" s="18" t="inlineStr">
        <is>
          <t>Preço sugerido no APP</t>
        </is>
      </c>
      <c r="O3" s="18" t="inlineStr">
        <is>
          <t>Seu preço atual (R$)</t>
        </is>
      </c>
      <c r="P3" s="18" t="inlineStr">
        <is>
          <t>Lucro por unidade no preço atual</t>
        </is>
      </c>
      <c r="Q3" s="18" t="inlineStr">
        <is>
          <t>Dinheiro p/ você por unidade (hora + lucro)</t>
        </is>
      </c>
      <c r="R3" s="18" t="inlineStr">
        <is>
          <t>SITUAÇÃO</t>
        </is>
      </c>
    </row>
    <row r="4">
      <c r="A4" s="19" t="inlineStr">
        <is>
          <t>Marmita frango grelhado</t>
        </is>
      </c>
      <c r="B4" s="7" t="n">
        <v>10</v>
      </c>
      <c r="C4" s="9">
        <f>IF(A4="","",SUMIF(Fichas!$A$4:$A$603,A4,Fichas!$E$4:$E$603))</f>
        <v/>
      </c>
      <c r="D4" s="13" t="n">
        <v>1.2</v>
      </c>
      <c r="E4" s="7" t="n">
        <v>90</v>
      </c>
      <c r="F4" s="7" t="n">
        <v>120</v>
      </c>
      <c r="G4" s="9">
        <f>IF(AND(A4&lt;&gt;"",N(B4)&gt;0),C4/B4,"")</f>
        <v/>
      </c>
      <c r="H4" s="9">
        <f>IF(AND(A4&lt;&gt;"",N(B4)&gt;0),N(E4)/60*Config!$C$8/B4,"")</f>
        <v/>
      </c>
      <c r="I4" s="9">
        <f>IF(AND(A4&lt;&gt;"",N(B4)&gt;0),G4+N(D4)+H4,"")</f>
        <v/>
      </c>
      <c r="J4" s="9">
        <f>IF(AND(A4&lt;&gt;"",N(B4)&gt;0),N(F4)/60*Config!$C$4/B4,"")</f>
        <v/>
      </c>
      <c r="K4" s="9">
        <f>IF(AND(A4&lt;&gt;"",N(B4)&gt;0),I4+J4,"")</f>
        <v/>
      </c>
      <c r="L4" s="9">
        <f>IF(AND(A4&lt;&gt;"",N(B4)&gt;0),ROUNDUP(K4/(1-Config!$C$20-Config!$C$32)*10,0)/10,"")</f>
        <v/>
      </c>
      <c r="M4" s="9">
        <f>IF(AND(A4&lt;&gt;"",N(B4)&gt;0),ROUNDUP(K4/(1-Config!$C$5-Config!$C$20-Config!$C$32)*2,0)/2,"")</f>
        <v/>
      </c>
      <c r="N4" s="9">
        <f>IF(AND(A4&lt;&gt;"",N(B4)&gt;0),IF((1-Config!$C$5-Config!$C$19-Config!$C$32)&lt;=0,"MARGEM ALTA DEMAIS",ROUNDUP(K4/(1-Config!$C$5-Config!$C$19-Config!$C$32)*2,0)/2),"")</f>
        <v/>
      </c>
      <c r="O4" s="13" t="n">
        <v>22</v>
      </c>
      <c r="P4" s="9">
        <f>IF(AND(AND(A4&lt;&gt;"",N(B4)&gt;0),N(O4)&gt;0),O4*(1-Config!$C$20-Config!$C$32)-K4,"")</f>
        <v/>
      </c>
      <c r="Q4" s="9">
        <f>IF(P4="","",P4+J4)</f>
        <v/>
      </c>
      <c r="R4" s="12">
        <f>IF(P4="","",IF(O4&lt;L4,"PREJUÍZO: abaixo do mínimo",IF(O4&lt;M4,"Atenção: abaixo do sugerido","OK: preço saudável")))</f>
        <v/>
      </c>
    </row>
    <row r="5">
      <c r="A5" s="19" t="inlineStr">
        <is>
          <t>Coxinha de frango (unid.)</t>
        </is>
      </c>
      <c r="B5" s="7" t="n">
        <v>50</v>
      </c>
      <c r="C5" s="9">
        <f>IF(A5="","",SUMIF(Fichas!$A$4:$A$603,A5,Fichas!$E$4:$E$603))</f>
        <v/>
      </c>
      <c r="D5" s="13" t="n">
        <v>0.26</v>
      </c>
      <c r="E5" s="7" t="n">
        <v>150</v>
      </c>
      <c r="F5" s="7" t="n">
        <v>240</v>
      </c>
      <c r="G5" s="9">
        <f>IF(AND(A5&lt;&gt;"",N(B5)&gt;0),C5/B5,"")</f>
        <v/>
      </c>
      <c r="H5" s="9">
        <f>IF(AND(A5&lt;&gt;"",N(B5)&gt;0),N(E5)/60*Config!$C$8/B5,"")</f>
        <v/>
      </c>
      <c r="I5" s="9">
        <f>IF(AND(A5&lt;&gt;"",N(B5)&gt;0),G5+N(D5)+H5,"")</f>
        <v/>
      </c>
      <c r="J5" s="9">
        <f>IF(AND(A5&lt;&gt;"",N(B5)&gt;0),N(F5)/60*Config!$C$4/B5,"")</f>
        <v/>
      </c>
      <c r="K5" s="9">
        <f>IF(AND(A5&lt;&gt;"",N(B5)&gt;0),I5+J5,"")</f>
        <v/>
      </c>
      <c r="L5" s="9">
        <f>IF(AND(A5&lt;&gt;"",N(B5)&gt;0),ROUNDUP(K5/(1-Config!$C$20-Config!$C$32)*10,0)/10,"")</f>
        <v/>
      </c>
      <c r="M5" s="9">
        <f>IF(AND(A5&lt;&gt;"",N(B5)&gt;0),ROUNDUP(K5/(1-Config!$C$5-Config!$C$20-Config!$C$32)*2,0)/2,"")</f>
        <v/>
      </c>
      <c r="N5" s="9">
        <f>IF(AND(A5&lt;&gt;"",N(B5)&gt;0),IF((1-Config!$C$5-Config!$C$19-Config!$C$32)&lt;=0,"MARGEM ALTA DEMAIS",ROUNDUP(K5/(1-Config!$C$5-Config!$C$19-Config!$C$32)*2,0)/2),"")</f>
        <v/>
      </c>
      <c r="O5" s="13" t="n">
        <v>4</v>
      </c>
      <c r="P5" s="9">
        <f>IF(AND(AND(A5&lt;&gt;"",N(B5)&gt;0),N(O5)&gt;0),O5*(1-Config!$C$20-Config!$C$32)-K5,"")</f>
        <v/>
      </c>
      <c r="Q5" s="9">
        <f>IF(P5="","",P5+J5)</f>
        <v/>
      </c>
      <c r="R5" s="12">
        <f>IF(P5="","",IF(O5&lt;L5,"PREJUÍZO: abaixo do mínimo",IF(O5&lt;M5,"Atenção: abaixo do sugerido","OK: preço saudável")))</f>
        <v/>
      </c>
    </row>
    <row r="6">
      <c r="A6" s="19" t="inlineStr">
        <is>
          <t>Brigadeiro gourmet (unid.)</t>
        </is>
      </c>
      <c r="B6" s="7" t="n">
        <v>40</v>
      </c>
      <c r="C6" s="9">
        <f>IF(A6="","",SUMIF(Fichas!$A$4:$A$603,A6,Fichas!$E$4:$E$603))</f>
        <v/>
      </c>
      <c r="D6" s="13" t="n">
        <v>0.1</v>
      </c>
      <c r="E6" s="7" t="n">
        <v>30</v>
      </c>
      <c r="F6" s="7" t="n">
        <v>120</v>
      </c>
      <c r="G6" s="9">
        <f>IF(AND(A6&lt;&gt;"",N(B6)&gt;0),C6/B6,"")</f>
        <v/>
      </c>
      <c r="H6" s="9">
        <f>IF(AND(A6&lt;&gt;"",N(B6)&gt;0),N(E6)/60*Config!$C$8/B6,"")</f>
        <v/>
      </c>
      <c r="I6" s="9">
        <f>IF(AND(A6&lt;&gt;"",N(B6)&gt;0),G6+N(D6)+H6,"")</f>
        <v/>
      </c>
      <c r="J6" s="9">
        <f>IF(AND(A6&lt;&gt;"",N(B6)&gt;0),N(F6)/60*Config!$C$4/B6,"")</f>
        <v/>
      </c>
      <c r="K6" s="9">
        <f>IF(AND(A6&lt;&gt;"",N(B6)&gt;0),I6+J6,"")</f>
        <v/>
      </c>
      <c r="L6" s="9">
        <f>IF(AND(A6&lt;&gt;"",N(B6)&gt;0),ROUNDUP(K6/(1-Config!$C$20-Config!$C$32)*10,0)/10,"")</f>
        <v/>
      </c>
      <c r="M6" s="9">
        <f>IF(AND(A6&lt;&gt;"",N(B6)&gt;0),ROUNDUP(K6/(1-Config!$C$5-Config!$C$20-Config!$C$32)*2,0)/2,"")</f>
        <v/>
      </c>
      <c r="N6" s="9">
        <f>IF(AND(A6&lt;&gt;"",N(B6)&gt;0),IF((1-Config!$C$5-Config!$C$19-Config!$C$32)&lt;=0,"MARGEM ALTA DEMAIS",ROUNDUP(K6/(1-Config!$C$5-Config!$C$19-Config!$C$32)*2,0)/2),"")</f>
        <v/>
      </c>
      <c r="O6" s="13" t="n">
        <v>2.5</v>
      </c>
      <c r="P6" s="9">
        <f>IF(AND(AND(A6&lt;&gt;"",N(B6)&gt;0),N(O6)&gt;0),O6*(1-Config!$C$20-Config!$C$32)-K6,"")</f>
        <v/>
      </c>
      <c r="Q6" s="9">
        <f>IF(P6="","",P6+J6)</f>
        <v/>
      </c>
      <c r="R6" s="12">
        <f>IF(P6="","",IF(O6&lt;L6,"PREJUÍZO: abaixo do mínimo",IF(O6&lt;M6,"Atenção: abaixo do sugerido","OK: preço saudável")))</f>
        <v/>
      </c>
    </row>
    <row r="7">
      <c r="A7" s="19" t="n"/>
      <c r="B7" s="7" t="n"/>
      <c r="C7" s="9">
        <f>IF(A7="","",SUMIF(Fichas!$A$4:$A$603,A7,Fichas!$E$4:$E$603))</f>
        <v/>
      </c>
      <c r="D7" s="13" t="n"/>
      <c r="E7" s="7" t="n"/>
      <c r="F7" s="7" t="n"/>
      <c r="G7" s="9">
        <f>IF(AND(A7&lt;&gt;"",N(B7)&gt;0),C7/B7,"")</f>
        <v/>
      </c>
      <c r="H7" s="9">
        <f>IF(AND(A7&lt;&gt;"",N(B7)&gt;0),N(E7)/60*Config!$C$8/B7,"")</f>
        <v/>
      </c>
      <c r="I7" s="9">
        <f>IF(AND(A7&lt;&gt;"",N(B7)&gt;0),G7+N(D7)+H7,"")</f>
        <v/>
      </c>
      <c r="J7" s="9">
        <f>IF(AND(A7&lt;&gt;"",N(B7)&gt;0),N(F7)/60*Config!$C$4/B7,"")</f>
        <v/>
      </c>
      <c r="K7" s="9">
        <f>IF(AND(A7&lt;&gt;"",N(B7)&gt;0),I7+J7,"")</f>
        <v/>
      </c>
      <c r="L7" s="9">
        <f>IF(AND(A7&lt;&gt;"",N(B7)&gt;0),ROUNDUP(K7/(1-Config!$C$20-Config!$C$32)*10,0)/10,"")</f>
        <v/>
      </c>
      <c r="M7" s="9">
        <f>IF(AND(A7&lt;&gt;"",N(B7)&gt;0),ROUNDUP(K7/(1-Config!$C$5-Config!$C$20-Config!$C$32)*2,0)/2,"")</f>
        <v/>
      </c>
      <c r="N7" s="9">
        <f>IF(AND(A7&lt;&gt;"",N(B7)&gt;0),IF((1-Config!$C$5-Config!$C$19-Config!$C$32)&lt;=0,"MARGEM ALTA DEMAIS",ROUNDUP(K7/(1-Config!$C$5-Config!$C$19-Config!$C$32)*2,0)/2),"")</f>
        <v/>
      </c>
      <c r="O7" s="13" t="n"/>
      <c r="P7" s="9">
        <f>IF(AND(AND(A7&lt;&gt;"",N(B7)&gt;0),N(O7)&gt;0),O7*(1-Config!$C$20-Config!$C$32)-K7,"")</f>
        <v/>
      </c>
      <c r="Q7" s="9">
        <f>IF(P7="","",P7+J7)</f>
        <v/>
      </c>
      <c r="R7" s="12">
        <f>IF(P7="","",IF(O7&lt;L7,"PREJUÍZO: abaixo do mínimo",IF(O7&lt;M7,"Atenção: abaixo do sugerido","OK: preço saudável")))</f>
        <v/>
      </c>
    </row>
    <row r="8">
      <c r="A8" s="19" t="n"/>
      <c r="B8" s="7" t="n"/>
      <c r="C8" s="9">
        <f>IF(A8="","",SUMIF(Fichas!$A$4:$A$603,A8,Fichas!$E$4:$E$603))</f>
        <v/>
      </c>
      <c r="D8" s="13" t="n"/>
      <c r="E8" s="7" t="n"/>
      <c r="F8" s="7" t="n"/>
      <c r="G8" s="9">
        <f>IF(AND(A8&lt;&gt;"",N(B8)&gt;0),C8/B8,"")</f>
        <v/>
      </c>
      <c r="H8" s="9">
        <f>IF(AND(A8&lt;&gt;"",N(B8)&gt;0),N(E8)/60*Config!$C$8/B8,"")</f>
        <v/>
      </c>
      <c r="I8" s="9">
        <f>IF(AND(A8&lt;&gt;"",N(B8)&gt;0),G8+N(D8)+H8,"")</f>
        <v/>
      </c>
      <c r="J8" s="9">
        <f>IF(AND(A8&lt;&gt;"",N(B8)&gt;0),N(F8)/60*Config!$C$4/B8,"")</f>
        <v/>
      </c>
      <c r="K8" s="9">
        <f>IF(AND(A8&lt;&gt;"",N(B8)&gt;0),I8+J8,"")</f>
        <v/>
      </c>
      <c r="L8" s="9">
        <f>IF(AND(A8&lt;&gt;"",N(B8)&gt;0),ROUNDUP(K8/(1-Config!$C$20-Config!$C$32)*10,0)/10,"")</f>
        <v/>
      </c>
      <c r="M8" s="9">
        <f>IF(AND(A8&lt;&gt;"",N(B8)&gt;0),ROUNDUP(K8/(1-Config!$C$5-Config!$C$20-Config!$C$32)*2,0)/2,"")</f>
        <v/>
      </c>
      <c r="N8" s="9">
        <f>IF(AND(A8&lt;&gt;"",N(B8)&gt;0),IF((1-Config!$C$5-Config!$C$19-Config!$C$32)&lt;=0,"MARGEM ALTA DEMAIS",ROUNDUP(K8/(1-Config!$C$5-Config!$C$19-Config!$C$32)*2,0)/2),"")</f>
        <v/>
      </c>
      <c r="O8" s="13" t="n"/>
      <c r="P8" s="9">
        <f>IF(AND(AND(A8&lt;&gt;"",N(B8)&gt;0),N(O8)&gt;0),O8*(1-Config!$C$20-Config!$C$32)-K8,"")</f>
        <v/>
      </c>
      <c r="Q8" s="9">
        <f>IF(P8="","",P8+J8)</f>
        <v/>
      </c>
      <c r="R8" s="12">
        <f>IF(P8="","",IF(O8&lt;L8,"PREJUÍZO: abaixo do mínimo",IF(O8&lt;M8,"Atenção: abaixo do sugerido","OK: preço saudável")))</f>
        <v/>
      </c>
    </row>
    <row r="9">
      <c r="A9" s="19" t="n"/>
      <c r="B9" s="7" t="n"/>
      <c r="C9" s="9">
        <f>IF(A9="","",SUMIF(Fichas!$A$4:$A$603,A9,Fichas!$E$4:$E$603))</f>
        <v/>
      </c>
      <c r="D9" s="13" t="n"/>
      <c r="E9" s="7" t="n"/>
      <c r="F9" s="7" t="n"/>
      <c r="G9" s="9">
        <f>IF(AND(A9&lt;&gt;"",N(B9)&gt;0),C9/B9,"")</f>
        <v/>
      </c>
      <c r="H9" s="9">
        <f>IF(AND(A9&lt;&gt;"",N(B9)&gt;0),N(E9)/60*Config!$C$8/B9,"")</f>
        <v/>
      </c>
      <c r="I9" s="9">
        <f>IF(AND(A9&lt;&gt;"",N(B9)&gt;0),G9+N(D9)+H9,"")</f>
        <v/>
      </c>
      <c r="J9" s="9">
        <f>IF(AND(A9&lt;&gt;"",N(B9)&gt;0),N(F9)/60*Config!$C$4/B9,"")</f>
        <v/>
      </c>
      <c r="K9" s="9">
        <f>IF(AND(A9&lt;&gt;"",N(B9)&gt;0),I9+J9,"")</f>
        <v/>
      </c>
      <c r="L9" s="9">
        <f>IF(AND(A9&lt;&gt;"",N(B9)&gt;0),ROUNDUP(K9/(1-Config!$C$20-Config!$C$32)*10,0)/10,"")</f>
        <v/>
      </c>
      <c r="M9" s="9">
        <f>IF(AND(A9&lt;&gt;"",N(B9)&gt;0),ROUNDUP(K9/(1-Config!$C$5-Config!$C$20-Config!$C$32)*2,0)/2,"")</f>
        <v/>
      </c>
      <c r="N9" s="9">
        <f>IF(AND(A9&lt;&gt;"",N(B9)&gt;0),IF((1-Config!$C$5-Config!$C$19-Config!$C$32)&lt;=0,"MARGEM ALTA DEMAIS",ROUNDUP(K9/(1-Config!$C$5-Config!$C$19-Config!$C$32)*2,0)/2),"")</f>
        <v/>
      </c>
      <c r="O9" s="13" t="n"/>
      <c r="P9" s="9">
        <f>IF(AND(AND(A9&lt;&gt;"",N(B9)&gt;0),N(O9)&gt;0),O9*(1-Config!$C$20-Config!$C$32)-K9,"")</f>
        <v/>
      </c>
      <c r="Q9" s="9">
        <f>IF(P9="","",P9+J9)</f>
        <v/>
      </c>
      <c r="R9" s="12">
        <f>IF(P9="","",IF(O9&lt;L9,"PREJUÍZO: abaixo do mínimo",IF(O9&lt;M9,"Atenção: abaixo do sugerido","OK: preço saudável")))</f>
        <v/>
      </c>
    </row>
    <row r="10">
      <c r="A10" s="19" t="n"/>
      <c r="B10" s="7" t="n"/>
      <c r="C10" s="9">
        <f>IF(A10="","",SUMIF(Fichas!$A$4:$A$603,A10,Fichas!$E$4:$E$603))</f>
        <v/>
      </c>
      <c r="D10" s="13" t="n"/>
      <c r="E10" s="7" t="n"/>
      <c r="F10" s="7" t="n"/>
      <c r="G10" s="9">
        <f>IF(AND(A10&lt;&gt;"",N(B10)&gt;0),C10/B10,"")</f>
        <v/>
      </c>
      <c r="H10" s="9">
        <f>IF(AND(A10&lt;&gt;"",N(B10)&gt;0),N(E10)/60*Config!$C$8/B10,"")</f>
        <v/>
      </c>
      <c r="I10" s="9">
        <f>IF(AND(A10&lt;&gt;"",N(B10)&gt;0),G10+N(D10)+H10,"")</f>
        <v/>
      </c>
      <c r="J10" s="9">
        <f>IF(AND(A10&lt;&gt;"",N(B10)&gt;0),N(F10)/60*Config!$C$4/B10,"")</f>
        <v/>
      </c>
      <c r="K10" s="9">
        <f>IF(AND(A10&lt;&gt;"",N(B10)&gt;0),I10+J10,"")</f>
        <v/>
      </c>
      <c r="L10" s="9">
        <f>IF(AND(A10&lt;&gt;"",N(B10)&gt;0),ROUNDUP(K10/(1-Config!$C$20-Config!$C$32)*10,0)/10,"")</f>
        <v/>
      </c>
      <c r="M10" s="9">
        <f>IF(AND(A10&lt;&gt;"",N(B10)&gt;0),ROUNDUP(K10/(1-Config!$C$5-Config!$C$20-Config!$C$32)*2,0)/2,"")</f>
        <v/>
      </c>
      <c r="N10" s="9">
        <f>IF(AND(A10&lt;&gt;"",N(B10)&gt;0),IF((1-Config!$C$5-Config!$C$19-Config!$C$32)&lt;=0,"MARGEM ALTA DEMAIS",ROUNDUP(K10/(1-Config!$C$5-Config!$C$19-Config!$C$32)*2,0)/2),"")</f>
        <v/>
      </c>
      <c r="O10" s="13" t="n"/>
      <c r="P10" s="9">
        <f>IF(AND(AND(A10&lt;&gt;"",N(B10)&gt;0),N(O10)&gt;0),O10*(1-Config!$C$20-Config!$C$32)-K10,"")</f>
        <v/>
      </c>
      <c r="Q10" s="9">
        <f>IF(P10="","",P10+J10)</f>
        <v/>
      </c>
      <c r="R10" s="12">
        <f>IF(P10="","",IF(O10&lt;L10,"PREJUÍZO: abaixo do mínimo",IF(O10&lt;M10,"Atenção: abaixo do sugerido","OK: preço saudável")))</f>
        <v/>
      </c>
    </row>
    <row r="11">
      <c r="A11" s="19" t="n"/>
      <c r="B11" s="7" t="n"/>
      <c r="C11" s="9">
        <f>IF(A11="","",SUMIF(Fichas!$A$4:$A$603,A11,Fichas!$E$4:$E$603))</f>
        <v/>
      </c>
      <c r="D11" s="13" t="n"/>
      <c r="E11" s="7" t="n"/>
      <c r="F11" s="7" t="n"/>
      <c r="G11" s="9">
        <f>IF(AND(A11&lt;&gt;"",N(B11)&gt;0),C11/B11,"")</f>
        <v/>
      </c>
      <c r="H11" s="9">
        <f>IF(AND(A11&lt;&gt;"",N(B11)&gt;0),N(E11)/60*Config!$C$8/B11,"")</f>
        <v/>
      </c>
      <c r="I11" s="9">
        <f>IF(AND(A11&lt;&gt;"",N(B11)&gt;0),G11+N(D11)+H11,"")</f>
        <v/>
      </c>
      <c r="J11" s="9">
        <f>IF(AND(A11&lt;&gt;"",N(B11)&gt;0),N(F11)/60*Config!$C$4/B11,"")</f>
        <v/>
      </c>
      <c r="K11" s="9">
        <f>IF(AND(A11&lt;&gt;"",N(B11)&gt;0),I11+J11,"")</f>
        <v/>
      </c>
      <c r="L11" s="9">
        <f>IF(AND(A11&lt;&gt;"",N(B11)&gt;0),ROUNDUP(K11/(1-Config!$C$20-Config!$C$32)*10,0)/10,"")</f>
        <v/>
      </c>
      <c r="M11" s="9">
        <f>IF(AND(A11&lt;&gt;"",N(B11)&gt;0),ROUNDUP(K11/(1-Config!$C$5-Config!$C$20-Config!$C$32)*2,0)/2,"")</f>
        <v/>
      </c>
      <c r="N11" s="9">
        <f>IF(AND(A11&lt;&gt;"",N(B11)&gt;0),IF((1-Config!$C$5-Config!$C$19-Config!$C$32)&lt;=0,"MARGEM ALTA DEMAIS",ROUNDUP(K11/(1-Config!$C$5-Config!$C$19-Config!$C$32)*2,0)/2),"")</f>
        <v/>
      </c>
      <c r="O11" s="13" t="n"/>
      <c r="P11" s="9">
        <f>IF(AND(AND(A11&lt;&gt;"",N(B11)&gt;0),N(O11)&gt;0),O11*(1-Config!$C$20-Config!$C$32)-K11,"")</f>
        <v/>
      </c>
      <c r="Q11" s="9">
        <f>IF(P11="","",P11+J11)</f>
        <v/>
      </c>
      <c r="R11" s="12">
        <f>IF(P11="","",IF(O11&lt;L11,"PREJUÍZO: abaixo do mínimo",IF(O11&lt;M11,"Atenção: abaixo do sugerido","OK: preço saudável")))</f>
        <v/>
      </c>
    </row>
    <row r="12">
      <c r="A12" s="19" t="n"/>
      <c r="B12" s="7" t="n"/>
      <c r="C12" s="9">
        <f>IF(A12="","",SUMIF(Fichas!$A$4:$A$603,A12,Fichas!$E$4:$E$603))</f>
        <v/>
      </c>
      <c r="D12" s="13" t="n"/>
      <c r="E12" s="7" t="n"/>
      <c r="F12" s="7" t="n"/>
      <c r="G12" s="9">
        <f>IF(AND(A12&lt;&gt;"",N(B12)&gt;0),C12/B12,"")</f>
        <v/>
      </c>
      <c r="H12" s="9">
        <f>IF(AND(A12&lt;&gt;"",N(B12)&gt;0),N(E12)/60*Config!$C$8/B12,"")</f>
        <v/>
      </c>
      <c r="I12" s="9">
        <f>IF(AND(A12&lt;&gt;"",N(B12)&gt;0),G12+N(D12)+H12,"")</f>
        <v/>
      </c>
      <c r="J12" s="9">
        <f>IF(AND(A12&lt;&gt;"",N(B12)&gt;0),N(F12)/60*Config!$C$4/B12,"")</f>
        <v/>
      </c>
      <c r="K12" s="9">
        <f>IF(AND(A12&lt;&gt;"",N(B12)&gt;0),I12+J12,"")</f>
        <v/>
      </c>
      <c r="L12" s="9">
        <f>IF(AND(A12&lt;&gt;"",N(B12)&gt;0),ROUNDUP(K12/(1-Config!$C$20-Config!$C$32)*10,0)/10,"")</f>
        <v/>
      </c>
      <c r="M12" s="9">
        <f>IF(AND(A12&lt;&gt;"",N(B12)&gt;0),ROUNDUP(K12/(1-Config!$C$5-Config!$C$20-Config!$C$32)*2,0)/2,"")</f>
        <v/>
      </c>
      <c r="N12" s="9">
        <f>IF(AND(A12&lt;&gt;"",N(B12)&gt;0),IF((1-Config!$C$5-Config!$C$19-Config!$C$32)&lt;=0,"MARGEM ALTA DEMAIS",ROUNDUP(K12/(1-Config!$C$5-Config!$C$19-Config!$C$32)*2,0)/2),"")</f>
        <v/>
      </c>
      <c r="O12" s="13" t="n"/>
      <c r="P12" s="9">
        <f>IF(AND(AND(A12&lt;&gt;"",N(B12)&gt;0),N(O12)&gt;0),O12*(1-Config!$C$20-Config!$C$32)-K12,"")</f>
        <v/>
      </c>
      <c r="Q12" s="9">
        <f>IF(P12="","",P12+J12)</f>
        <v/>
      </c>
      <c r="R12" s="12">
        <f>IF(P12="","",IF(O12&lt;L12,"PREJUÍZO: abaixo do mínimo",IF(O12&lt;M12,"Atenção: abaixo do sugerido","OK: preço saudável")))</f>
        <v/>
      </c>
    </row>
    <row r="13">
      <c r="A13" s="19" t="n"/>
      <c r="B13" s="7" t="n"/>
      <c r="C13" s="9">
        <f>IF(A13="","",SUMIF(Fichas!$A$4:$A$603,A13,Fichas!$E$4:$E$603))</f>
        <v/>
      </c>
      <c r="D13" s="13" t="n"/>
      <c r="E13" s="7" t="n"/>
      <c r="F13" s="7" t="n"/>
      <c r="G13" s="9">
        <f>IF(AND(A13&lt;&gt;"",N(B13)&gt;0),C13/B13,"")</f>
        <v/>
      </c>
      <c r="H13" s="9">
        <f>IF(AND(A13&lt;&gt;"",N(B13)&gt;0),N(E13)/60*Config!$C$8/B13,"")</f>
        <v/>
      </c>
      <c r="I13" s="9">
        <f>IF(AND(A13&lt;&gt;"",N(B13)&gt;0),G13+N(D13)+H13,"")</f>
        <v/>
      </c>
      <c r="J13" s="9">
        <f>IF(AND(A13&lt;&gt;"",N(B13)&gt;0),N(F13)/60*Config!$C$4/B13,"")</f>
        <v/>
      </c>
      <c r="K13" s="9">
        <f>IF(AND(A13&lt;&gt;"",N(B13)&gt;0),I13+J13,"")</f>
        <v/>
      </c>
      <c r="L13" s="9">
        <f>IF(AND(A13&lt;&gt;"",N(B13)&gt;0),ROUNDUP(K13/(1-Config!$C$20-Config!$C$32)*10,0)/10,"")</f>
        <v/>
      </c>
      <c r="M13" s="9">
        <f>IF(AND(A13&lt;&gt;"",N(B13)&gt;0),ROUNDUP(K13/(1-Config!$C$5-Config!$C$20-Config!$C$32)*2,0)/2,"")</f>
        <v/>
      </c>
      <c r="N13" s="9">
        <f>IF(AND(A13&lt;&gt;"",N(B13)&gt;0),IF((1-Config!$C$5-Config!$C$19-Config!$C$32)&lt;=0,"MARGEM ALTA DEMAIS",ROUNDUP(K13/(1-Config!$C$5-Config!$C$19-Config!$C$32)*2,0)/2),"")</f>
        <v/>
      </c>
      <c r="O13" s="13" t="n"/>
      <c r="P13" s="9">
        <f>IF(AND(AND(A13&lt;&gt;"",N(B13)&gt;0),N(O13)&gt;0),O13*(1-Config!$C$20-Config!$C$32)-K13,"")</f>
        <v/>
      </c>
      <c r="Q13" s="9">
        <f>IF(P13="","",P13+J13)</f>
        <v/>
      </c>
      <c r="R13" s="12">
        <f>IF(P13="","",IF(O13&lt;L13,"PREJUÍZO: abaixo do mínimo",IF(O13&lt;M13,"Atenção: abaixo do sugerido","OK: preço saudável")))</f>
        <v/>
      </c>
    </row>
    <row r="14">
      <c r="A14" s="19" t="n"/>
      <c r="B14" s="7" t="n"/>
      <c r="C14" s="9">
        <f>IF(A14="","",SUMIF(Fichas!$A$4:$A$603,A14,Fichas!$E$4:$E$603))</f>
        <v/>
      </c>
      <c r="D14" s="13" t="n"/>
      <c r="E14" s="7" t="n"/>
      <c r="F14" s="7" t="n"/>
      <c r="G14" s="9">
        <f>IF(AND(A14&lt;&gt;"",N(B14)&gt;0),C14/B14,"")</f>
        <v/>
      </c>
      <c r="H14" s="9">
        <f>IF(AND(A14&lt;&gt;"",N(B14)&gt;0),N(E14)/60*Config!$C$8/B14,"")</f>
        <v/>
      </c>
      <c r="I14" s="9">
        <f>IF(AND(A14&lt;&gt;"",N(B14)&gt;0),G14+N(D14)+H14,"")</f>
        <v/>
      </c>
      <c r="J14" s="9">
        <f>IF(AND(A14&lt;&gt;"",N(B14)&gt;0),N(F14)/60*Config!$C$4/B14,"")</f>
        <v/>
      </c>
      <c r="K14" s="9">
        <f>IF(AND(A14&lt;&gt;"",N(B14)&gt;0),I14+J14,"")</f>
        <v/>
      </c>
      <c r="L14" s="9">
        <f>IF(AND(A14&lt;&gt;"",N(B14)&gt;0),ROUNDUP(K14/(1-Config!$C$20-Config!$C$32)*10,0)/10,"")</f>
        <v/>
      </c>
      <c r="M14" s="9">
        <f>IF(AND(A14&lt;&gt;"",N(B14)&gt;0),ROUNDUP(K14/(1-Config!$C$5-Config!$C$20-Config!$C$32)*2,0)/2,"")</f>
        <v/>
      </c>
      <c r="N14" s="9">
        <f>IF(AND(A14&lt;&gt;"",N(B14)&gt;0),IF((1-Config!$C$5-Config!$C$19-Config!$C$32)&lt;=0,"MARGEM ALTA DEMAIS",ROUNDUP(K14/(1-Config!$C$5-Config!$C$19-Config!$C$32)*2,0)/2),"")</f>
        <v/>
      </c>
      <c r="O14" s="13" t="n"/>
      <c r="P14" s="9">
        <f>IF(AND(AND(A14&lt;&gt;"",N(B14)&gt;0),N(O14)&gt;0),O14*(1-Config!$C$20-Config!$C$32)-K14,"")</f>
        <v/>
      </c>
      <c r="Q14" s="9">
        <f>IF(P14="","",P14+J14)</f>
        <v/>
      </c>
      <c r="R14" s="12">
        <f>IF(P14="","",IF(O14&lt;L14,"PREJUÍZO: abaixo do mínimo",IF(O14&lt;M14,"Atenção: abaixo do sugerido","OK: preço saudável")))</f>
        <v/>
      </c>
    </row>
    <row r="15">
      <c r="A15" s="19" t="n"/>
      <c r="B15" s="7" t="n"/>
      <c r="C15" s="9">
        <f>IF(A15="","",SUMIF(Fichas!$A$4:$A$603,A15,Fichas!$E$4:$E$603))</f>
        <v/>
      </c>
      <c r="D15" s="13" t="n"/>
      <c r="E15" s="7" t="n"/>
      <c r="F15" s="7" t="n"/>
      <c r="G15" s="9">
        <f>IF(AND(A15&lt;&gt;"",N(B15)&gt;0),C15/B15,"")</f>
        <v/>
      </c>
      <c r="H15" s="9">
        <f>IF(AND(A15&lt;&gt;"",N(B15)&gt;0),N(E15)/60*Config!$C$8/B15,"")</f>
        <v/>
      </c>
      <c r="I15" s="9">
        <f>IF(AND(A15&lt;&gt;"",N(B15)&gt;0),G15+N(D15)+H15,"")</f>
        <v/>
      </c>
      <c r="J15" s="9">
        <f>IF(AND(A15&lt;&gt;"",N(B15)&gt;0),N(F15)/60*Config!$C$4/B15,"")</f>
        <v/>
      </c>
      <c r="K15" s="9">
        <f>IF(AND(A15&lt;&gt;"",N(B15)&gt;0),I15+J15,"")</f>
        <v/>
      </c>
      <c r="L15" s="9">
        <f>IF(AND(A15&lt;&gt;"",N(B15)&gt;0),ROUNDUP(K15/(1-Config!$C$20-Config!$C$32)*10,0)/10,"")</f>
        <v/>
      </c>
      <c r="M15" s="9">
        <f>IF(AND(A15&lt;&gt;"",N(B15)&gt;0),ROUNDUP(K15/(1-Config!$C$5-Config!$C$20-Config!$C$32)*2,0)/2,"")</f>
        <v/>
      </c>
      <c r="N15" s="9">
        <f>IF(AND(A15&lt;&gt;"",N(B15)&gt;0),IF((1-Config!$C$5-Config!$C$19-Config!$C$32)&lt;=0,"MARGEM ALTA DEMAIS",ROUNDUP(K15/(1-Config!$C$5-Config!$C$19-Config!$C$32)*2,0)/2),"")</f>
        <v/>
      </c>
      <c r="O15" s="13" t="n"/>
      <c r="P15" s="9">
        <f>IF(AND(AND(A15&lt;&gt;"",N(B15)&gt;0),N(O15)&gt;0),O15*(1-Config!$C$20-Config!$C$32)-K15,"")</f>
        <v/>
      </c>
      <c r="Q15" s="9">
        <f>IF(P15="","",P15+J15)</f>
        <v/>
      </c>
      <c r="R15" s="12">
        <f>IF(P15="","",IF(O15&lt;L15,"PREJUÍZO: abaixo do mínimo",IF(O15&lt;M15,"Atenção: abaixo do sugerido","OK: preço saudável")))</f>
        <v/>
      </c>
    </row>
    <row r="16">
      <c r="A16" s="19" t="n"/>
      <c r="B16" s="7" t="n"/>
      <c r="C16" s="9">
        <f>IF(A16="","",SUMIF(Fichas!$A$4:$A$603,A16,Fichas!$E$4:$E$603))</f>
        <v/>
      </c>
      <c r="D16" s="13" t="n"/>
      <c r="E16" s="7" t="n"/>
      <c r="F16" s="7" t="n"/>
      <c r="G16" s="9">
        <f>IF(AND(A16&lt;&gt;"",N(B16)&gt;0),C16/B16,"")</f>
        <v/>
      </c>
      <c r="H16" s="9">
        <f>IF(AND(A16&lt;&gt;"",N(B16)&gt;0),N(E16)/60*Config!$C$8/B16,"")</f>
        <v/>
      </c>
      <c r="I16" s="9">
        <f>IF(AND(A16&lt;&gt;"",N(B16)&gt;0),G16+N(D16)+H16,"")</f>
        <v/>
      </c>
      <c r="J16" s="9">
        <f>IF(AND(A16&lt;&gt;"",N(B16)&gt;0),N(F16)/60*Config!$C$4/B16,"")</f>
        <v/>
      </c>
      <c r="K16" s="9">
        <f>IF(AND(A16&lt;&gt;"",N(B16)&gt;0),I16+J16,"")</f>
        <v/>
      </c>
      <c r="L16" s="9">
        <f>IF(AND(A16&lt;&gt;"",N(B16)&gt;0),ROUNDUP(K16/(1-Config!$C$20-Config!$C$32)*10,0)/10,"")</f>
        <v/>
      </c>
      <c r="M16" s="9">
        <f>IF(AND(A16&lt;&gt;"",N(B16)&gt;0),ROUNDUP(K16/(1-Config!$C$5-Config!$C$20-Config!$C$32)*2,0)/2,"")</f>
        <v/>
      </c>
      <c r="N16" s="9">
        <f>IF(AND(A16&lt;&gt;"",N(B16)&gt;0),IF((1-Config!$C$5-Config!$C$19-Config!$C$32)&lt;=0,"MARGEM ALTA DEMAIS",ROUNDUP(K16/(1-Config!$C$5-Config!$C$19-Config!$C$32)*2,0)/2),"")</f>
        <v/>
      </c>
      <c r="O16" s="13" t="n"/>
      <c r="P16" s="9">
        <f>IF(AND(AND(A16&lt;&gt;"",N(B16)&gt;0),N(O16)&gt;0),O16*(1-Config!$C$20-Config!$C$32)-K16,"")</f>
        <v/>
      </c>
      <c r="Q16" s="9">
        <f>IF(P16="","",P16+J16)</f>
        <v/>
      </c>
      <c r="R16" s="12">
        <f>IF(P16="","",IF(O16&lt;L16,"PREJUÍZO: abaixo do mínimo",IF(O16&lt;M16,"Atenção: abaixo do sugerido","OK: preço saudável")))</f>
        <v/>
      </c>
    </row>
    <row r="17">
      <c r="A17" s="19" t="n"/>
      <c r="B17" s="7" t="n"/>
      <c r="C17" s="9">
        <f>IF(A17="","",SUMIF(Fichas!$A$4:$A$603,A17,Fichas!$E$4:$E$603))</f>
        <v/>
      </c>
      <c r="D17" s="13" t="n"/>
      <c r="E17" s="7" t="n"/>
      <c r="F17" s="7" t="n"/>
      <c r="G17" s="9">
        <f>IF(AND(A17&lt;&gt;"",N(B17)&gt;0),C17/B17,"")</f>
        <v/>
      </c>
      <c r="H17" s="9">
        <f>IF(AND(A17&lt;&gt;"",N(B17)&gt;0),N(E17)/60*Config!$C$8/B17,"")</f>
        <v/>
      </c>
      <c r="I17" s="9">
        <f>IF(AND(A17&lt;&gt;"",N(B17)&gt;0),G17+N(D17)+H17,"")</f>
        <v/>
      </c>
      <c r="J17" s="9">
        <f>IF(AND(A17&lt;&gt;"",N(B17)&gt;0),N(F17)/60*Config!$C$4/B17,"")</f>
        <v/>
      </c>
      <c r="K17" s="9">
        <f>IF(AND(A17&lt;&gt;"",N(B17)&gt;0),I17+J17,"")</f>
        <v/>
      </c>
      <c r="L17" s="9">
        <f>IF(AND(A17&lt;&gt;"",N(B17)&gt;0),ROUNDUP(K17/(1-Config!$C$20-Config!$C$32)*10,0)/10,"")</f>
        <v/>
      </c>
      <c r="M17" s="9">
        <f>IF(AND(A17&lt;&gt;"",N(B17)&gt;0),ROUNDUP(K17/(1-Config!$C$5-Config!$C$20-Config!$C$32)*2,0)/2,"")</f>
        <v/>
      </c>
      <c r="N17" s="9">
        <f>IF(AND(A17&lt;&gt;"",N(B17)&gt;0),IF((1-Config!$C$5-Config!$C$19-Config!$C$32)&lt;=0,"MARGEM ALTA DEMAIS",ROUNDUP(K17/(1-Config!$C$5-Config!$C$19-Config!$C$32)*2,0)/2),"")</f>
        <v/>
      </c>
      <c r="O17" s="13" t="n"/>
      <c r="P17" s="9">
        <f>IF(AND(AND(A17&lt;&gt;"",N(B17)&gt;0),N(O17)&gt;0),O17*(1-Config!$C$20-Config!$C$32)-K17,"")</f>
        <v/>
      </c>
      <c r="Q17" s="9">
        <f>IF(P17="","",P17+J17)</f>
        <v/>
      </c>
      <c r="R17" s="12">
        <f>IF(P17="","",IF(O17&lt;L17,"PREJUÍZO: abaixo do mínimo",IF(O17&lt;M17,"Atenção: abaixo do sugerido","OK: preço saudável")))</f>
        <v/>
      </c>
    </row>
    <row r="18">
      <c r="A18" s="19" t="n"/>
      <c r="B18" s="7" t="n"/>
      <c r="C18" s="9">
        <f>IF(A18="","",SUMIF(Fichas!$A$4:$A$603,A18,Fichas!$E$4:$E$603))</f>
        <v/>
      </c>
      <c r="D18" s="13" t="n"/>
      <c r="E18" s="7" t="n"/>
      <c r="F18" s="7" t="n"/>
      <c r="G18" s="9">
        <f>IF(AND(A18&lt;&gt;"",N(B18)&gt;0),C18/B18,"")</f>
        <v/>
      </c>
      <c r="H18" s="9">
        <f>IF(AND(A18&lt;&gt;"",N(B18)&gt;0),N(E18)/60*Config!$C$8/B18,"")</f>
        <v/>
      </c>
      <c r="I18" s="9">
        <f>IF(AND(A18&lt;&gt;"",N(B18)&gt;0),G18+N(D18)+H18,"")</f>
        <v/>
      </c>
      <c r="J18" s="9">
        <f>IF(AND(A18&lt;&gt;"",N(B18)&gt;0),N(F18)/60*Config!$C$4/B18,"")</f>
        <v/>
      </c>
      <c r="K18" s="9">
        <f>IF(AND(A18&lt;&gt;"",N(B18)&gt;0),I18+J18,"")</f>
        <v/>
      </c>
      <c r="L18" s="9">
        <f>IF(AND(A18&lt;&gt;"",N(B18)&gt;0),ROUNDUP(K18/(1-Config!$C$20-Config!$C$32)*10,0)/10,"")</f>
        <v/>
      </c>
      <c r="M18" s="9">
        <f>IF(AND(A18&lt;&gt;"",N(B18)&gt;0),ROUNDUP(K18/(1-Config!$C$5-Config!$C$20-Config!$C$32)*2,0)/2,"")</f>
        <v/>
      </c>
      <c r="N18" s="9">
        <f>IF(AND(A18&lt;&gt;"",N(B18)&gt;0),IF((1-Config!$C$5-Config!$C$19-Config!$C$32)&lt;=0,"MARGEM ALTA DEMAIS",ROUNDUP(K18/(1-Config!$C$5-Config!$C$19-Config!$C$32)*2,0)/2),"")</f>
        <v/>
      </c>
      <c r="O18" s="13" t="n"/>
      <c r="P18" s="9">
        <f>IF(AND(AND(A18&lt;&gt;"",N(B18)&gt;0),N(O18)&gt;0),O18*(1-Config!$C$20-Config!$C$32)-K18,"")</f>
        <v/>
      </c>
      <c r="Q18" s="9">
        <f>IF(P18="","",P18+J18)</f>
        <v/>
      </c>
      <c r="R18" s="12">
        <f>IF(P18="","",IF(O18&lt;L18,"PREJUÍZO: abaixo do mínimo",IF(O18&lt;M18,"Atenção: abaixo do sugerido","OK: preço saudável")))</f>
        <v/>
      </c>
    </row>
    <row r="19">
      <c r="A19" s="19" t="n"/>
      <c r="B19" s="7" t="n"/>
      <c r="C19" s="9">
        <f>IF(A19="","",SUMIF(Fichas!$A$4:$A$603,A19,Fichas!$E$4:$E$603))</f>
        <v/>
      </c>
      <c r="D19" s="13" t="n"/>
      <c r="E19" s="7" t="n"/>
      <c r="F19" s="7" t="n"/>
      <c r="G19" s="9">
        <f>IF(AND(A19&lt;&gt;"",N(B19)&gt;0),C19/B19,"")</f>
        <v/>
      </c>
      <c r="H19" s="9">
        <f>IF(AND(A19&lt;&gt;"",N(B19)&gt;0),N(E19)/60*Config!$C$8/B19,"")</f>
        <v/>
      </c>
      <c r="I19" s="9">
        <f>IF(AND(A19&lt;&gt;"",N(B19)&gt;0),G19+N(D19)+H19,"")</f>
        <v/>
      </c>
      <c r="J19" s="9">
        <f>IF(AND(A19&lt;&gt;"",N(B19)&gt;0),N(F19)/60*Config!$C$4/B19,"")</f>
        <v/>
      </c>
      <c r="K19" s="9">
        <f>IF(AND(A19&lt;&gt;"",N(B19)&gt;0),I19+J19,"")</f>
        <v/>
      </c>
      <c r="L19" s="9">
        <f>IF(AND(A19&lt;&gt;"",N(B19)&gt;0),ROUNDUP(K19/(1-Config!$C$20-Config!$C$32)*10,0)/10,"")</f>
        <v/>
      </c>
      <c r="M19" s="9">
        <f>IF(AND(A19&lt;&gt;"",N(B19)&gt;0),ROUNDUP(K19/(1-Config!$C$5-Config!$C$20-Config!$C$32)*2,0)/2,"")</f>
        <v/>
      </c>
      <c r="N19" s="9">
        <f>IF(AND(A19&lt;&gt;"",N(B19)&gt;0),IF((1-Config!$C$5-Config!$C$19-Config!$C$32)&lt;=0,"MARGEM ALTA DEMAIS",ROUNDUP(K19/(1-Config!$C$5-Config!$C$19-Config!$C$32)*2,0)/2),"")</f>
        <v/>
      </c>
      <c r="O19" s="13" t="n"/>
      <c r="P19" s="9">
        <f>IF(AND(AND(A19&lt;&gt;"",N(B19)&gt;0),N(O19)&gt;0),O19*(1-Config!$C$20-Config!$C$32)-K19,"")</f>
        <v/>
      </c>
      <c r="Q19" s="9">
        <f>IF(P19="","",P19+J19)</f>
        <v/>
      </c>
      <c r="R19" s="12">
        <f>IF(P19="","",IF(O19&lt;L19,"PREJUÍZO: abaixo do mínimo",IF(O19&lt;M19,"Atenção: abaixo do sugerido","OK: preço saudável")))</f>
        <v/>
      </c>
    </row>
    <row r="20">
      <c r="A20" s="19" t="n"/>
      <c r="B20" s="7" t="n"/>
      <c r="C20" s="9">
        <f>IF(A20="","",SUMIF(Fichas!$A$4:$A$603,A20,Fichas!$E$4:$E$603))</f>
        <v/>
      </c>
      <c r="D20" s="13" t="n"/>
      <c r="E20" s="7" t="n"/>
      <c r="F20" s="7" t="n"/>
      <c r="G20" s="9">
        <f>IF(AND(A20&lt;&gt;"",N(B20)&gt;0),C20/B20,"")</f>
        <v/>
      </c>
      <c r="H20" s="9">
        <f>IF(AND(A20&lt;&gt;"",N(B20)&gt;0),N(E20)/60*Config!$C$8/B20,"")</f>
        <v/>
      </c>
      <c r="I20" s="9">
        <f>IF(AND(A20&lt;&gt;"",N(B20)&gt;0),G20+N(D20)+H20,"")</f>
        <v/>
      </c>
      <c r="J20" s="9">
        <f>IF(AND(A20&lt;&gt;"",N(B20)&gt;0),N(F20)/60*Config!$C$4/B20,"")</f>
        <v/>
      </c>
      <c r="K20" s="9">
        <f>IF(AND(A20&lt;&gt;"",N(B20)&gt;0),I20+J20,"")</f>
        <v/>
      </c>
      <c r="L20" s="9">
        <f>IF(AND(A20&lt;&gt;"",N(B20)&gt;0),ROUNDUP(K20/(1-Config!$C$20-Config!$C$32)*10,0)/10,"")</f>
        <v/>
      </c>
      <c r="M20" s="9">
        <f>IF(AND(A20&lt;&gt;"",N(B20)&gt;0),ROUNDUP(K20/(1-Config!$C$5-Config!$C$20-Config!$C$32)*2,0)/2,"")</f>
        <v/>
      </c>
      <c r="N20" s="9">
        <f>IF(AND(A20&lt;&gt;"",N(B20)&gt;0),IF((1-Config!$C$5-Config!$C$19-Config!$C$32)&lt;=0,"MARGEM ALTA DEMAIS",ROUNDUP(K20/(1-Config!$C$5-Config!$C$19-Config!$C$32)*2,0)/2),"")</f>
        <v/>
      </c>
      <c r="O20" s="13" t="n"/>
      <c r="P20" s="9">
        <f>IF(AND(AND(A20&lt;&gt;"",N(B20)&gt;0),N(O20)&gt;0),O20*(1-Config!$C$20-Config!$C$32)-K20,"")</f>
        <v/>
      </c>
      <c r="Q20" s="9">
        <f>IF(P20="","",P20+J20)</f>
        <v/>
      </c>
      <c r="R20" s="12">
        <f>IF(P20="","",IF(O20&lt;L20,"PREJUÍZO: abaixo do mínimo",IF(O20&lt;M20,"Atenção: abaixo do sugerido","OK: preço saudável")))</f>
        <v/>
      </c>
    </row>
    <row r="21">
      <c r="A21" s="19" t="n"/>
      <c r="B21" s="7" t="n"/>
      <c r="C21" s="9">
        <f>IF(A21="","",SUMIF(Fichas!$A$4:$A$603,A21,Fichas!$E$4:$E$603))</f>
        <v/>
      </c>
      <c r="D21" s="13" t="n"/>
      <c r="E21" s="7" t="n"/>
      <c r="F21" s="7" t="n"/>
      <c r="G21" s="9">
        <f>IF(AND(A21&lt;&gt;"",N(B21)&gt;0),C21/B21,"")</f>
        <v/>
      </c>
      <c r="H21" s="9">
        <f>IF(AND(A21&lt;&gt;"",N(B21)&gt;0),N(E21)/60*Config!$C$8/B21,"")</f>
        <v/>
      </c>
      <c r="I21" s="9">
        <f>IF(AND(A21&lt;&gt;"",N(B21)&gt;0),G21+N(D21)+H21,"")</f>
        <v/>
      </c>
      <c r="J21" s="9">
        <f>IF(AND(A21&lt;&gt;"",N(B21)&gt;0),N(F21)/60*Config!$C$4/B21,"")</f>
        <v/>
      </c>
      <c r="K21" s="9">
        <f>IF(AND(A21&lt;&gt;"",N(B21)&gt;0),I21+J21,"")</f>
        <v/>
      </c>
      <c r="L21" s="9">
        <f>IF(AND(A21&lt;&gt;"",N(B21)&gt;0),ROUNDUP(K21/(1-Config!$C$20-Config!$C$32)*10,0)/10,"")</f>
        <v/>
      </c>
      <c r="M21" s="9">
        <f>IF(AND(A21&lt;&gt;"",N(B21)&gt;0),ROUNDUP(K21/(1-Config!$C$5-Config!$C$20-Config!$C$32)*2,0)/2,"")</f>
        <v/>
      </c>
      <c r="N21" s="9">
        <f>IF(AND(A21&lt;&gt;"",N(B21)&gt;0),IF((1-Config!$C$5-Config!$C$19-Config!$C$32)&lt;=0,"MARGEM ALTA DEMAIS",ROUNDUP(K21/(1-Config!$C$5-Config!$C$19-Config!$C$32)*2,0)/2),"")</f>
        <v/>
      </c>
      <c r="O21" s="13" t="n"/>
      <c r="P21" s="9">
        <f>IF(AND(AND(A21&lt;&gt;"",N(B21)&gt;0),N(O21)&gt;0),O21*(1-Config!$C$20-Config!$C$32)-K21,"")</f>
        <v/>
      </c>
      <c r="Q21" s="9">
        <f>IF(P21="","",P21+J21)</f>
        <v/>
      </c>
      <c r="R21" s="12">
        <f>IF(P21="","",IF(O21&lt;L21,"PREJUÍZO: abaixo do mínimo",IF(O21&lt;M21,"Atenção: abaixo do sugerido","OK: preço saudável")))</f>
        <v/>
      </c>
    </row>
    <row r="22">
      <c r="A22" s="19" t="n"/>
      <c r="B22" s="7" t="n"/>
      <c r="C22" s="9">
        <f>IF(A22="","",SUMIF(Fichas!$A$4:$A$603,A22,Fichas!$E$4:$E$603))</f>
        <v/>
      </c>
      <c r="D22" s="13" t="n"/>
      <c r="E22" s="7" t="n"/>
      <c r="F22" s="7" t="n"/>
      <c r="G22" s="9">
        <f>IF(AND(A22&lt;&gt;"",N(B22)&gt;0),C22/B22,"")</f>
        <v/>
      </c>
      <c r="H22" s="9">
        <f>IF(AND(A22&lt;&gt;"",N(B22)&gt;0),N(E22)/60*Config!$C$8/B22,"")</f>
        <v/>
      </c>
      <c r="I22" s="9">
        <f>IF(AND(A22&lt;&gt;"",N(B22)&gt;0),G22+N(D22)+H22,"")</f>
        <v/>
      </c>
      <c r="J22" s="9">
        <f>IF(AND(A22&lt;&gt;"",N(B22)&gt;0),N(F22)/60*Config!$C$4/B22,"")</f>
        <v/>
      </c>
      <c r="K22" s="9">
        <f>IF(AND(A22&lt;&gt;"",N(B22)&gt;0),I22+J22,"")</f>
        <v/>
      </c>
      <c r="L22" s="9">
        <f>IF(AND(A22&lt;&gt;"",N(B22)&gt;0),ROUNDUP(K22/(1-Config!$C$20-Config!$C$32)*10,0)/10,"")</f>
        <v/>
      </c>
      <c r="M22" s="9">
        <f>IF(AND(A22&lt;&gt;"",N(B22)&gt;0),ROUNDUP(K22/(1-Config!$C$5-Config!$C$20-Config!$C$32)*2,0)/2,"")</f>
        <v/>
      </c>
      <c r="N22" s="9">
        <f>IF(AND(A22&lt;&gt;"",N(B22)&gt;0),IF((1-Config!$C$5-Config!$C$19-Config!$C$32)&lt;=0,"MARGEM ALTA DEMAIS",ROUNDUP(K22/(1-Config!$C$5-Config!$C$19-Config!$C$32)*2,0)/2),"")</f>
        <v/>
      </c>
      <c r="O22" s="13" t="n"/>
      <c r="P22" s="9">
        <f>IF(AND(AND(A22&lt;&gt;"",N(B22)&gt;0),N(O22)&gt;0),O22*(1-Config!$C$20-Config!$C$32)-K22,"")</f>
        <v/>
      </c>
      <c r="Q22" s="9">
        <f>IF(P22="","",P22+J22)</f>
        <v/>
      </c>
      <c r="R22" s="12">
        <f>IF(P22="","",IF(O22&lt;L22,"PREJUÍZO: abaixo do mínimo",IF(O22&lt;M22,"Atenção: abaixo do sugerido","OK: preço saudável")))</f>
        <v/>
      </c>
    </row>
    <row r="23">
      <c r="A23" s="19" t="n"/>
      <c r="B23" s="7" t="n"/>
      <c r="C23" s="9">
        <f>IF(A23="","",SUMIF(Fichas!$A$4:$A$603,A23,Fichas!$E$4:$E$603))</f>
        <v/>
      </c>
      <c r="D23" s="13" t="n"/>
      <c r="E23" s="7" t="n"/>
      <c r="F23" s="7" t="n"/>
      <c r="G23" s="9">
        <f>IF(AND(A23&lt;&gt;"",N(B23)&gt;0),C23/B23,"")</f>
        <v/>
      </c>
      <c r="H23" s="9">
        <f>IF(AND(A23&lt;&gt;"",N(B23)&gt;0),N(E23)/60*Config!$C$8/B23,"")</f>
        <v/>
      </c>
      <c r="I23" s="9">
        <f>IF(AND(A23&lt;&gt;"",N(B23)&gt;0),G23+N(D23)+H23,"")</f>
        <v/>
      </c>
      <c r="J23" s="9">
        <f>IF(AND(A23&lt;&gt;"",N(B23)&gt;0),N(F23)/60*Config!$C$4/B23,"")</f>
        <v/>
      </c>
      <c r="K23" s="9">
        <f>IF(AND(A23&lt;&gt;"",N(B23)&gt;0),I23+J23,"")</f>
        <v/>
      </c>
      <c r="L23" s="9">
        <f>IF(AND(A23&lt;&gt;"",N(B23)&gt;0),ROUNDUP(K23/(1-Config!$C$20-Config!$C$32)*10,0)/10,"")</f>
        <v/>
      </c>
      <c r="M23" s="9">
        <f>IF(AND(A23&lt;&gt;"",N(B23)&gt;0),ROUNDUP(K23/(1-Config!$C$5-Config!$C$20-Config!$C$32)*2,0)/2,"")</f>
        <v/>
      </c>
      <c r="N23" s="9">
        <f>IF(AND(A23&lt;&gt;"",N(B23)&gt;0),IF((1-Config!$C$5-Config!$C$19-Config!$C$32)&lt;=0,"MARGEM ALTA DEMAIS",ROUNDUP(K23/(1-Config!$C$5-Config!$C$19-Config!$C$32)*2,0)/2),"")</f>
        <v/>
      </c>
      <c r="O23" s="13" t="n"/>
      <c r="P23" s="9">
        <f>IF(AND(AND(A23&lt;&gt;"",N(B23)&gt;0),N(O23)&gt;0),O23*(1-Config!$C$20-Config!$C$32)-K23,"")</f>
        <v/>
      </c>
      <c r="Q23" s="9">
        <f>IF(P23="","",P23+J23)</f>
        <v/>
      </c>
      <c r="R23" s="12">
        <f>IF(P23="","",IF(O23&lt;L23,"PREJUÍZO: abaixo do mínimo",IF(O23&lt;M23,"Atenção: abaixo do sugerido","OK: preço saudável")))</f>
        <v/>
      </c>
    </row>
    <row r="24">
      <c r="A24" s="19" t="n"/>
      <c r="B24" s="7" t="n"/>
      <c r="C24" s="9">
        <f>IF(A24="","",SUMIF(Fichas!$A$4:$A$603,A24,Fichas!$E$4:$E$603))</f>
        <v/>
      </c>
      <c r="D24" s="13" t="n"/>
      <c r="E24" s="7" t="n"/>
      <c r="F24" s="7" t="n"/>
      <c r="G24" s="9">
        <f>IF(AND(A24&lt;&gt;"",N(B24)&gt;0),C24/B24,"")</f>
        <v/>
      </c>
      <c r="H24" s="9">
        <f>IF(AND(A24&lt;&gt;"",N(B24)&gt;0),N(E24)/60*Config!$C$8/B24,"")</f>
        <v/>
      </c>
      <c r="I24" s="9">
        <f>IF(AND(A24&lt;&gt;"",N(B24)&gt;0),G24+N(D24)+H24,"")</f>
        <v/>
      </c>
      <c r="J24" s="9">
        <f>IF(AND(A24&lt;&gt;"",N(B24)&gt;0),N(F24)/60*Config!$C$4/B24,"")</f>
        <v/>
      </c>
      <c r="K24" s="9">
        <f>IF(AND(A24&lt;&gt;"",N(B24)&gt;0),I24+J24,"")</f>
        <v/>
      </c>
      <c r="L24" s="9">
        <f>IF(AND(A24&lt;&gt;"",N(B24)&gt;0),ROUNDUP(K24/(1-Config!$C$20-Config!$C$32)*10,0)/10,"")</f>
        <v/>
      </c>
      <c r="M24" s="9">
        <f>IF(AND(A24&lt;&gt;"",N(B24)&gt;0),ROUNDUP(K24/(1-Config!$C$5-Config!$C$20-Config!$C$32)*2,0)/2,"")</f>
        <v/>
      </c>
      <c r="N24" s="9">
        <f>IF(AND(A24&lt;&gt;"",N(B24)&gt;0),IF((1-Config!$C$5-Config!$C$19-Config!$C$32)&lt;=0,"MARGEM ALTA DEMAIS",ROUNDUP(K24/(1-Config!$C$5-Config!$C$19-Config!$C$32)*2,0)/2),"")</f>
        <v/>
      </c>
      <c r="O24" s="13" t="n"/>
      <c r="P24" s="9">
        <f>IF(AND(AND(A24&lt;&gt;"",N(B24)&gt;0),N(O24)&gt;0),O24*(1-Config!$C$20-Config!$C$32)-K24,"")</f>
        <v/>
      </c>
      <c r="Q24" s="9">
        <f>IF(P24="","",P24+J24)</f>
        <v/>
      </c>
      <c r="R24" s="12">
        <f>IF(P24="","",IF(O24&lt;L24,"PREJUÍZO: abaixo do mínimo",IF(O24&lt;M24,"Atenção: abaixo do sugerido","OK: preço saudável")))</f>
        <v/>
      </c>
    </row>
    <row r="25">
      <c r="A25" s="19" t="n"/>
      <c r="B25" s="7" t="n"/>
      <c r="C25" s="9">
        <f>IF(A25="","",SUMIF(Fichas!$A$4:$A$603,A25,Fichas!$E$4:$E$603))</f>
        <v/>
      </c>
      <c r="D25" s="13" t="n"/>
      <c r="E25" s="7" t="n"/>
      <c r="F25" s="7" t="n"/>
      <c r="G25" s="9">
        <f>IF(AND(A25&lt;&gt;"",N(B25)&gt;0),C25/B25,"")</f>
        <v/>
      </c>
      <c r="H25" s="9">
        <f>IF(AND(A25&lt;&gt;"",N(B25)&gt;0),N(E25)/60*Config!$C$8/B25,"")</f>
        <v/>
      </c>
      <c r="I25" s="9">
        <f>IF(AND(A25&lt;&gt;"",N(B25)&gt;0),G25+N(D25)+H25,"")</f>
        <v/>
      </c>
      <c r="J25" s="9">
        <f>IF(AND(A25&lt;&gt;"",N(B25)&gt;0),N(F25)/60*Config!$C$4/B25,"")</f>
        <v/>
      </c>
      <c r="K25" s="9">
        <f>IF(AND(A25&lt;&gt;"",N(B25)&gt;0),I25+J25,"")</f>
        <v/>
      </c>
      <c r="L25" s="9">
        <f>IF(AND(A25&lt;&gt;"",N(B25)&gt;0),ROUNDUP(K25/(1-Config!$C$20-Config!$C$32)*10,0)/10,"")</f>
        <v/>
      </c>
      <c r="M25" s="9">
        <f>IF(AND(A25&lt;&gt;"",N(B25)&gt;0),ROUNDUP(K25/(1-Config!$C$5-Config!$C$20-Config!$C$32)*2,0)/2,"")</f>
        <v/>
      </c>
      <c r="N25" s="9">
        <f>IF(AND(A25&lt;&gt;"",N(B25)&gt;0),IF((1-Config!$C$5-Config!$C$19-Config!$C$32)&lt;=0,"MARGEM ALTA DEMAIS",ROUNDUP(K25/(1-Config!$C$5-Config!$C$19-Config!$C$32)*2,0)/2),"")</f>
        <v/>
      </c>
      <c r="O25" s="13" t="n"/>
      <c r="P25" s="9">
        <f>IF(AND(AND(A25&lt;&gt;"",N(B25)&gt;0),N(O25)&gt;0),O25*(1-Config!$C$20-Config!$C$32)-K25,"")</f>
        <v/>
      </c>
      <c r="Q25" s="9">
        <f>IF(P25="","",P25+J25)</f>
        <v/>
      </c>
      <c r="R25" s="12">
        <f>IF(P25="","",IF(O25&lt;L25,"PREJUÍZO: abaixo do mínimo",IF(O25&lt;M25,"Atenção: abaixo do sugerido","OK: preço saudável")))</f>
        <v/>
      </c>
    </row>
    <row r="26">
      <c r="A26" s="19" t="n"/>
      <c r="B26" s="7" t="n"/>
      <c r="C26" s="9">
        <f>IF(A26="","",SUMIF(Fichas!$A$4:$A$603,A26,Fichas!$E$4:$E$603))</f>
        <v/>
      </c>
      <c r="D26" s="13" t="n"/>
      <c r="E26" s="7" t="n"/>
      <c r="F26" s="7" t="n"/>
      <c r="G26" s="9">
        <f>IF(AND(A26&lt;&gt;"",N(B26)&gt;0),C26/B26,"")</f>
        <v/>
      </c>
      <c r="H26" s="9">
        <f>IF(AND(A26&lt;&gt;"",N(B26)&gt;0),N(E26)/60*Config!$C$8/B26,"")</f>
        <v/>
      </c>
      <c r="I26" s="9">
        <f>IF(AND(A26&lt;&gt;"",N(B26)&gt;0),G26+N(D26)+H26,"")</f>
        <v/>
      </c>
      <c r="J26" s="9">
        <f>IF(AND(A26&lt;&gt;"",N(B26)&gt;0),N(F26)/60*Config!$C$4/B26,"")</f>
        <v/>
      </c>
      <c r="K26" s="9">
        <f>IF(AND(A26&lt;&gt;"",N(B26)&gt;0),I26+J26,"")</f>
        <v/>
      </c>
      <c r="L26" s="9">
        <f>IF(AND(A26&lt;&gt;"",N(B26)&gt;0),ROUNDUP(K26/(1-Config!$C$20-Config!$C$32)*10,0)/10,"")</f>
        <v/>
      </c>
      <c r="M26" s="9">
        <f>IF(AND(A26&lt;&gt;"",N(B26)&gt;0),ROUNDUP(K26/(1-Config!$C$5-Config!$C$20-Config!$C$32)*2,0)/2,"")</f>
        <v/>
      </c>
      <c r="N26" s="9">
        <f>IF(AND(A26&lt;&gt;"",N(B26)&gt;0),IF((1-Config!$C$5-Config!$C$19-Config!$C$32)&lt;=0,"MARGEM ALTA DEMAIS",ROUNDUP(K26/(1-Config!$C$5-Config!$C$19-Config!$C$32)*2,0)/2),"")</f>
        <v/>
      </c>
      <c r="O26" s="13" t="n"/>
      <c r="P26" s="9">
        <f>IF(AND(AND(A26&lt;&gt;"",N(B26)&gt;0),N(O26)&gt;0),O26*(1-Config!$C$20-Config!$C$32)-K26,"")</f>
        <v/>
      </c>
      <c r="Q26" s="9">
        <f>IF(P26="","",P26+J26)</f>
        <v/>
      </c>
      <c r="R26" s="12">
        <f>IF(P26="","",IF(O26&lt;L26,"PREJUÍZO: abaixo do mínimo",IF(O26&lt;M26,"Atenção: abaixo do sugerido","OK: preço saudável")))</f>
        <v/>
      </c>
    </row>
    <row r="27">
      <c r="A27" s="19" t="n"/>
      <c r="B27" s="7" t="n"/>
      <c r="C27" s="9">
        <f>IF(A27="","",SUMIF(Fichas!$A$4:$A$603,A27,Fichas!$E$4:$E$603))</f>
        <v/>
      </c>
      <c r="D27" s="13" t="n"/>
      <c r="E27" s="7" t="n"/>
      <c r="F27" s="7" t="n"/>
      <c r="G27" s="9">
        <f>IF(AND(A27&lt;&gt;"",N(B27)&gt;0),C27/B27,"")</f>
        <v/>
      </c>
      <c r="H27" s="9">
        <f>IF(AND(A27&lt;&gt;"",N(B27)&gt;0),N(E27)/60*Config!$C$8/B27,"")</f>
        <v/>
      </c>
      <c r="I27" s="9">
        <f>IF(AND(A27&lt;&gt;"",N(B27)&gt;0),G27+N(D27)+H27,"")</f>
        <v/>
      </c>
      <c r="J27" s="9">
        <f>IF(AND(A27&lt;&gt;"",N(B27)&gt;0),N(F27)/60*Config!$C$4/B27,"")</f>
        <v/>
      </c>
      <c r="K27" s="9">
        <f>IF(AND(A27&lt;&gt;"",N(B27)&gt;0),I27+J27,"")</f>
        <v/>
      </c>
      <c r="L27" s="9">
        <f>IF(AND(A27&lt;&gt;"",N(B27)&gt;0),ROUNDUP(K27/(1-Config!$C$20-Config!$C$32)*10,0)/10,"")</f>
        <v/>
      </c>
      <c r="M27" s="9">
        <f>IF(AND(A27&lt;&gt;"",N(B27)&gt;0),ROUNDUP(K27/(1-Config!$C$5-Config!$C$20-Config!$C$32)*2,0)/2,"")</f>
        <v/>
      </c>
      <c r="N27" s="9">
        <f>IF(AND(A27&lt;&gt;"",N(B27)&gt;0),IF((1-Config!$C$5-Config!$C$19-Config!$C$32)&lt;=0,"MARGEM ALTA DEMAIS",ROUNDUP(K27/(1-Config!$C$5-Config!$C$19-Config!$C$32)*2,0)/2),"")</f>
        <v/>
      </c>
      <c r="O27" s="13" t="n"/>
      <c r="P27" s="9">
        <f>IF(AND(AND(A27&lt;&gt;"",N(B27)&gt;0),N(O27)&gt;0),O27*(1-Config!$C$20-Config!$C$32)-K27,"")</f>
        <v/>
      </c>
      <c r="Q27" s="9">
        <f>IF(P27="","",P27+J27)</f>
        <v/>
      </c>
      <c r="R27" s="12">
        <f>IF(P27="","",IF(O27&lt;L27,"PREJUÍZO: abaixo do mínimo",IF(O27&lt;M27,"Atenção: abaixo do sugerido","OK: preço saudável")))</f>
        <v/>
      </c>
    </row>
    <row r="28">
      <c r="A28" s="19" t="n"/>
      <c r="B28" s="7" t="n"/>
      <c r="C28" s="9">
        <f>IF(A28="","",SUMIF(Fichas!$A$4:$A$603,A28,Fichas!$E$4:$E$603))</f>
        <v/>
      </c>
      <c r="D28" s="13" t="n"/>
      <c r="E28" s="7" t="n"/>
      <c r="F28" s="7" t="n"/>
      <c r="G28" s="9">
        <f>IF(AND(A28&lt;&gt;"",N(B28)&gt;0),C28/B28,"")</f>
        <v/>
      </c>
      <c r="H28" s="9">
        <f>IF(AND(A28&lt;&gt;"",N(B28)&gt;0),N(E28)/60*Config!$C$8/B28,"")</f>
        <v/>
      </c>
      <c r="I28" s="9">
        <f>IF(AND(A28&lt;&gt;"",N(B28)&gt;0),G28+N(D28)+H28,"")</f>
        <v/>
      </c>
      <c r="J28" s="9">
        <f>IF(AND(A28&lt;&gt;"",N(B28)&gt;0),N(F28)/60*Config!$C$4/B28,"")</f>
        <v/>
      </c>
      <c r="K28" s="9">
        <f>IF(AND(A28&lt;&gt;"",N(B28)&gt;0),I28+J28,"")</f>
        <v/>
      </c>
      <c r="L28" s="9">
        <f>IF(AND(A28&lt;&gt;"",N(B28)&gt;0),ROUNDUP(K28/(1-Config!$C$20-Config!$C$32)*10,0)/10,"")</f>
        <v/>
      </c>
      <c r="M28" s="9">
        <f>IF(AND(A28&lt;&gt;"",N(B28)&gt;0),ROUNDUP(K28/(1-Config!$C$5-Config!$C$20-Config!$C$32)*2,0)/2,"")</f>
        <v/>
      </c>
      <c r="N28" s="9">
        <f>IF(AND(A28&lt;&gt;"",N(B28)&gt;0),IF((1-Config!$C$5-Config!$C$19-Config!$C$32)&lt;=0,"MARGEM ALTA DEMAIS",ROUNDUP(K28/(1-Config!$C$5-Config!$C$19-Config!$C$32)*2,0)/2),"")</f>
        <v/>
      </c>
      <c r="O28" s="13" t="n"/>
      <c r="P28" s="9">
        <f>IF(AND(AND(A28&lt;&gt;"",N(B28)&gt;0),N(O28)&gt;0),O28*(1-Config!$C$20-Config!$C$32)-K28,"")</f>
        <v/>
      </c>
      <c r="Q28" s="9">
        <f>IF(P28="","",P28+J28)</f>
        <v/>
      </c>
      <c r="R28" s="12">
        <f>IF(P28="","",IF(O28&lt;L28,"PREJUÍZO: abaixo do mínimo",IF(O28&lt;M28,"Atenção: abaixo do sugerido","OK: preço saudável")))</f>
        <v/>
      </c>
    </row>
    <row r="29">
      <c r="A29" s="19" t="n"/>
      <c r="B29" s="7" t="n"/>
      <c r="C29" s="9">
        <f>IF(A29="","",SUMIF(Fichas!$A$4:$A$603,A29,Fichas!$E$4:$E$603))</f>
        <v/>
      </c>
      <c r="D29" s="13" t="n"/>
      <c r="E29" s="7" t="n"/>
      <c r="F29" s="7" t="n"/>
      <c r="G29" s="9">
        <f>IF(AND(A29&lt;&gt;"",N(B29)&gt;0),C29/B29,"")</f>
        <v/>
      </c>
      <c r="H29" s="9">
        <f>IF(AND(A29&lt;&gt;"",N(B29)&gt;0),N(E29)/60*Config!$C$8/B29,"")</f>
        <v/>
      </c>
      <c r="I29" s="9">
        <f>IF(AND(A29&lt;&gt;"",N(B29)&gt;0),G29+N(D29)+H29,"")</f>
        <v/>
      </c>
      <c r="J29" s="9">
        <f>IF(AND(A29&lt;&gt;"",N(B29)&gt;0),N(F29)/60*Config!$C$4/B29,"")</f>
        <v/>
      </c>
      <c r="K29" s="9">
        <f>IF(AND(A29&lt;&gt;"",N(B29)&gt;0),I29+J29,"")</f>
        <v/>
      </c>
      <c r="L29" s="9">
        <f>IF(AND(A29&lt;&gt;"",N(B29)&gt;0),ROUNDUP(K29/(1-Config!$C$20-Config!$C$32)*10,0)/10,"")</f>
        <v/>
      </c>
      <c r="M29" s="9">
        <f>IF(AND(A29&lt;&gt;"",N(B29)&gt;0),ROUNDUP(K29/(1-Config!$C$5-Config!$C$20-Config!$C$32)*2,0)/2,"")</f>
        <v/>
      </c>
      <c r="N29" s="9">
        <f>IF(AND(A29&lt;&gt;"",N(B29)&gt;0),IF((1-Config!$C$5-Config!$C$19-Config!$C$32)&lt;=0,"MARGEM ALTA DEMAIS",ROUNDUP(K29/(1-Config!$C$5-Config!$C$19-Config!$C$32)*2,0)/2),"")</f>
        <v/>
      </c>
      <c r="O29" s="13" t="n"/>
      <c r="P29" s="9">
        <f>IF(AND(AND(A29&lt;&gt;"",N(B29)&gt;0),N(O29)&gt;0),O29*(1-Config!$C$20-Config!$C$32)-K29,"")</f>
        <v/>
      </c>
      <c r="Q29" s="9">
        <f>IF(P29="","",P29+J29)</f>
        <v/>
      </c>
      <c r="R29" s="12">
        <f>IF(P29="","",IF(O29&lt;L29,"PREJUÍZO: abaixo do mínimo",IF(O29&lt;M29,"Atenção: abaixo do sugerido","OK: preço saudável")))</f>
        <v/>
      </c>
    </row>
    <row r="30">
      <c r="A30" s="19" t="n"/>
      <c r="B30" s="7" t="n"/>
      <c r="C30" s="9">
        <f>IF(A30="","",SUMIF(Fichas!$A$4:$A$603,A30,Fichas!$E$4:$E$603))</f>
        <v/>
      </c>
      <c r="D30" s="13" t="n"/>
      <c r="E30" s="7" t="n"/>
      <c r="F30" s="7" t="n"/>
      <c r="G30" s="9">
        <f>IF(AND(A30&lt;&gt;"",N(B30)&gt;0),C30/B30,"")</f>
        <v/>
      </c>
      <c r="H30" s="9">
        <f>IF(AND(A30&lt;&gt;"",N(B30)&gt;0),N(E30)/60*Config!$C$8/B30,"")</f>
        <v/>
      </c>
      <c r="I30" s="9">
        <f>IF(AND(A30&lt;&gt;"",N(B30)&gt;0),G30+N(D30)+H30,"")</f>
        <v/>
      </c>
      <c r="J30" s="9">
        <f>IF(AND(A30&lt;&gt;"",N(B30)&gt;0),N(F30)/60*Config!$C$4/B30,"")</f>
        <v/>
      </c>
      <c r="K30" s="9">
        <f>IF(AND(A30&lt;&gt;"",N(B30)&gt;0),I30+J30,"")</f>
        <v/>
      </c>
      <c r="L30" s="9">
        <f>IF(AND(A30&lt;&gt;"",N(B30)&gt;0),ROUNDUP(K30/(1-Config!$C$20-Config!$C$32)*10,0)/10,"")</f>
        <v/>
      </c>
      <c r="M30" s="9">
        <f>IF(AND(A30&lt;&gt;"",N(B30)&gt;0),ROUNDUP(K30/(1-Config!$C$5-Config!$C$20-Config!$C$32)*2,0)/2,"")</f>
        <v/>
      </c>
      <c r="N30" s="9">
        <f>IF(AND(A30&lt;&gt;"",N(B30)&gt;0),IF((1-Config!$C$5-Config!$C$19-Config!$C$32)&lt;=0,"MARGEM ALTA DEMAIS",ROUNDUP(K30/(1-Config!$C$5-Config!$C$19-Config!$C$32)*2,0)/2),"")</f>
        <v/>
      </c>
      <c r="O30" s="13" t="n"/>
      <c r="P30" s="9">
        <f>IF(AND(AND(A30&lt;&gt;"",N(B30)&gt;0),N(O30)&gt;0),O30*(1-Config!$C$20-Config!$C$32)-K30,"")</f>
        <v/>
      </c>
      <c r="Q30" s="9">
        <f>IF(P30="","",P30+J30)</f>
        <v/>
      </c>
      <c r="R30" s="12">
        <f>IF(P30="","",IF(O30&lt;L30,"PREJUÍZO: abaixo do mínimo",IF(O30&lt;M30,"Atenção: abaixo do sugerido","OK: preço saudável")))</f>
        <v/>
      </c>
    </row>
    <row r="31">
      <c r="A31" s="19" t="n"/>
      <c r="B31" s="7" t="n"/>
      <c r="C31" s="9">
        <f>IF(A31="","",SUMIF(Fichas!$A$4:$A$603,A31,Fichas!$E$4:$E$603))</f>
        <v/>
      </c>
      <c r="D31" s="13" t="n"/>
      <c r="E31" s="7" t="n"/>
      <c r="F31" s="7" t="n"/>
      <c r="G31" s="9">
        <f>IF(AND(A31&lt;&gt;"",N(B31)&gt;0),C31/B31,"")</f>
        <v/>
      </c>
      <c r="H31" s="9">
        <f>IF(AND(A31&lt;&gt;"",N(B31)&gt;0),N(E31)/60*Config!$C$8/B31,"")</f>
        <v/>
      </c>
      <c r="I31" s="9">
        <f>IF(AND(A31&lt;&gt;"",N(B31)&gt;0),G31+N(D31)+H31,"")</f>
        <v/>
      </c>
      <c r="J31" s="9">
        <f>IF(AND(A31&lt;&gt;"",N(B31)&gt;0),N(F31)/60*Config!$C$4/B31,"")</f>
        <v/>
      </c>
      <c r="K31" s="9">
        <f>IF(AND(A31&lt;&gt;"",N(B31)&gt;0),I31+J31,"")</f>
        <v/>
      </c>
      <c r="L31" s="9">
        <f>IF(AND(A31&lt;&gt;"",N(B31)&gt;0),ROUNDUP(K31/(1-Config!$C$20-Config!$C$32)*10,0)/10,"")</f>
        <v/>
      </c>
      <c r="M31" s="9">
        <f>IF(AND(A31&lt;&gt;"",N(B31)&gt;0),ROUNDUP(K31/(1-Config!$C$5-Config!$C$20-Config!$C$32)*2,0)/2,"")</f>
        <v/>
      </c>
      <c r="N31" s="9">
        <f>IF(AND(A31&lt;&gt;"",N(B31)&gt;0),IF((1-Config!$C$5-Config!$C$19-Config!$C$32)&lt;=0,"MARGEM ALTA DEMAIS",ROUNDUP(K31/(1-Config!$C$5-Config!$C$19-Config!$C$32)*2,0)/2),"")</f>
        <v/>
      </c>
      <c r="O31" s="13" t="n"/>
      <c r="P31" s="9">
        <f>IF(AND(AND(A31&lt;&gt;"",N(B31)&gt;0),N(O31)&gt;0),O31*(1-Config!$C$20-Config!$C$32)-K31,"")</f>
        <v/>
      </c>
      <c r="Q31" s="9">
        <f>IF(P31="","",P31+J31)</f>
        <v/>
      </c>
      <c r="R31" s="12">
        <f>IF(P31="","",IF(O31&lt;L31,"PREJUÍZO: abaixo do mínimo",IF(O31&lt;M31,"Atenção: abaixo do sugerido","OK: preço saudável")))</f>
        <v/>
      </c>
    </row>
    <row r="32">
      <c r="A32" s="19" t="n"/>
      <c r="B32" s="7" t="n"/>
      <c r="C32" s="9">
        <f>IF(A32="","",SUMIF(Fichas!$A$4:$A$603,A32,Fichas!$E$4:$E$603))</f>
        <v/>
      </c>
      <c r="D32" s="13" t="n"/>
      <c r="E32" s="7" t="n"/>
      <c r="F32" s="7" t="n"/>
      <c r="G32" s="9">
        <f>IF(AND(A32&lt;&gt;"",N(B32)&gt;0),C32/B32,"")</f>
        <v/>
      </c>
      <c r="H32" s="9">
        <f>IF(AND(A32&lt;&gt;"",N(B32)&gt;0),N(E32)/60*Config!$C$8/B32,"")</f>
        <v/>
      </c>
      <c r="I32" s="9">
        <f>IF(AND(A32&lt;&gt;"",N(B32)&gt;0),G32+N(D32)+H32,"")</f>
        <v/>
      </c>
      <c r="J32" s="9">
        <f>IF(AND(A32&lt;&gt;"",N(B32)&gt;0),N(F32)/60*Config!$C$4/B32,"")</f>
        <v/>
      </c>
      <c r="K32" s="9">
        <f>IF(AND(A32&lt;&gt;"",N(B32)&gt;0),I32+J32,"")</f>
        <v/>
      </c>
      <c r="L32" s="9">
        <f>IF(AND(A32&lt;&gt;"",N(B32)&gt;0),ROUNDUP(K32/(1-Config!$C$20-Config!$C$32)*10,0)/10,"")</f>
        <v/>
      </c>
      <c r="M32" s="9">
        <f>IF(AND(A32&lt;&gt;"",N(B32)&gt;0),ROUNDUP(K32/(1-Config!$C$5-Config!$C$20-Config!$C$32)*2,0)/2,"")</f>
        <v/>
      </c>
      <c r="N32" s="9">
        <f>IF(AND(A32&lt;&gt;"",N(B32)&gt;0),IF((1-Config!$C$5-Config!$C$19-Config!$C$32)&lt;=0,"MARGEM ALTA DEMAIS",ROUNDUP(K32/(1-Config!$C$5-Config!$C$19-Config!$C$32)*2,0)/2),"")</f>
        <v/>
      </c>
      <c r="O32" s="13" t="n"/>
      <c r="P32" s="9">
        <f>IF(AND(AND(A32&lt;&gt;"",N(B32)&gt;0),N(O32)&gt;0),O32*(1-Config!$C$20-Config!$C$32)-K32,"")</f>
        <v/>
      </c>
      <c r="Q32" s="9">
        <f>IF(P32="","",P32+J32)</f>
        <v/>
      </c>
      <c r="R32" s="12">
        <f>IF(P32="","",IF(O32&lt;L32,"PREJUÍZO: abaixo do mínimo",IF(O32&lt;M32,"Atenção: abaixo do sugerido","OK: preço saudável")))</f>
        <v/>
      </c>
    </row>
    <row r="33">
      <c r="A33" s="19" t="n"/>
      <c r="B33" s="7" t="n"/>
      <c r="C33" s="9">
        <f>IF(A33="","",SUMIF(Fichas!$A$4:$A$603,A33,Fichas!$E$4:$E$603))</f>
        <v/>
      </c>
      <c r="D33" s="13" t="n"/>
      <c r="E33" s="7" t="n"/>
      <c r="F33" s="7" t="n"/>
      <c r="G33" s="9">
        <f>IF(AND(A33&lt;&gt;"",N(B33)&gt;0),C33/B33,"")</f>
        <v/>
      </c>
      <c r="H33" s="9">
        <f>IF(AND(A33&lt;&gt;"",N(B33)&gt;0),N(E33)/60*Config!$C$8/B33,"")</f>
        <v/>
      </c>
      <c r="I33" s="9">
        <f>IF(AND(A33&lt;&gt;"",N(B33)&gt;0),G33+N(D33)+H33,"")</f>
        <v/>
      </c>
      <c r="J33" s="9">
        <f>IF(AND(A33&lt;&gt;"",N(B33)&gt;0),N(F33)/60*Config!$C$4/B33,"")</f>
        <v/>
      </c>
      <c r="K33" s="9">
        <f>IF(AND(A33&lt;&gt;"",N(B33)&gt;0),I33+J33,"")</f>
        <v/>
      </c>
      <c r="L33" s="9">
        <f>IF(AND(A33&lt;&gt;"",N(B33)&gt;0),ROUNDUP(K33/(1-Config!$C$20-Config!$C$32)*10,0)/10,"")</f>
        <v/>
      </c>
      <c r="M33" s="9">
        <f>IF(AND(A33&lt;&gt;"",N(B33)&gt;0),ROUNDUP(K33/(1-Config!$C$5-Config!$C$20-Config!$C$32)*2,0)/2,"")</f>
        <v/>
      </c>
      <c r="N33" s="9">
        <f>IF(AND(A33&lt;&gt;"",N(B33)&gt;0),IF((1-Config!$C$5-Config!$C$19-Config!$C$32)&lt;=0,"MARGEM ALTA DEMAIS",ROUNDUP(K33/(1-Config!$C$5-Config!$C$19-Config!$C$32)*2,0)/2),"")</f>
        <v/>
      </c>
      <c r="O33" s="13" t="n"/>
      <c r="P33" s="9">
        <f>IF(AND(AND(A33&lt;&gt;"",N(B33)&gt;0),N(O33)&gt;0),O33*(1-Config!$C$20-Config!$C$32)-K33,"")</f>
        <v/>
      </c>
      <c r="Q33" s="9">
        <f>IF(P33="","",P33+J33)</f>
        <v/>
      </c>
      <c r="R33" s="12">
        <f>IF(P33="","",IF(O33&lt;L33,"PREJUÍZO: abaixo do mínimo",IF(O33&lt;M33,"Atenção: abaixo do sugerido","OK: preço saudável")))</f>
        <v/>
      </c>
    </row>
    <row r="34">
      <c r="A34" s="19" t="n"/>
      <c r="B34" s="7" t="n"/>
      <c r="C34" s="9">
        <f>IF(A34="","",SUMIF(Fichas!$A$4:$A$603,A34,Fichas!$E$4:$E$603))</f>
        <v/>
      </c>
      <c r="D34" s="13" t="n"/>
      <c r="E34" s="7" t="n"/>
      <c r="F34" s="7" t="n"/>
      <c r="G34" s="9">
        <f>IF(AND(A34&lt;&gt;"",N(B34)&gt;0),C34/B34,"")</f>
        <v/>
      </c>
      <c r="H34" s="9">
        <f>IF(AND(A34&lt;&gt;"",N(B34)&gt;0),N(E34)/60*Config!$C$8/B34,"")</f>
        <v/>
      </c>
      <c r="I34" s="9">
        <f>IF(AND(A34&lt;&gt;"",N(B34)&gt;0),G34+N(D34)+H34,"")</f>
        <v/>
      </c>
      <c r="J34" s="9">
        <f>IF(AND(A34&lt;&gt;"",N(B34)&gt;0),N(F34)/60*Config!$C$4/B34,"")</f>
        <v/>
      </c>
      <c r="K34" s="9">
        <f>IF(AND(A34&lt;&gt;"",N(B34)&gt;0),I34+J34,"")</f>
        <v/>
      </c>
      <c r="L34" s="9">
        <f>IF(AND(A34&lt;&gt;"",N(B34)&gt;0),ROUNDUP(K34/(1-Config!$C$20-Config!$C$32)*10,0)/10,"")</f>
        <v/>
      </c>
      <c r="M34" s="9">
        <f>IF(AND(A34&lt;&gt;"",N(B34)&gt;0),ROUNDUP(K34/(1-Config!$C$5-Config!$C$20-Config!$C$32)*2,0)/2,"")</f>
        <v/>
      </c>
      <c r="N34" s="9">
        <f>IF(AND(A34&lt;&gt;"",N(B34)&gt;0),IF((1-Config!$C$5-Config!$C$19-Config!$C$32)&lt;=0,"MARGEM ALTA DEMAIS",ROUNDUP(K34/(1-Config!$C$5-Config!$C$19-Config!$C$32)*2,0)/2),"")</f>
        <v/>
      </c>
      <c r="O34" s="13" t="n"/>
      <c r="P34" s="9">
        <f>IF(AND(AND(A34&lt;&gt;"",N(B34)&gt;0),N(O34)&gt;0),O34*(1-Config!$C$20-Config!$C$32)-K34,"")</f>
        <v/>
      </c>
      <c r="Q34" s="9">
        <f>IF(P34="","",P34+J34)</f>
        <v/>
      </c>
      <c r="R34" s="12">
        <f>IF(P34="","",IF(O34&lt;L34,"PREJUÍZO: abaixo do mínimo",IF(O34&lt;M34,"Atenção: abaixo do sugerido","OK: preço saudável")))</f>
        <v/>
      </c>
    </row>
    <row r="35">
      <c r="A35" s="19" t="n"/>
      <c r="B35" s="7" t="n"/>
      <c r="C35" s="9">
        <f>IF(A35="","",SUMIF(Fichas!$A$4:$A$603,A35,Fichas!$E$4:$E$603))</f>
        <v/>
      </c>
      <c r="D35" s="13" t="n"/>
      <c r="E35" s="7" t="n"/>
      <c r="F35" s="7" t="n"/>
      <c r="G35" s="9">
        <f>IF(AND(A35&lt;&gt;"",N(B35)&gt;0),C35/B35,"")</f>
        <v/>
      </c>
      <c r="H35" s="9">
        <f>IF(AND(A35&lt;&gt;"",N(B35)&gt;0),N(E35)/60*Config!$C$8/B35,"")</f>
        <v/>
      </c>
      <c r="I35" s="9">
        <f>IF(AND(A35&lt;&gt;"",N(B35)&gt;0),G35+N(D35)+H35,"")</f>
        <v/>
      </c>
      <c r="J35" s="9">
        <f>IF(AND(A35&lt;&gt;"",N(B35)&gt;0),N(F35)/60*Config!$C$4/B35,"")</f>
        <v/>
      </c>
      <c r="K35" s="9">
        <f>IF(AND(A35&lt;&gt;"",N(B35)&gt;0),I35+J35,"")</f>
        <v/>
      </c>
      <c r="L35" s="9">
        <f>IF(AND(A35&lt;&gt;"",N(B35)&gt;0),ROUNDUP(K35/(1-Config!$C$20-Config!$C$32)*10,0)/10,"")</f>
        <v/>
      </c>
      <c r="M35" s="9">
        <f>IF(AND(A35&lt;&gt;"",N(B35)&gt;0),ROUNDUP(K35/(1-Config!$C$5-Config!$C$20-Config!$C$32)*2,0)/2,"")</f>
        <v/>
      </c>
      <c r="N35" s="9">
        <f>IF(AND(A35&lt;&gt;"",N(B35)&gt;0),IF((1-Config!$C$5-Config!$C$19-Config!$C$32)&lt;=0,"MARGEM ALTA DEMAIS",ROUNDUP(K35/(1-Config!$C$5-Config!$C$19-Config!$C$32)*2,0)/2),"")</f>
        <v/>
      </c>
      <c r="O35" s="13" t="n"/>
      <c r="P35" s="9">
        <f>IF(AND(AND(A35&lt;&gt;"",N(B35)&gt;0),N(O35)&gt;0),O35*(1-Config!$C$20-Config!$C$32)-K35,"")</f>
        <v/>
      </c>
      <c r="Q35" s="9">
        <f>IF(P35="","",P35+J35)</f>
        <v/>
      </c>
      <c r="R35" s="12">
        <f>IF(P35="","",IF(O35&lt;L35,"PREJUÍZO: abaixo do mínimo",IF(O35&lt;M35,"Atenção: abaixo do sugerido","OK: preço saudável")))</f>
        <v/>
      </c>
    </row>
    <row r="36">
      <c r="A36" s="19" t="n"/>
      <c r="B36" s="7" t="n"/>
      <c r="C36" s="9">
        <f>IF(A36="","",SUMIF(Fichas!$A$4:$A$603,A36,Fichas!$E$4:$E$603))</f>
        <v/>
      </c>
      <c r="D36" s="13" t="n"/>
      <c r="E36" s="7" t="n"/>
      <c r="F36" s="7" t="n"/>
      <c r="G36" s="9">
        <f>IF(AND(A36&lt;&gt;"",N(B36)&gt;0),C36/B36,"")</f>
        <v/>
      </c>
      <c r="H36" s="9">
        <f>IF(AND(A36&lt;&gt;"",N(B36)&gt;0),N(E36)/60*Config!$C$8/B36,"")</f>
        <v/>
      </c>
      <c r="I36" s="9">
        <f>IF(AND(A36&lt;&gt;"",N(B36)&gt;0),G36+N(D36)+H36,"")</f>
        <v/>
      </c>
      <c r="J36" s="9">
        <f>IF(AND(A36&lt;&gt;"",N(B36)&gt;0),N(F36)/60*Config!$C$4/B36,"")</f>
        <v/>
      </c>
      <c r="K36" s="9">
        <f>IF(AND(A36&lt;&gt;"",N(B36)&gt;0),I36+J36,"")</f>
        <v/>
      </c>
      <c r="L36" s="9">
        <f>IF(AND(A36&lt;&gt;"",N(B36)&gt;0),ROUNDUP(K36/(1-Config!$C$20-Config!$C$32)*10,0)/10,"")</f>
        <v/>
      </c>
      <c r="M36" s="9">
        <f>IF(AND(A36&lt;&gt;"",N(B36)&gt;0),ROUNDUP(K36/(1-Config!$C$5-Config!$C$20-Config!$C$32)*2,0)/2,"")</f>
        <v/>
      </c>
      <c r="N36" s="9">
        <f>IF(AND(A36&lt;&gt;"",N(B36)&gt;0),IF((1-Config!$C$5-Config!$C$19-Config!$C$32)&lt;=0,"MARGEM ALTA DEMAIS",ROUNDUP(K36/(1-Config!$C$5-Config!$C$19-Config!$C$32)*2,0)/2),"")</f>
        <v/>
      </c>
      <c r="O36" s="13" t="n"/>
      <c r="P36" s="9">
        <f>IF(AND(AND(A36&lt;&gt;"",N(B36)&gt;0),N(O36)&gt;0),O36*(1-Config!$C$20-Config!$C$32)-K36,"")</f>
        <v/>
      </c>
      <c r="Q36" s="9">
        <f>IF(P36="","",P36+J36)</f>
        <v/>
      </c>
      <c r="R36" s="12">
        <f>IF(P36="","",IF(O36&lt;L36,"PREJUÍZO: abaixo do mínimo",IF(O36&lt;M36,"Atenção: abaixo do sugerido","OK: preço saudável")))</f>
        <v/>
      </c>
    </row>
    <row r="37">
      <c r="A37" s="19" t="n"/>
      <c r="B37" s="7" t="n"/>
      <c r="C37" s="9">
        <f>IF(A37="","",SUMIF(Fichas!$A$4:$A$603,A37,Fichas!$E$4:$E$603))</f>
        <v/>
      </c>
      <c r="D37" s="13" t="n"/>
      <c r="E37" s="7" t="n"/>
      <c r="F37" s="7" t="n"/>
      <c r="G37" s="9">
        <f>IF(AND(A37&lt;&gt;"",N(B37)&gt;0),C37/B37,"")</f>
        <v/>
      </c>
      <c r="H37" s="9">
        <f>IF(AND(A37&lt;&gt;"",N(B37)&gt;0),N(E37)/60*Config!$C$8/B37,"")</f>
        <v/>
      </c>
      <c r="I37" s="9">
        <f>IF(AND(A37&lt;&gt;"",N(B37)&gt;0),G37+N(D37)+H37,"")</f>
        <v/>
      </c>
      <c r="J37" s="9">
        <f>IF(AND(A37&lt;&gt;"",N(B37)&gt;0),N(F37)/60*Config!$C$4/B37,"")</f>
        <v/>
      </c>
      <c r="K37" s="9">
        <f>IF(AND(A37&lt;&gt;"",N(B37)&gt;0),I37+J37,"")</f>
        <v/>
      </c>
      <c r="L37" s="9">
        <f>IF(AND(A37&lt;&gt;"",N(B37)&gt;0),ROUNDUP(K37/(1-Config!$C$20-Config!$C$32)*10,0)/10,"")</f>
        <v/>
      </c>
      <c r="M37" s="9">
        <f>IF(AND(A37&lt;&gt;"",N(B37)&gt;0),ROUNDUP(K37/(1-Config!$C$5-Config!$C$20-Config!$C$32)*2,0)/2,"")</f>
        <v/>
      </c>
      <c r="N37" s="9">
        <f>IF(AND(A37&lt;&gt;"",N(B37)&gt;0),IF((1-Config!$C$5-Config!$C$19-Config!$C$32)&lt;=0,"MARGEM ALTA DEMAIS",ROUNDUP(K37/(1-Config!$C$5-Config!$C$19-Config!$C$32)*2,0)/2),"")</f>
        <v/>
      </c>
      <c r="O37" s="13" t="n"/>
      <c r="P37" s="9">
        <f>IF(AND(AND(A37&lt;&gt;"",N(B37)&gt;0),N(O37)&gt;0),O37*(1-Config!$C$20-Config!$C$32)-K37,"")</f>
        <v/>
      </c>
      <c r="Q37" s="9">
        <f>IF(P37="","",P37+J37)</f>
        <v/>
      </c>
      <c r="R37" s="12">
        <f>IF(P37="","",IF(O37&lt;L37,"PREJUÍZO: abaixo do mínimo",IF(O37&lt;M37,"Atenção: abaixo do sugerido","OK: preço saudável")))</f>
        <v/>
      </c>
    </row>
    <row r="38">
      <c r="A38" s="19" t="n"/>
      <c r="B38" s="7" t="n"/>
      <c r="C38" s="9">
        <f>IF(A38="","",SUMIF(Fichas!$A$4:$A$603,A38,Fichas!$E$4:$E$603))</f>
        <v/>
      </c>
      <c r="D38" s="13" t="n"/>
      <c r="E38" s="7" t="n"/>
      <c r="F38" s="7" t="n"/>
      <c r="G38" s="9">
        <f>IF(AND(A38&lt;&gt;"",N(B38)&gt;0),C38/B38,"")</f>
        <v/>
      </c>
      <c r="H38" s="9">
        <f>IF(AND(A38&lt;&gt;"",N(B38)&gt;0),N(E38)/60*Config!$C$8/B38,"")</f>
        <v/>
      </c>
      <c r="I38" s="9">
        <f>IF(AND(A38&lt;&gt;"",N(B38)&gt;0),G38+N(D38)+H38,"")</f>
        <v/>
      </c>
      <c r="J38" s="9">
        <f>IF(AND(A38&lt;&gt;"",N(B38)&gt;0),N(F38)/60*Config!$C$4/B38,"")</f>
        <v/>
      </c>
      <c r="K38" s="9">
        <f>IF(AND(A38&lt;&gt;"",N(B38)&gt;0),I38+J38,"")</f>
        <v/>
      </c>
      <c r="L38" s="9">
        <f>IF(AND(A38&lt;&gt;"",N(B38)&gt;0),ROUNDUP(K38/(1-Config!$C$20-Config!$C$32)*10,0)/10,"")</f>
        <v/>
      </c>
      <c r="M38" s="9">
        <f>IF(AND(A38&lt;&gt;"",N(B38)&gt;0),ROUNDUP(K38/(1-Config!$C$5-Config!$C$20-Config!$C$32)*2,0)/2,"")</f>
        <v/>
      </c>
      <c r="N38" s="9">
        <f>IF(AND(A38&lt;&gt;"",N(B38)&gt;0),IF((1-Config!$C$5-Config!$C$19-Config!$C$32)&lt;=0,"MARGEM ALTA DEMAIS",ROUNDUP(K38/(1-Config!$C$5-Config!$C$19-Config!$C$32)*2,0)/2),"")</f>
        <v/>
      </c>
      <c r="O38" s="13" t="n"/>
      <c r="P38" s="9">
        <f>IF(AND(AND(A38&lt;&gt;"",N(B38)&gt;0),N(O38)&gt;0),O38*(1-Config!$C$20-Config!$C$32)-K38,"")</f>
        <v/>
      </c>
      <c r="Q38" s="9">
        <f>IF(P38="","",P38+J38)</f>
        <v/>
      </c>
      <c r="R38" s="12">
        <f>IF(P38="","",IF(O38&lt;L38,"PREJUÍZO: abaixo do mínimo",IF(O38&lt;M38,"Atenção: abaixo do sugerido","OK: preço saudável")))</f>
        <v/>
      </c>
    </row>
    <row r="39">
      <c r="A39" s="19" t="n"/>
      <c r="B39" s="7" t="n"/>
      <c r="C39" s="9">
        <f>IF(A39="","",SUMIF(Fichas!$A$4:$A$603,A39,Fichas!$E$4:$E$603))</f>
        <v/>
      </c>
      <c r="D39" s="13" t="n"/>
      <c r="E39" s="7" t="n"/>
      <c r="F39" s="7" t="n"/>
      <c r="G39" s="9">
        <f>IF(AND(A39&lt;&gt;"",N(B39)&gt;0),C39/B39,"")</f>
        <v/>
      </c>
      <c r="H39" s="9">
        <f>IF(AND(A39&lt;&gt;"",N(B39)&gt;0),N(E39)/60*Config!$C$8/B39,"")</f>
        <v/>
      </c>
      <c r="I39" s="9">
        <f>IF(AND(A39&lt;&gt;"",N(B39)&gt;0),G39+N(D39)+H39,"")</f>
        <v/>
      </c>
      <c r="J39" s="9">
        <f>IF(AND(A39&lt;&gt;"",N(B39)&gt;0),N(F39)/60*Config!$C$4/B39,"")</f>
        <v/>
      </c>
      <c r="K39" s="9">
        <f>IF(AND(A39&lt;&gt;"",N(B39)&gt;0),I39+J39,"")</f>
        <v/>
      </c>
      <c r="L39" s="9">
        <f>IF(AND(A39&lt;&gt;"",N(B39)&gt;0),ROUNDUP(K39/(1-Config!$C$20-Config!$C$32)*10,0)/10,"")</f>
        <v/>
      </c>
      <c r="M39" s="9">
        <f>IF(AND(A39&lt;&gt;"",N(B39)&gt;0),ROUNDUP(K39/(1-Config!$C$5-Config!$C$20-Config!$C$32)*2,0)/2,"")</f>
        <v/>
      </c>
      <c r="N39" s="9">
        <f>IF(AND(A39&lt;&gt;"",N(B39)&gt;0),IF((1-Config!$C$5-Config!$C$19-Config!$C$32)&lt;=0,"MARGEM ALTA DEMAIS",ROUNDUP(K39/(1-Config!$C$5-Config!$C$19-Config!$C$32)*2,0)/2),"")</f>
        <v/>
      </c>
      <c r="O39" s="13" t="n"/>
      <c r="P39" s="9">
        <f>IF(AND(AND(A39&lt;&gt;"",N(B39)&gt;0),N(O39)&gt;0),O39*(1-Config!$C$20-Config!$C$32)-K39,"")</f>
        <v/>
      </c>
      <c r="Q39" s="9">
        <f>IF(P39="","",P39+J39)</f>
        <v/>
      </c>
      <c r="R39" s="12">
        <f>IF(P39="","",IF(O39&lt;L39,"PREJUÍZO: abaixo do mínimo",IF(O39&lt;M39,"Atenção: abaixo do sugerido","OK: preço saudável")))</f>
        <v/>
      </c>
    </row>
    <row r="40">
      <c r="A40" s="19" t="n"/>
      <c r="B40" s="7" t="n"/>
      <c r="C40" s="9">
        <f>IF(A40="","",SUMIF(Fichas!$A$4:$A$603,A40,Fichas!$E$4:$E$603))</f>
        <v/>
      </c>
      <c r="D40" s="13" t="n"/>
      <c r="E40" s="7" t="n"/>
      <c r="F40" s="7" t="n"/>
      <c r="G40" s="9">
        <f>IF(AND(A40&lt;&gt;"",N(B40)&gt;0),C40/B40,"")</f>
        <v/>
      </c>
      <c r="H40" s="9">
        <f>IF(AND(A40&lt;&gt;"",N(B40)&gt;0),N(E40)/60*Config!$C$8/B40,"")</f>
        <v/>
      </c>
      <c r="I40" s="9">
        <f>IF(AND(A40&lt;&gt;"",N(B40)&gt;0),G40+N(D40)+H40,"")</f>
        <v/>
      </c>
      <c r="J40" s="9">
        <f>IF(AND(A40&lt;&gt;"",N(B40)&gt;0),N(F40)/60*Config!$C$4/B40,"")</f>
        <v/>
      </c>
      <c r="K40" s="9">
        <f>IF(AND(A40&lt;&gt;"",N(B40)&gt;0),I40+J40,"")</f>
        <v/>
      </c>
      <c r="L40" s="9">
        <f>IF(AND(A40&lt;&gt;"",N(B40)&gt;0),ROUNDUP(K40/(1-Config!$C$20-Config!$C$32)*10,0)/10,"")</f>
        <v/>
      </c>
      <c r="M40" s="9">
        <f>IF(AND(A40&lt;&gt;"",N(B40)&gt;0),ROUNDUP(K40/(1-Config!$C$5-Config!$C$20-Config!$C$32)*2,0)/2,"")</f>
        <v/>
      </c>
      <c r="N40" s="9">
        <f>IF(AND(A40&lt;&gt;"",N(B40)&gt;0),IF((1-Config!$C$5-Config!$C$19-Config!$C$32)&lt;=0,"MARGEM ALTA DEMAIS",ROUNDUP(K40/(1-Config!$C$5-Config!$C$19-Config!$C$32)*2,0)/2),"")</f>
        <v/>
      </c>
      <c r="O40" s="13" t="n"/>
      <c r="P40" s="9">
        <f>IF(AND(AND(A40&lt;&gt;"",N(B40)&gt;0),N(O40)&gt;0),O40*(1-Config!$C$20-Config!$C$32)-K40,"")</f>
        <v/>
      </c>
      <c r="Q40" s="9">
        <f>IF(P40="","",P40+J40)</f>
        <v/>
      </c>
      <c r="R40" s="12">
        <f>IF(P40="","",IF(O40&lt;L40,"PREJUÍZO: abaixo do mínimo",IF(O40&lt;M40,"Atenção: abaixo do sugerido","OK: preço saudável")))</f>
        <v/>
      </c>
    </row>
    <row r="41">
      <c r="A41" s="19" t="n"/>
      <c r="B41" s="7" t="n"/>
      <c r="C41" s="9">
        <f>IF(A41="","",SUMIF(Fichas!$A$4:$A$603,A41,Fichas!$E$4:$E$603))</f>
        <v/>
      </c>
      <c r="D41" s="13" t="n"/>
      <c r="E41" s="7" t="n"/>
      <c r="F41" s="7" t="n"/>
      <c r="G41" s="9">
        <f>IF(AND(A41&lt;&gt;"",N(B41)&gt;0),C41/B41,"")</f>
        <v/>
      </c>
      <c r="H41" s="9">
        <f>IF(AND(A41&lt;&gt;"",N(B41)&gt;0),N(E41)/60*Config!$C$8/B41,"")</f>
        <v/>
      </c>
      <c r="I41" s="9">
        <f>IF(AND(A41&lt;&gt;"",N(B41)&gt;0),G41+N(D41)+H41,"")</f>
        <v/>
      </c>
      <c r="J41" s="9">
        <f>IF(AND(A41&lt;&gt;"",N(B41)&gt;0),N(F41)/60*Config!$C$4/B41,"")</f>
        <v/>
      </c>
      <c r="K41" s="9">
        <f>IF(AND(A41&lt;&gt;"",N(B41)&gt;0),I41+J41,"")</f>
        <v/>
      </c>
      <c r="L41" s="9">
        <f>IF(AND(A41&lt;&gt;"",N(B41)&gt;0),ROUNDUP(K41/(1-Config!$C$20-Config!$C$32)*10,0)/10,"")</f>
        <v/>
      </c>
      <c r="M41" s="9">
        <f>IF(AND(A41&lt;&gt;"",N(B41)&gt;0),ROUNDUP(K41/(1-Config!$C$5-Config!$C$20-Config!$C$32)*2,0)/2,"")</f>
        <v/>
      </c>
      <c r="N41" s="9">
        <f>IF(AND(A41&lt;&gt;"",N(B41)&gt;0),IF((1-Config!$C$5-Config!$C$19-Config!$C$32)&lt;=0,"MARGEM ALTA DEMAIS",ROUNDUP(K41/(1-Config!$C$5-Config!$C$19-Config!$C$32)*2,0)/2),"")</f>
        <v/>
      </c>
      <c r="O41" s="13" t="n"/>
      <c r="P41" s="9">
        <f>IF(AND(AND(A41&lt;&gt;"",N(B41)&gt;0),N(O41)&gt;0),O41*(1-Config!$C$20-Config!$C$32)-K41,"")</f>
        <v/>
      </c>
      <c r="Q41" s="9">
        <f>IF(P41="","",P41+J41)</f>
        <v/>
      </c>
      <c r="R41" s="12">
        <f>IF(P41="","",IF(O41&lt;L41,"PREJUÍZO: abaixo do mínimo",IF(O41&lt;M41,"Atenção: abaixo do sugerido","OK: preço saudável")))</f>
        <v/>
      </c>
    </row>
    <row r="42">
      <c r="A42" s="19" t="n"/>
      <c r="B42" s="7" t="n"/>
      <c r="C42" s="9">
        <f>IF(A42="","",SUMIF(Fichas!$A$4:$A$603,A42,Fichas!$E$4:$E$603))</f>
        <v/>
      </c>
      <c r="D42" s="13" t="n"/>
      <c r="E42" s="7" t="n"/>
      <c r="F42" s="7" t="n"/>
      <c r="G42" s="9">
        <f>IF(AND(A42&lt;&gt;"",N(B42)&gt;0),C42/B42,"")</f>
        <v/>
      </c>
      <c r="H42" s="9">
        <f>IF(AND(A42&lt;&gt;"",N(B42)&gt;0),N(E42)/60*Config!$C$8/B42,"")</f>
        <v/>
      </c>
      <c r="I42" s="9">
        <f>IF(AND(A42&lt;&gt;"",N(B42)&gt;0),G42+N(D42)+H42,"")</f>
        <v/>
      </c>
      <c r="J42" s="9">
        <f>IF(AND(A42&lt;&gt;"",N(B42)&gt;0),N(F42)/60*Config!$C$4/B42,"")</f>
        <v/>
      </c>
      <c r="K42" s="9">
        <f>IF(AND(A42&lt;&gt;"",N(B42)&gt;0),I42+J42,"")</f>
        <v/>
      </c>
      <c r="L42" s="9">
        <f>IF(AND(A42&lt;&gt;"",N(B42)&gt;0),ROUNDUP(K42/(1-Config!$C$20-Config!$C$32)*10,0)/10,"")</f>
        <v/>
      </c>
      <c r="M42" s="9">
        <f>IF(AND(A42&lt;&gt;"",N(B42)&gt;0),ROUNDUP(K42/(1-Config!$C$5-Config!$C$20-Config!$C$32)*2,0)/2,"")</f>
        <v/>
      </c>
      <c r="N42" s="9">
        <f>IF(AND(A42&lt;&gt;"",N(B42)&gt;0),IF((1-Config!$C$5-Config!$C$19-Config!$C$32)&lt;=0,"MARGEM ALTA DEMAIS",ROUNDUP(K42/(1-Config!$C$5-Config!$C$19-Config!$C$32)*2,0)/2),"")</f>
        <v/>
      </c>
      <c r="O42" s="13" t="n"/>
      <c r="P42" s="9">
        <f>IF(AND(AND(A42&lt;&gt;"",N(B42)&gt;0),N(O42)&gt;0),O42*(1-Config!$C$20-Config!$C$32)-K42,"")</f>
        <v/>
      </c>
      <c r="Q42" s="9">
        <f>IF(P42="","",P42+J42)</f>
        <v/>
      </c>
      <c r="R42" s="12">
        <f>IF(P42="","",IF(O42&lt;L42,"PREJUÍZO: abaixo do mínimo",IF(O42&lt;M42,"Atenção: abaixo do sugerido","OK: preço saudável")))</f>
        <v/>
      </c>
    </row>
    <row r="43">
      <c r="A43" s="19" t="n"/>
      <c r="B43" s="7" t="n"/>
      <c r="C43" s="9">
        <f>IF(A43="","",SUMIF(Fichas!$A$4:$A$603,A43,Fichas!$E$4:$E$603))</f>
        <v/>
      </c>
      <c r="D43" s="13" t="n"/>
      <c r="E43" s="7" t="n"/>
      <c r="F43" s="7" t="n"/>
      <c r="G43" s="9">
        <f>IF(AND(A43&lt;&gt;"",N(B43)&gt;0),C43/B43,"")</f>
        <v/>
      </c>
      <c r="H43" s="9">
        <f>IF(AND(A43&lt;&gt;"",N(B43)&gt;0),N(E43)/60*Config!$C$8/B43,"")</f>
        <v/>
      </c>
      <c r="I43" s="9">
        <f>IF(AND(A43&lt;&gt;"",N(B43)&gt;0),G43+N(D43)+H43,"")</f>
        <v/>
      </c>
      <c r="J43" s="9">
        <f>IF(AND(A43&lt;&gt;"",N(B43)&gt;0),N(F43)/60*Config!$C$4/B43,"")</f>
        <v/>
      </c>
      <c r="K43" s="9">
        <f>IF(AND(A43&lt;&gt;"",N(B43)&gt;0),I43+J43,"")</f>
        <v/>
      </c>
      <c r="L43" s="9">
        <f>IF(AND(A43&lt;&gt;"",N(B43)&gt;0),ROUNDUP(K43/(1-Config!$C$20-Config!$C$32)*10,0)/10,"")</f>
        <v/>
      </c>
      <c r="M43" s="9">
        <f>IF(AND(A43&lt;&gt;"",N(B43)&gt;0),ROUNDUP(K43/(1-Config!$C$5-Config!$C$20-Config!$C$32)*2,0)/2,"")</f>
        <v/>
      </c>
      <c r="N43" s="9">
        <f>IF(AND(A43&lt;&gt;"",N(B43)&gt;0),IF((1-Config!$C$5-Config!$C$19-Config!$C$32)&lt;=0,"MARGEM ALTA DEMAIS",ROUNDUP(K43/(1-Config!$C$5-Config!$C$19-Config!$C$32)*2,0)/2),"")</f>
        <v/>
      </c>
      <c r="O43" s="13" t="n"/>
      <c r="P43" s="9">
        <f>IF(AND(AND(A43&lt;&gt;"",N(B43)&gt;0),N(O43)&gt;0),O43*(1-Config!$C$20-Config!$C$32)-K43,"")</f>
        <v/>
      </c>
      <c r="Q43" s="9">
        <f>IF(P43="","",P43+J43)</f>
        <v/>
      </c>
      <c r="R43" s="12">
        <f>IF(P43="","",IF(O43&lt;L43,"PREJUÍZO: abaixo do mínimo",IF(O43&lt;M43,"Atenção: abaixo do sugerido","OK: preço saudável")))</f>
        <v/>
      </c>
    </row>
    <row r="44">
      <c r="A44" s="19" t="n"/>
      <c r="B44" s="7" t="n"/>
      <c r="C44" s="9">
        <f>IF(A44="","",SUMIF(Fichas!$A$4:$A$603,A44,Fichas!$E$4:$E$603))</f>
        <v/>
      </c>
      <c r="D44" s="13" t="n"/>
      <c r="E44" s="7" t="n"/>
      <c r="F44" s="7" t="n"/>
      <c r="G44" s="9">
        <f>IF(AND(A44&lt;&gt;"",N(B44)&gt;0),C44/B44,"")</f>
        <v/>
      </c>
      <c r="H44" s="9">
        <f>IF(AND(A44&lt;&gt;"",N(B44)&gt;0),N(E44)/60*Config!$C$8/B44,"")</f>
        <v/>
      </c>
      <c r="I44" s="9">
        <f>IF(AND(A44&lt;&gt;"",N(B44)&gt;0),G44+N(D44)+H44,"")</f>
        <v/>
      </c>
      <c r="J44" s="9">
        <f>IF(AND(A44&lt;&gt;"",N(B44)&gt;0),N(F44)/60*Config!$C$4/B44,"")</f>
        <v/>
      </c>
      <c r="K44" s="9">
        <f>IF(AND(A44&lt;&gt;"",N(B44)&gt;0),I44+J44,"")</f>
        <v/>
      </c>
      <c r="L44" s="9">
        <f>IF(AND(A44&lt;&gt;"",N(B44)&gt;0),ROUNDUP(K44/(1-Config!$C$20-Config!$C$32)*10,0)/10,"")</f>
        <v/>
      </c>
      <c r="M44" s="9">
        <f>IF(AND(A44&lt;&gt;"",N(B44)&gt;0),ROUNDUP(K44/(1-Config!$C$5-Config!$C$20-Config!$C$32)*2,0)/2,"")</f>
        <v/>
      </c>
      <c r="N44" s="9">
        <f>IF(AND(A44&lt;&gt;"",N(B44)&gt;0),IF((1-Config!$C$5-Config!$C$19-Config!$C$32)&lt;=0,"MARGEM ALTA DEMAIS",ROUNDUP(K44/(1-Config!$C$5-Config!$C$19-Config!$C$32)*2,0)/2),"")</f>
        <v/>
      </c>
      <c r="O44" s="13" t="n"/>
      <c r="P44" s="9">
        <f>IF(AND(AND(A44&lt;&gt;"",N(B44)&gt;0),N(O44)&gt;0),O44*(1-Config!$C$20-Config!$C$32)-K44,"")</f>
        <v/>
      </c>
      <c r="Q44" s="9">
        <f>IF(P44="","",P44+J44)</f>
        <v/>
      </c>
      <c r="R44" s="12">
        <f>IF(P44="","",IF(O44&lt;L44,"PREJUÍZO: abaixo do mínimo",IF(O44&lt;M44,"Atenção: abaixo do sugerido","OK: preço saudável")))</f>
        <v/>
      </c>
    </row>
    <row r="45">
      <c r="A45" s="19" t="n"/>
      <c r="B45" s="7" t="n"/>
      <c r="C45" s="9">
        <f>IF(A45="","",SUMIF(Fichas!$A$4:$A$603,A45,Fichas!$E$4:$E$603))</f>
        <v/>
      </c>
      <c r="D45" s="13" t="n"/>
      <c r="E45" s="7" t="n"/>
      <c r="F45" s="7" t="n"/>
      <c r="G45" s="9">
        <f>IF(AND(A45&lt;&gt;"",N(B45)&gt;0),C45/B45,"")</f>
        <v/>
      </c>
      <c r="H45" s="9">
        <f>IF(AND(A45&lt;&gt;"",N(B45)&gt;0),N(E45)/60*Config!$C$8/B45,"")</f>
        <v/>
      </c>
      <c r="I45" s="9">
        <f>IF(AND(A45&lt;&gt;"",N(B45)&gt;0),G45+N(D45)+H45,"")</f>
        <v/>
      </c>
      <c r="J45" s="9">
        <f>IF(AND(A45&lt;&gt;"",N(B45)&gt;0),N(F45)/60*Config!$C$4/B45,"")</f>
        <v/>
      </c>
      <c r="K45" s="9">
        <f>IF(AND(A45&lt;&gt;"",N(B45)&gt;0),I45+J45,"")</f>
        <v/>
      </c>
      <c r="L45" s="9">
        <f>IF(AND(A45&lt;&gt;"",N(B45)&gt;0),ROUNDUP(K45/(1-Config!$C$20-Config!$C$32)*10,0)/10,"")</f>
        <v/>
      </c>
      <c r="M45" s="9">
        <f>IF(AND(A45&lt;&gt;"",N(B45)&gt;0),ROUNDUP(K45/(1-Config!$C$5-Config!$C$20-Config!$C$32)*2,0)/2,"")</f>
        <v/>
      </c>
      <c r="N45" s="9">
        <f>IF(AND(A45&lt;&gt;"",N(B45)&gt;0),IF((1-Config!$C$5-Config!$C$19-Config!$C$32)&lt;=0,"MARGEM ALTA DEMAIS",ROUNDUP(K45/(1-Config!$C$5-Config!$C$19-Config!$C$32)*2,0)/2),"")</f>
        <v/>
      </c>
      <c r="O45" s="13" t="n"/>
      <c r="P45" s="9">
        <f>IF(AND(AND(A45&lt;&gt;"",N(B45)&gt;0),N(O45)&gt;0),O45*(1-Config!$C$20-Config!$C$32)-K45,"")</f>
        <v/>
      </c>
      <c r="Q45" s="9">
        <f>IF(P45="","",P45+J45)</f>
        <v/>
      </c>
      <c r="R45" s="12">
        <f>IF(P45="","",IF(O45&lt;L45,"PREJUÍZO: abaixo do mínimo",IF(O45&lt;M45,"Atenção: abaixo do sugerido","OK: preço saudável")))</f>
        <v/>
      </c>
    </row>
    <row r="46">
      <c r="A46" s="19" t="n"/>
      <c r="B46" s="7" t="n"/>
      <c r="C46" s="9">
        <f>IF(A46="","",SUMIF(Fichas!$A$4:$A$603,A46,Fichas!$E$4:$E$603))</f>
        <v/>
      </c>
      <c r="D46" s="13" t="n"/>
      <c r="E46" s="7" t="n"/>
      <c r="F46" s="7" t="n"/>
      <c r="G46" s="9">
        <f>IF(AND(A46&lt;&gt;"",N(B46)&gt;0),C46/B46,"")</f>
        <v/>
      </c>
      <c r="H46" s="9">
        <f>IF(AND(A46&lt;&gt;"",N(B46)&gt;0),N(E46)/60*Config!$C$8/B46,"")</f>
        <v/>
      </c>
      <c r="I46" s="9">
        <f>IF(AND(A46&lt;&gt;"",N(B46)&gt;0),G46+N(D46)+H46,"")</f>
        <v/>
      </c>
      <c r="J46" s="9">
        <f>IF(AND(A46&lt;&gt;"",N(B46)&gt;0),N(F46)/60*Config!$C$4/B46,"")</f>
        <v/>
      </c>
      <c r="K46" s="9">
        <f>IF(AND(A46&lt;&gt;"",N(B46)&gt;0),I46+J46,"")</f>
        <v/>
      </c>
      <c r="L46" s="9">
        <f>IF(AND(A46&lt;&gt;"",N(B46)&gt;0),ROUNDUP(K46/(1-Config!$C$20-Config!$C$32)*10,0)/10,"")</f>
        <v/>
      </c>
      <c r="M46" s="9">
        <f>IF(AND(A46&lt;&gt;"",N(B46)&gt;0),ROUNDUP(K46/(1-Config!$C$5-Config!$C$20-Config!$C$32)*2,0)/2,"")</f>
        <v/>
      </c>
      <c r="N46" s="9">
        <f>IF(AND(A46&lt;&gt;"",N(B46)&gt;0),IF((1-Config!$C$5-Config!$C$19-Config!$C$32)&lt;=0,"MARGEM ALTA DEMAIS",ROUNDUP(K46/(1-Config!$C$5-Config!$C$19-Config!$C$32)*2,0)/2),"")</f>
        <v/>
      </c>
      <c r="O46" s="13" t="n"/>
      <c r="P46" s="9">
        <f>IF(AND(AND(A46&lt;&gt;"",N(B46)&gt;0),N(O46)&gt;0),O46*(1-Config!$C$20-Config!$C$32)-K46,"")</f>
        <v/>
      </c>
      <c r="Q46" s="9">
        <f>IF(P46="","",P46+J46)</f>
        <v/>
      </c>
      <c r="R46" s="12">
        <f>IF(P46="","",IF(O46&lt;L46,"PREJUÍZO: abaixo do mínimo",IF(O46&lt;M46,"Atenção: abaixo do sugerido","OK: preço saudável")))</f>
        <v/>
      </c>
    </row>
    <row r="47">
      <c r="A47" s="19" t="n"/>
      <c r="B47" s="7" t="n"/>
      <c r="C47" s="9">
        <f>IF(A47="","",SUMIF(Fichas!$A$4:$A$603,A47,Fichas!$E$4:$E$603))</f>
        <v/>
      </c>
      <c r="D47" s="13" t="n"/>
      <c r="E47" s="7" t="n"/>
      <c r="F47" s="7" t="n"/>
      <c r="G47" s="9">
        <f>IF(AND(A47&lt;&gt;"",N(B47)&gt;0),C47/B47,"")</f>
        <v/>
      </c>
      <c r="H47" s="9">
        <f>IF(AND(A47&lt;&gt;"",N(B47)&gt;0),N(E47)/60*Config!$C$8/B47,"")</f>
        <v/>
      </c>
      <c r="I47" s="9">
        <f>IF(AND(A47&lt;&gt;"",N(B47)&gt;0),G47+N(D47)+H47,"")</f>
        <v/>
      </c>
      <c r="J47" s="9">
        <f>IF(AND(A47&lt;&gt;"",N(B47)&gt;0),N(F47)/60*Config!$C$4/B47,"")</f>
        <v/>
      </c>
      <c r="K47" s="9">
        <f>IF(AND(A47&lt;&gt;"",N(B47)&gt;0),I47+J47,"")</f>
        <v/>
      </c>
      <c r="L47" s="9">
        <f>IF(AND(A47&lt;&gt;"",N(B47)&gt;0),ROUNDUP(K47/(1-Config!$C$20-Config!$C$32)*10,0)/10,"")</f>
        <v/>
      </c>
      <c r="M47" s="9">
        <f>IF(AND(A47&lt;&gt;"",N(B47)&gt;0),ROUNDUP(K47/(1-Config!$C$5-Config!$C$20-Config!$C$32)*2,0)/2,"")</f>
        <v/>
      </c>
      <c r="N47" s="9">
        <f>IF(AND(A47&lt;&gt;"",N(B47)&gt;0),IF((1-Config!$C$5-Config!$C$19-Config!$C$32)&lt;=0,"MARGEM ALTA DEMAIS",ROUNDUP(K47/(1-Config!$C$5-Config!$C$19-Config!$C$32)*2,0)/2),"")</f>
        <v/>
      </c>
      <c r="O47" s="13" t="n"/>
      <c r="P47" s="9">
        <f>IF(AND(AND(A47&lt;&gt;"",N(B47)&gt;0),N(O47)&gt;0),O47*(1-Config!$C$20-Config!$C$32)-K47,"")</f>
        <v/>
      </c>
      <c r="Q47" s="9">
        <f>IF(P47="","",P47+J47)</f>
        <v/>
      </c>
      <c r="R47" s="12">
        <f>IF(P47="","",IF(O47&lt;L47,"PREJUÍZO: abaixo do mínimo",IF(O47&lt;M47,"Atenção: abaixo do sugerido","OK: preço saudável")))</f>
        <v/>
      </c>
    </row>
    <row r="48">
      <c r="A48" s="19" t="n"/>
      <c r="B48" s="7" t="n"/>
      <c r="C48" s="9">
        <f>IF(A48="","",SUMIF(Fichas!$A$4:$A$603,A48,Fichas!$E$4:$E$603))</f>
        <v/>
      </c>
      <c r="D48" s="13" t="n"/>
      <c r="E48" s="7" t="n"/>
      <c r="F48" s="7" t="n"/>
      <c r="G48" s="9">
        <f>IF(AND(A48&lt;&gt;"",N(B48)&gt;0),C48/B48,"")</f>
        <v/>
      </c>
      <c r="H48" s="9">
        <f>IF(AND(A48&lt;&gt;"",N(B48)&gt;0),N(E48)/60*Config!$C$8/B48,"")</f>
        <v/>
      </c>
      <c r="I48" s="9">
        <f>IF(AND(A48&lt;&gt;"",N(B48)&gt;0),G48+N(D48)+H48,"")</f>
        <v/>
      </c>
      <c r="J48" s="9">
        <f>IF(AND(A48&lt;&gt;"",N(B48)&gt;0),N(F48)/60*Config!$C$4/B48,"")</f>
        <v/>
      </c>
      <c r="K48" s="9">
        <f>IF(AND(A48&lt;&gt;"",N(B48)&gt;0),I48+J48,"")</f>
        <v/>
      </c>
      <c r="L48" s="9">
        <f>IF(AND(A48&lt;&gt;"",N(B48)&gt;0),ROUNDUP(K48/(1-Config!$C$20-Config!$C$32)*10,0)/10,"")</f>
        <v/>
      </c>
      <c r="M48" s="9">
        <f>IF(AND(A48&lt;&gt;"",N(B48)&gt;0),ROUNDUP(K48/(1-Config!$C$5-Config!$C$20-Config!$C$32)*2,0)/2,"")</f>
        <v/>
      </c>
      <c r="N48" s="9">
        <f>IF(AND(A48&lt;&gt;"",N(B48)&gt;0),IF((1-Config!$C$5-Config!$C$19-Config!$C$32)&lt;=0,"MARGEM ALTA DEMAIS",ROUNDUP(K48/(1-Config!$C$5-Config!$C$19-Config!$C$32)*2,0)/2),"")</f>
        <v/>
      </c>
      <c r="O48" s="13" t="n"/>
      <c r="P48" s="9">
        <f>IF(AND(AND(A48&lt;&gt;"",N(B48)&gt;0),N(O48)&gt;0),O48*(1-Config!$C$20-Config!$C$32)-K48,"")</f>
        <v/>
      </c>
      <c r="Q48" s="9">
        <f>IF(P48="","",P48+J48)</f>
        <v/>
      </c>
      <c r="R48" s="12">
        <f>IF(P48="","",IF(O48&lt;L48,"PREJUÍZO: abaixo do mínimo",IF(O48&lt;M48,"Atenção: abaixo do sugerido","OK: preço saudável")))</f>
        <v/>
      </c>
    </row>
    <row r="49">
      <c r="A49" s="19" t="n"/>
      <c r="B49" s="7" t="n"/>
      <c r="C49" s="9">
        <f>IF(A49="","",SUMIF(Fichas!$A$4:$A$603,A49,Fichas!$E$4:$E$603))</f>
        <v/>
      </c>
      <c r="D49" s="13" t="n"/>
      <c r="E49" s="7" t="n"/>
      <c r="F49" s="7" t="n"/>
      <c r="G49" s="9">
        <f>IF(AND(A49&lt;&gt;"",N(B49)&gt;0),C49/B49,"")</f>
        <v/>
      </c>
      <c r="H49" s="9">
        <f>IF(AND(A49&lt;&gt;"",N(B49)&gt;0),N(E49)/60*Config!$C$8/B49,"")</f>
        <v/>
      </c>
      <c r="I49" s="9">
        <f>IF(AND(A49&lt;&gt;"",N(B49)&gt;0),G49+N(D49)+H49,"")</f>
        <v/>
      </c>
      <c r="J49" s="9">
        <f>IF(AND(A49&lt;&gt;"",N(B49)&gt;0),N(F49)/60*Config!$C$4/B49,"")</f>
        <v/>
      </c>
      <c r="K49" s="9">
        <f>IF(AND(A49&lt;&gt;"",N(B49)&gt;0),I49+J49,"")</f>
        <v/>
      </c>
      <c r="L49" s="9">
        <f>IF(AND(A49&lt;&gt;"",N(B49)&gt;0),ROUNDUP(K49/(1-Config!$C$20-Config!$C$32)*10,0)/10,"")</f>
        <v/>
      </c>
      <c r="M49" s="9">
        <f>IF(AND(A49&lt;&gt;"",N(B49)&gt;0),ROUNDUP(K49/(1-Config!$C$5-Config!$C$20-Config!$C$32)*2,0)/2,"")</f>
        <v/>
      </c>
      <c r="N49" s="9">
        <f>IF(AND(A49&lt;&gt;"",N(B49)&gt;0),IF((1-Config!$C$5-Config!$C$19-Config!$C$32)&lt;=0,"MARGEM ALTA DEMAIS",ROUNDUP(K49/(1-Config!$C$5-Config!$C$19-Config!$C$32)*2,0)/2),"")</f>
        <v/>
      </c>
      <c r="O49" s="13" t="n"/>
      <c r="P49" s="9">
        <f>IF(AND(AND(A49&lt;&gt;"",N(B49)&gt;0),N(O49)&gt;0),O49*(1-Config!$C$20-Config!$C$32)-K49,"")</f>
        <v/>
      </c>
      <c r="Q49" s="9">
        <f>IF(P49="","",P49+J49)</f>
        <v/>
      </c>
      <c r="R49" s="12">
        <f>IF(P49="","",IF(O49&lt;L49,"PREJUÍZO: abaixo do mínimo",IF(O49&lt;M49,"Atenção: abaixo do sugerido","OK: preço saudável")))</f>
        <v/>
      </c>
    </row>
    <row r="50">
      <c r="A50" s="19" t="n"/>
      <c r="B50" s="7" t="n"/>
      <c r="C50" s="9">
        <f>IF(A50="","",SUMIF(Fichas!$A$4:$A$603,A50,Fichas!$E$4:$E$603))</f>
        <v/>
      </c>
      <c r="D50" s="13" t="n"/>
      <c r="E50" s="7" t="n"/>
      <c r="F50" s="7" t="n"/>
      <c r="G50" s="9">
        <f>IF(AND(A50&lt;&gt;"",N(B50)&gt;0),C50/B50,"")</f>
        <v/>
      </c>
      <c r="H50" s="9">
        <f>IF(AND(A50&lt;&gt;"",N(B50)&gt;0),N(E50)/60*Config!$C$8/B50,"")</f>
        <v/>
      </c>
      <c r="I50" s="9">
        <f>IF(AND(A50&lt;&gt;"",N(B50)&gt;0),G50+N(D50)+H50,"")</f>
        <v/>
      </c>
      <c r="J50" s="9">
        <f>IF(AND(A50&lt;&gt;"",N(B50)&gt;0),N(F50)/60*Config!$C$4/B50,"")</f>
        <v/>
      </c>
      <c r="K50" s="9">
        <f>IF(AND(A50&lt;&gt;"",N(B50)&gt;0),I50+J50,"")</f>
        <v/>
      </c>
      <c r="L50" s="9">
        <f>IF(AND(A50&lt;&gt;"",N(B50)&gt;0),ROUNDUP(K50/(1-Config!$C$20-Config!$C$32)*10,0)/10,"")</f>
        <v/>
      </c>
      <c r="M50" s="9">
        <f>IF(AND(A50&lt;&gt;"",N(B50)&gt;0),ROUNDUP(K50/(1-Config!$C$5-Config!$C$20-Config!$C$32)*2,0)/2,"")</f>
        <v/>
      </c>
      <c r="N50" s="9">
        <f>IF(AND(A50&lt;&gt;"",N(B50)&gt;0),IF((1-Config!$C$5-Config!$C$19-Config!$C$32)&lt;=0,"MARGEM ALTA DEMAIS",ROUNDUP(K50/(1-Config!$C$5-Config!$C$19-Config!$C$32)*2,0)/2),"")</f>
        <v/>
      </c>
      <c r="O50" s="13" t="n"/>
      <c r="P50" s="9">
        <f>IF(AND(AND(A50&lt;&gt;"",N(B50)&gt;0),N(O50)&gt;0),O50*(1-Config!$C$20-Config!$C$32)-K50,"")</f>
        <v/>
      </c>
      <c r="Q50" s="9">
        <f>IF(P50="","",P50+J50)</f>
        <v/>
      </c>
      <c r="R50" s="12">
        <f>IF(P50="","",IF(O50&lt;L50,"PREJUÍZO: abaixo do mínimo",IF(O50&lt;M50,"Atenção: abaixo do sugerido","OK: preço saudável")))</f>
        <v/>
      </c>
    </row>
    <row r="51">
      <c r="A51" s="19" t="n"/>
      <c r="B51" s="7" t="n"/>
      <c r="C51" s="9">
        <f>IF(A51="","",SUMIF(Fichas!$A$4:$A$603,A51,Fichas!$E$4:$E$603))</f>
        <v/>
      </c>
      <c r="D51" s="13" t="n"/>
      <c r="E51" s="7" t="n"/>
      <c r="F51" s="7" t="n"/>
      <c r="G51" s="9">
        <f>IF(AND(A51&lt;&gt;"",N(B51)&gt;0),C51/B51,"")</f>
        <v/>
      </c>
      <c r="H51" s="9">
        <f>IF(AND(A51&lt;&gt;"",N(B51)&gt;0),N(E51)/60*Config!$C$8/B51,"")</f>
        <v/>
      </c>
      <c r="I51" s="9">
        <f>IF(AND(A51&lt;&gt;"",N(B51)&gt;0),G51+N(D51)+H51,"")</f>
        <v/>
      </c>
      <c r="J51" s="9">
        <f>IF(AND(A51&lt;&gt;"",N(B51)&gt;0),N(F51)/60*Config!$C$4/B51,"")</f>
        <v/>
      </c>
      <c r="K51" s="9">
        <f>IF(AND(A51&lt;&gt;"",N(B51)&gt;0),I51+J51,"")</f>
        <v/>
      </c>
      <c r="L51" s="9">
        <f>IF(AND(A51&lt;&gt;"",N(B51)&gt;0),ROUNDUP(K51/(1-Config!$C$20-Config!$C$32)*10,0)/10,"")</f>
        <v/>
      </c>
      <c r="M51" s="9">
        <f>IF(AND(A51&lt;&gt;"",N(B51)&gt;0),ROUNDUP(K51/(1-Config!$C$5-Config!$C$20-Config!$C$32)*2,0)/2,"")</f>
        <v/>
      </c>
      <c r="N51" s="9">
        <f>IF(AND(A51&lt;&gt;"",N(B51)&gt;0),IF((1-Config!$C$5-Config!$C$19-Config!$C$32)&lt;=0,"MARGEM ALTA DEMAIS",ROUNDUP(K51/(1-Config!$C$5-Config!$C$19-Config!$C$32)*2,0)/2),"")</f>
        <v/>
      </c>
      <c r="O51" s="13" t="n"/>
      <c r="P51" s="9">
        <f>IF(AND(AND(A51&lt;&gt;"",N(B51)&gt;0),N(O51)&gt;0),O51*(1-Config!$C$20-Config!$C$32)-K51,"")</f>
        <v/>
      </c>
      <c r="Q51" s="9">
        <f>IF(P51="","",P51+J51)</f>
        <v/>
      </c>
      <c r="R51" s="12">
        <f>IF(P51="","",IF(O51&lt;L51,"PREJUÍZO: abaixo do mínimo",IF(O51&lt;M51,"Atenção: abaixo do sugerido","OK: preço saudável")))</f>
        <v/>
      </c>
    </row>
    <row r="52">
      <c r="A52" s="19" t="n"/>
      <c r="B52" s="7" t="n"/>
      <c r="C52" s="9">
        <f>IF(A52="","",SUMIF(Fichas!$A$4:$A$603,A52,Fichas!$E$4:$E$603))</f>
        <v/>
      </c>
      <c r="D52" s="13" t="n"/>
      <c r="E52" s="7" t="n"/>
      <c r="F52" s="7" t="n"/>
      <c r="G52" s="9">
        <f>IF(AND(A52&lt;&gt;"",N(B52)&gt;0),C52/B52,"")</f>
        <v/>
      </c>
      <c r="H52" s="9">
        <f>IF(AND(A52&lt;&gt;"",N(B52)&gt;0),N(E52)/60*Config!$C$8/B52,"")</f>
        <v/>
      </c>
      <c r="I52" s="9">
        <f>IF(AND(A52&lt;&gt;"",N(B52)&gt;0),G52+N(D52)+H52,"")</f>
        <v/>
      </c>
      <c r="J52" s="9">
        <f>IF(AND(A52&lt;&gt;"",N(B52)&gt;0),N(F52)/60*Config!$C$4/B52,"")</f>
        <v/>
      </c>
      <c r="K52" s="9">
        <f>IF(AND(A52&lt;&gt;"",N(B52)&gt;0),I52+J52,"")</f>
        <v/>
      </c>
      <c r="L52" s="9">
        <f>IF(AND(A52&lt;&gt;"",N(B52)&gt;0),ROUNDUP(K52/(1-Config!$C$20-Config!$C$32)*10,0)/10,"")</f>
        <v/>
      </c>
      <c r="M52" s="9">
        <f>IF(AND(A52&lt;&gt;"",N(B52)&gt;0),ROUNDUP(K52/(1-Config!$C$5-Config!$C$20-Config!$C$32)*2,0)/2,"")</f>
        <v/>
      </c>
      <c r="N52" s="9">
        <f>IF(AND(A52&lt;&gt;"",N(B52)&gt;0),IF((1-Config!$C$5-Config!$C$19-Config!$C$32)&lt;=0,"MARGEM ALTA DEMAIS",ROUNDUP(K52/(1-Config!$C$5-Config!$C$19-Config!$C$32)*2,0)/2),"")</f>
        <v/>
      </c>
      <c r="O52" s="13" t="n"/>
      <c r="P52" s="9">
        <f>IF(AND(AND(A52&lt;&gt;"",N(B52)&gt;0),N(O52)&gt;0),O52*(1-Config!$C$20-Config!$C$32)-K52,"")</f>
        <v/>
      </c>
      <c r="Q52" s="9">
        <f>IF(P52="","",P52+J52)</f>
        <v/>
      </c>
      <c r="R52" s="12">
        <f>IF(P52="","",IF(O52&lt;L52,"PREJUÍZO: abaixo do mínimo",IF(O52&lt;M52,"Atenção: abaixo do sugerido","OK: preço saudável")))</f>
        <v/>
      </c>
    </row>
    <row r="53">
      <c r="A53" s="19" t="n"/>
      <c r="B53" s="7" t="n"/>
      <c r="C53" s="9">
        <f>IF(A53="","",SUMIF(Fichas!$A$4:$A$603,A53,Fichas!$E$4:$E$603))</f>
        <v/>
      </c>
      <c r="D53" s="13" t="n"/>
      <c r="E53" s="7" t="n"/>
      <c r="F53" s="7" t="n"/>
      <c r="G53" s="9">
        <f>IF(AND(A53&lt;&gt;"",N(B53)&gt;0),C53/B53,"")</f>
        <v/>
      </c>
      <c r="H53" s="9">
        <f>IF(AND(A53&lt;&gt;"",N(B53)&gt;0),N(E53)/60*Config!$C$8/B53,"")</f>
        <v/>
      </c>
      <c r="I53" s="9">
        <f>IF(AND(A53&lt;&gt;"",N(B53)&gt;0),G53+N(D53)+H53,"")</f>
        <v/>
      </c>
      <c r="J53" s="9">
        <f>IF(AND(A53&lt;&gt;"",N(B53)&gt;0),N(F53)/60*Config!$C$4/B53,"")</f>
        <v/>
      </c>
      <c r="K53" s="9">
        <f>IF(AND(A53&lt;&gt;"",N(B53)&gt;0),I53+J53,"")</f>
        <v/>
      </c>
      <c r="L53" s="9">
        <f>IF(AND(A53&lt;&gt;"",N(B53)&gt;0),ROUNDUP(K53/(1-Config!$C$20-Config!$C$32)*10,0)/10,"")</f>
        <v/>
      </c>
      <c r="M53" s="9">
        <f>IF(AND(A53&lt;&gt;"",N(B53)&gt;0),ROUNDUP(K53/(1-Config!$C$5-Config!$C$20-Config!$C$32)*2,0)/2,"")</f>
        <v/>
      </c>
      <c r="N53" s="9">
        <f>IF(AND(A53&lt;&gt;"",N(B53)&gt;0),IF((1-Config!$C$5-Config!$C$19-Config!$C$32)&lt;=0,"MARGEM ALTA DEMAIS",ROUNDUP(K53/(1-Config!$C$5-Config!$C$19-Config!$C$32)*2,0)/2),"")</f>
        <v/>
      </c>
      <c r="O53" s="13" t="n"/>
      <c r="P53" s="9">
        <f>IF(AND(AND(A53&lt;&gt;"",N(B53)&gt;0),N(O53)&gt;0),O53*(1-Config!$C$20-Config!$C$32)-K53,"")</f>
        <v/>
      </c>
      <c r="Q53" s="9">
        <f>IF(P53="","",P53+J53)</f>
        <v/>
      </c>
      <c r="R53" s="12">
        <f>IF(P53="","",IF(O53&lt;L53,"PREJUÍZO: abaixo do mínimo",IF(O53&lt;M53,"Atenção: abaixo do sugerido","OK: preço saudável")))</f>
        <v/>
      </c>
    </row>
    <row r="55">
      <c r="A55" s="2" t="inlineStr">
        <is>
          <t>Como ler: se o SEU PREÇO estiver abaixo do MÍNIMO, cada unidade vendida paga menos que o seu custo (contando a sua hora). Entre o mínimo e o sugerido, você se paga, mas o negócio não guarda reserva.</t>
        </is>
      </c>
    </row>
  </sheetData>
  <conditionalFormatting sqref="R4:R53">
    <cfRule type="expression" priority="1" dxfId="0">
      <formula>LEFT(R4,3)="PRE"</formula>
    </cfRule>
    <cfRule type="expression" priority="2" dxfId="1">
      <formula>LEFT(R4,3)="Ate"</formula>
    </cfRule>
    <cfRule type="expression" priority="3" dxfId="2">
      <formula>LEFT(R4,2)="OK"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D3A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5. Entrega por bairro</t>
        </is>
      </c>
    </row>
    <row r="2">
      <c r="A2" s="2" t="inlineStr">
        <is>
          <t>Distância de IDA (veja no Google Maps). Se paga motoboy, preencha o valor pago e a planilha ignora o cálculo de km.</t>
        </is>
      </c>
    </row>
    <row r="3" ht="42" customHeight="1">
      <c r="A3" s="18" t="inlineStr">
        <is>
          <t>Bairro / região</t>
        </is>
      </c>
      <c r="B3" s="18" t="inlineStr">
        <is>
          <t>Km de ida</t>
        </is>
      </c>
      <c r="C3" s="18" t="inlineStr">
        <is>
          <t>Minutos ida + volta</t>
        </is>
      </c>
      <c r="D3" s="18" t="inlineStr">
        <is>
          <t>Pago a motoboy (R$)</t>
        </is>
      </c>
      <c r="E3" s="18" t="inlineStr">
        <is>
          <t>CUSTO REAL da entrega</t>
        </is>
      </c>
      <c r="F3" s="18" t="inlineStr">
        <is>
          <t>TAXA SUGERIDA</t>
        </is>
      </c>
    </row>
    <row r="4">
      <c r="A4" s="19" t="inlineStr">
        <is>
          <t>Mesmo bairro</t>
        </is>
      </c>
      <c r="B4" s="15" t="n">
        <v>1</v>
      </c>
      <c r="C4" s="7" t="n">
        <v>15</v>
      </c>
      <c r="D4" s="13" t="n"/>
      <c r="E4" s="9">
        <f>IF(A4="","",IF(N(D4)&gt;0,D4,N(B4)*2*Config!$C$12+N(C4)/60*Config!$C$4))</f>
        <v/>
      </c>
      <c r="F4" s="9">
        <f>IF(E4="","",MAX(2,ROUNDUP(E4*2,0)/2))</f>
        <v/>
      </c>
    </row>
    <row r="5">
      <c r="A5" s="19" t="inlineStr">
        <is>
          <t>Centro</t>
        </is>
      </c>
      <c r="B5" s="15" t="n">
        <v>3.5</v>
      </c>
      <c r="C5" s="7" t="n">
        <v>25</v>
      </c>
      <c r="D5" s="13" t="n"/>
      <c r="E5" s="9">
        <f>IF(A5="","",IF(N(D5)&gt;0,D5,N(B5)*2*Config!$C$12+N(C5)/60*Config!$C$4))</f>
        <v/>
      </c>
      <c r="F5" s="9">
        <f>IF(E5="","",MAX(2,ROUNDUP(E5*2,0)/2))</f>
        <v/>
      </c>
    </row>
    <row r="6">
      <c r="A6" s="19" t="inlineStr">
        <is>
          <t>Jardim América</t>
        </is>
      </c>
      <c r="B6" s="15" t="n">
        <v>6</v>
      </c>
      <c r="C6" s="7" t="n">
        <v>35</v>
      </c>
      <c r="D6" s="13" t="n"/>
      <c r="E6" s="9">
        <f>IF(A6="","",IF(N(D6)&gt;0,D6,N(B6)*2*Config!$C$12+N(C6)/60*Config!$C$4))</f>
        <v/>
      </c>
      <c r="F6" s="9">
        <f>IF(E6="","",MAX(2,ROUNDUP(E6*2,0)/2))</f>
        <v/>
      </c>
    </row>
    <row r="7">
      <c r="A7" s="19" t="inlineStr">
        <is>
          <t>Vila Nova (motoboy)</t>
        </is>
      </c>
      <c r="B7" s="15" t="n">
        <v>8</v>
      </c>
      <c r="C7" s="7" t="n"/>
      <c r="D7" s="13" t="n">
        <v>12</v>
      </c>
      <c r="E7" s="9">
        <f>IF(A7="","",IF(N(D7)&gt;0,D7,N(B7)*2*Config!$C$12+N(C7)/60*Config!$C$4))</f>
        <v/>
      </c>
      <c r="F7" s="9">
        <f>IF(E7="","",MAX(2,ROUNDUP(E7*2,0)/2))</f>
        <v/>
      </c>
    </row>
    <row r="8">
      <c r="A8" s="19" t="n"/>
      <c r="B8" s="15" t="n"/>
      <c r="C8" s="7" t="n"/>
      <c r="D8" s="13" t="n"/>
      <c r="E8" s="9">
        <f>IF(A8="","",IF(N(D8)&gt;0,D8,N(B8)*2*Config!$C$12+N(C8)/60*Config!$C$4))</f>
        <v/>
      </c>
      <c r="F8" s="9">
        <f>IF(E8="","",MAX(2,ROUNDUP(E8*2,0)/2))</f>
        <v/>
      </c>
    </row>
    <row r="9">
      <c r="A9" s="19" t="n"/>
      <c r="B9" s="15" t="n"/>
      <c r="C9" s="7" t="n"/>
      <c r="D9" s="13" t="n"/>
      <c r="E9" s="9">
        <f>IF(A9="","",IF(N(D9)&gt;0,D9,N(B9)*2*Config!$C$12+N(C9)/60*Config!$C$4))</f>
        <v/>
      </c>
      <c r="F9" s="9">
        <f>IF(E9="","",MAX(2,ROUNDUP(E9*2,0)/2))</f>
        <v/>
      </c>
    </row>
    <row r="10">
      <c r="A10" s="19" t="n"/>
      <c r="B10" s="15" t="n"/>
      <c r="C10" s="7" t="n"/>
      <c r="D10" s="13" t="n"/>
      <c r="E10" s="9">
        <f>IF(A10="","",IF(N(D10)&gt;0,D10,N(B10)*2*Config!$C$12+N(C10)/60*Config!$C$4))</f>
        <v/>
      </c>
      <c r="F10" s="9">
        <f>IF(E10="","",MAX(2,ROUNDUP(E10*2,0)/2))</f>
        <v/>
      </c>
    </row>
    <row r="11">
      <c r="A11" s="19" t="n"/>
      <c r="B11" s="15" t="n"/>
      <c r="C11" s="7" t="n"/>
      <c r="D11" s="13" t="n"/>
      <c r="E11" s="9">
        <f>IF(A11="","",IF(N(D11)&gt;0,D11,N(B11)*2*Config!$C$12+N(C11)/60*Config!$C$4))</f>
        <v/>
      </c>
      <c r="F11" s="9">
        <f>IF(E11="","",MAX(2,ROUNDUP(E11*2,0)/2))</f>
        <v/>
      </c>
    </row>
    <row r="12">
      <c r="A12" s="19" t="n"/>
      <c r="B12" s="15" t="n"/>
      <c r="C12" s="7" t="n"/>
      <c r="D12" s="13" t="n"/>
      <c r="E12" s="9">
        <f>IF(A12="","",IF(N(D12)&gt;0,D12,N(B12)*2*Config!$C$12+N(C12)/60*Config!$C$4))</f>
        <v/>
      </c>
      <c r="F12" s="9">
        <f>IF(E12="","",MAX(2,ROUNDUP(E12*2,0)/2))</f>
        <v/>
      </c>
    </row>
    <row r="13">
      <c r="A13" s="19" t="n"/>
      <c r="B13" s="15" t="n"/>
      <c r="C13" s="7" t="n"/>
      <c r="D13" s="13" t="n"/>
      <c r="E13" s="9">
        <f>IF(A13="","",IF(N(D13)&gt;0,D13,N(B13)*2*Config!$C$12+N(C13)/60*Config!$C$4))</f>
        <v/>
      </c>
      <c r="F13" s="9">
        <f>IF(E13="","",MAX(2,ROUNDUP(E13*2,0)/2))</f>
        <v/>
      </c>
    </row>
    <row r="14">
      <c r="A14" s="19" t="n"/>
      <c r="B14" s="15" t="n"/>
      <c r="C14" s="7" t="n"/>
      <c r="D14" s="13" t="n"/>
      <c r="E14" s="9">
        <f>IF(A14="","",IF(N(D14)&gt;0,D14,N(B14)*2*Config!$C$12+N(C14)/60*Config!$C$4))</f>
        <v/>
      </c>
      <c r="F14" s="9">
        <f>IF(E14="","",MAX(2,ROUNDUP(E14*2,0)/2))</f>
        <v/>
      </c>
    </row>
    <row r="15">
      <c r="A15" s="19" t="n"/>
      <c r="B15" s="15" t="n"/>
      <c r="C15" s="7" t="n"/>
      <c r="D15" s="13" t="n"/>
      <c r="E15" s="9">
        <f>IF(A15="","",IF(N(D15)&gt;0,D15,N(B15)*2*Config!$C$12+N(C15)/60*Config!$C$4))</f>
        <v/>
      </c>
      <c r="F15" s="9">
        <f>IF(E15="","",MAX(2,ROUNDUP(E15*2,0)/2))</f>
        <v/>
      </c>
    </row>
    <row r="16">
      <c r="A16" s="19" t="n"/>
      <c r="B16" s="15" t="n"/>
      <c r="C16" s="7" t="n"/>
      <c r="D16" s="13" t="n"/>
      <c r="E16" s="9">
        <f>IF(A16="","",IF(N(D16)&gt;0,D16,N(B16)*2*Config!$C$12+N(C16)/60*Config!$C$4))</f>
        <v/>
      </c>
      <c r="F16" s="9">
        <f>IF(E16="","",MAX(2,ROUNDUP(E16*2,0)/2))</f>
        <v/>
      </c>
    </row>
    <row r="17">
      <c r="A17" s="19" t="n"/>
      <c r="B17" s="15" t="n"/>
      <c r="C17" s="7" t="n"/>
      <c r="D17" s="13" t="n"/>
      <c r="E17" s="9">
        <f>IF(A17="","",IF(N(D17)&gt;0,D17,N(B17)*2*Config!$C$12+N(C17)/60*Config!$C$4))</f>
        <v/>
      </c>
      <c r="F17" s="9">
        <f>IF(E17="","",MAX(2,ROUNDUP(E17*2,0)/2))</f>
        <v/>
      </c>
    </row>
    <row r="18">
      <c r="A18" s="19" t="n"/>
      <c r="B18" s="15" t="n"/>
      <c r="C18" s="7" t="n"/>
      <c r="D18" s="13" t="n"/>
      <c r="E18" s="9">
        <f>IF(A18="","",IF(N(D18)&gt;0,D18,N(B18)*2*Config!$C$12+N(C18)/60*Config!$C$4))</f>
        <v/>
      </c>
      <c r="F18" s="9">
        <f>IF(E18="","",MAX(2,ROUNDUP(E18*2,0)/2))</f>
        <v/>
      </c>
    </row>
    <row r="19">
      <c r="A19" s="19" t="n"/>
      <c r="B19" s="15" t="n"/>
      <c r="C19" s="7" t="n"/>
      <c r="D19" s="13" t="n"/>
      <c r="E19" s="9">
        <f>IF(A19="","",IF(N(D19)&gt;0,D19,N(B19)*2*Config!$C$12+N(C19)/60*Config!$C$4))</f>
        <v/>
      </c>
      <c r="F19" s="9">
        <f>IF(E19="","",MAX(2,ROUNDUP(E19*2,0)/2))</f>
        <v/>
      </c>
    </row>
    <row r="20">
      <c r="A20" s="19" t="n"/>
      <c r="B20" s="15" t="n"/>
      <c r="C20" s="7" t="n"/>
      <c r="D20" s="13" t="n"/>
      <c r="E20" s="9">
        <f>IF(A20="","",IF(N(D20)&gt;0,D20,N(B20)*2*Config!$C$12+N(C20)/60*Config!$C$4))</f>
        <v/>
      </c>
      <c r="F20" s="9">
        <f>IF(E20="","",MAX(2,ROUNDUP(E20*2,0)/2))</f>
        <v/>
      </c>
    </row>
    <row r="21">
      <c r="A21" s="19" t="n"/>
      <c r="B21" s="15" t="n"/>
      <c r="C21" s="7" t="n"/>
      <c r="D21" s="13" t="n"/>
      <c r="E21" s="9">
        <f>IF(A21="","",IF(N(D21)&gt;0,D21,N(B21)*2*Config!$C$12+N(C21)/60*Config!$C$4))</f>
        <v/>
      </c>
      <c r="F21" s="9">
        <f>IF(E21="","",MAX(2,ROUNDUP(E21*2,0)/2))</f>
        <v/>
      </c>
    </row>
    <row r="22">
      <c r="A22" s="19" t="n"/>
      <c r="B22" s="15" t="n"/>
      <c r="C22" s="7" t="n"/>
      <c r="D22" s="13" t="n"/>
      <c r="E22" s="9">
        <f>IF(A22="","",IF(N(D22)&gt;0,D22,N(B22)*2*Config!$C$12+N(C22)/60*Config!$C$4))</f>
        <v/>
      </c>
      <c r="F22" s="9">
        <f>IF(E22="","",MAX(2,ROUNDUP(E22*2,0)/2))</f>
        <v/>
      </c>
    </row>
    <row r="23">
      <c r="A23" s="19" t="n"/>
      <c r="B23" s="15" t="n"/>
      <c r="C23" s="7" t="n"/>
      <c r="D23" s="13" t="n"/>
      <c r="E23" s="9">
        <f>IF(A23="","",IF(N(D23)&gt;0,D23,N(B23)*2*Config!$C$12+N(C23)/60*Config!$C$4))</f>
        <v/>
      </c>
      <c r="F23" s="9">
        <f>IF(E23="","",MAX(2,ROUNDUP(E23*2,0)/2))</f>
        <v/>
      </c>
    </row>
    <row r="24">
      <c r="A24" s="19" t="n"/>
      <c r="B24" s="15" t="n"/>
      <c r="C24" s="7" t="n"/>
      <c r="D24" s="13" t="n"/>
      <c r="E24" s="9">
        <f>IF(A24="","",IF(N(D24)&gt;0,D24,N(B24)*2*Config!$C$12+N(C24)/60*Config!$C$4))</f>
        <v/>
      </c>
      <c r="F24" s="9">
        <f>IF(E24="","",MAX(2,ROUNDUP(E24*2,0)/2))</f>
        <v/>
      </c>
    </row>
    <row r="25">
      <c r="A25" s="19" t="n"/>
      <c r="B25" s="15" t="n"/>
      <c r="C25" s="7" t="n"/>
      <c r="D25" s="13" t="n"/>
      <c r="E25" s="9">
        <f>IF(A25="","",IF(N(D25)&gt;0,D25,N(B25)*2*Config!$C$12+N(C25)/60*Config!$C$4))</f>
        <v/>
      </c>
      <c r="F25" s="9">
        <f>IF(E25="","",MAX(2,ROUNDUP(E25*2,0)/2))</f>
        <v/>
      </c>
    </row>
    <row r="26">
      <c r="A26" s="19" t="n"/>
      <c r="B26" s="15" t="n"/>
      <c r="C26" s="7" t="n"/>
      <c r="D26" s="13" t="n"/>
      <c r="E26" s="9">
        <f>IF(A26="","",IF(N(D26)&gt;0,D26,N(B26)*2*Config!$C$12+N(C26)/60*Config!$C$4))</f>
        <v/>
      </c>
      <c r="F26" s="9">
        <f>IF(E26="","",MAX(2,ROUNDUP(E26*2,0)/2))</f>
        <v/>
      </c>
    </row>
    <row r="27">
      <c r="A27" s="19" t="n"/>
      <c r="B27" s="15" t="n"/>
      <c r="C27" s="7" t="n"/>
      <c r="D27" s="13" t="n"/>
      <c r="E27" s="9">
        <f>IF(A27="","",IF(N(D27)&gt;0,D27,N(B27)*2*Config!$C$12+N(C27)/60*Config!$C$4))</f>
        <v/>
      </c>
      <c r="F27" s="9">
        <f>IF(E27="","",MAX(2,ROUNDUP(E27*2,0)/2))</f>
        <v/>
      </c>
    </row>
    <row r="28">
      <c r="A28" s="19" t="n"/>
      <c r="B28" s="15" t="n"/>
      <c r="C28" s="7" t="n"/>
      <c r="D28" s="13" t="n"/>
      <c r="E28" s="9">
        <f>IF(A28="","",IF(N(D28)&gt;0,D28,N(B28)*2*Config!$C$12+N(C28)/60*Config!$C$4))</f>
        <v/>
      </c>
      <c r="F28" s="9">
        <f>IF(E28="","",MAX(2,ROUNDUP(E28*2,0)/2))</f>
        <v/>
      </c>
    </row>
    <row r="29">
      <c r="A29" s="19" t="n"/>
      <c r="B29" s="15" t="n"/>
      <c r="C29" s="7" t="n"/>
      <c r="D29" s="13" t="n"/>
      <c r="E29" s="9">
        <f>IF(A29="","",IF(N(D29)&gt;0,D29,N(B29)*2*Config!$C$12+N(C29)/60*Config!$C$4))</f>
        <v/>
      </c>
      <c r="F29" s="9">
        <f>IF(E29="","",MAX(2,ROUNDUP(E29*2,0)/2))</f>
        <v/>
      </c>
    </row>
    <row r="30">
      <c r="A30" s="19" t="n"/>
      <c r="B30" s="15" t="n"/>
      <c r="C30" s="7" t="n"/>
      <c r="D30" s="13" t="n"/>
      <c r="E30" s="9">
        <f>IF(A30="","",IF(N(D30)&gt;0,D30,N(B30)*2*Config!$C$12+N(C30)/60*Config!$C$4))</f>
        <v/>
      </c>
      <c r="F30" s="9">
        <f>IF(E30="","",MAX(2,ROUNDUP(E30*2,0)/2))</f>
        <v/>
      </c>
    </row>
    <row r="31">
      <c r="A31" s="19" t="n"/>
      <c r="B31" s="15" t="n"/>
      <c r="C31" s="7" t="n"/>
      <c r="D31" s="13" t="n"/>
      <c r="E31" s="9">
        <f>IF(A31="","",IF(N(D31)&gt;0,D31,N(B31)*2*Config!$C$12+N(C31)/60*Config!$C$4))</f>
        <v/>
      </c>
      <c r="F31" s="9">
        <f>IF(E31="","",MAX(2,ROUNDUP(E31*2,0)/2))</f>
        <v/>
      </c>
    </row>
    <row r="32">
      <c r="A32" s="19" t="n"/>
      <c r="B32" s="15" t="n"/>
      <c r="C32" s="7" t="n"/>
      <c r="D32" s="13" t="n"/>
      <c r="E32" s="9">
        <f>IF(A32="","",IF(N(D32)&gt;0,D32,N(B32)*2*Config!$C$12+N(C32)/60*Config!$C$4))</f>
        <v/>
      </c>
      <c r="F32" s="9">
        <f>IF(E32="","",MAX(2,ROUNDUP(E32*2,0)/2))</f>
        <v/>
      </c>
    </row>
    <row r="33">
      <c r="A33" s="19" t="n"/>
      <c r="B33" s="15" t="n"/>
      <c r="C33" s="7" t="n"/>
      <c r="D33" s="13" t="n"/>
      <c r="E33" s="9">
        <f>IF(A33="","",IF(N(D33)&gt;0,D33,N(B33)*2*Config!$C$12+N(C33)/60*Config!$C$4))</f>
        <v/>
      </c>
      <c r="F33" s="9">
        <f>IF(E33="","",MAX(2,ROUNDUP(E33*2,0)/2))</f>
        <v/>
      </c>
    </row>
    <row r="34">
      <c r="A34" s="19" t="n"/>
      <c r="B34" s="15" t="n"/>
      <c r="C34" s="7" t="n"/>
      <c r="D34" s="13" t="n"/>
      <c r="E34" s="9">
        <f>IF(A34="","",IF(N(D34)&gt;0,D34,N(B34)*2*Config!$C$12+N(C34)/60*Config!$C$4))</f>
        <v/>
      </c>
      <c r="F34" s="9">
        <f>IF(E34="","",MAX(2,ROUNDUP(E34*2,0)/2))</f>
        <v/>
      </c>
    </row>
    <row r="35">
      <c r="A35" s="19" t="n"/>
      <c r="B35" s="15" t="n"/>
      <c r="C35" s="7" t="n"/>
      <c r="D35" s="13" t="n"/>
      <c r="E35" s="9">
        <f>IF(A35="","",IF(N(D35)&gt;0,D35,N(B35)*2*Config!$C$12+N(C35)/60*Config!$C$4))</f>
        <v/>
      </c>
      <c r="F35" s="9">
        <f>IF(E35="","",MAX(2,ROUNDUP(E35*2,0)/2))</f>
        <v/>
      </c>
    </row>
    <row r="36">
      <c r="A36" s="19" t="n"/>
      <c r="B36" s="15" t="n"/>
      <c r="C36" s="7" t="n"/>
      <c r="D36" s="13" t="n"/>
      <c r="E36" s="9">
        <f>IF(A36="","",IF(N(D36)&gt;0,D36,N(B36)*2*Config!$C$12+N(C36)/60*Config!$C$4))</f>
        <v/>
      </c>
      <c r="F36" s="9">
        <f>IF(E36="","",MAX(2,ROUNDUP(E36*2,0)/2))</f>
        <v/>
      </c>
    </row>
    <row r="37">
      <c r="A37" s="19" t="n"/>
      <c r="B37" s="15" t="n"/>
      <c r="C37" s="7" t="n"/>
      <c r="D37" s="13" t="n"/>
      <c r="E37" s="9">
        <f>IF(A37="","",IF(N(D37)&gt;0,D37,N(B37)*2*Config!$C$12+N(C37)/60*Config!$C$4))</f>
        <v/>
      </c>
      <c r="F37" s="9">
        <f>IF(E37="","",MAX(2,ROUNDUP(E37*2,0)/2))</f>
        <v/>
      </c>
    </row>
    <row r="38">
      <c r="A38" s="19" t="n"/>
      <c r="B38" s="15" t="n"/>
      <c r="C38" s="7" t="n"/>
      <c r="D38" s="13" t="n"/>
      <c r="E38" s="9">
        <f>IF(A38="","",IF(N(D38)&gt;0,D38,N(B38)*2*Config!$C$12+N(C38)/60*Config!$C$4))</f>
        <v/>
      </c>
      <c r="F38" s="9">
        <f>IF(E38="","",MAX(2,ROUNDUP(E38*2,0)/2))</f>
        <v/>
      </c>
    </row>
    <row r="39">
      <c r="A39" s="19" t="n"/>
      <c r="B39" s="15" t="n"/>
      <c r="C39" s="7" t="n"/>
      <c r="D39" s="13" t="n"/>
      <c r="E39" s="9">
        <f>IF(A39="","",IF(N(D39)&gt;0,D39,N(B39)*2*Config!$C$12+N(C39)/60*Config!$C$4))</f>
        <v/>
      </c>
      <c r="F39" s="9">
        <f>IF(E39="","",MAX(2,ROUNDUP(E39*2,0)/2))</f>
        <v/>
      </c>
    </row>
    <row r="40">
      <c r="A40" s="19" t="n"/>
      <c r="B40" s="15" t="n"/>
      <c r="C40" s="7" t="n"/>
      <c r="D40" s="13" t="n"/>
      <c r="E40" s="9">
        <f>IF(A40="","",IF(N(D40)&gt;0,D40,N(B40)*2*Config!$C$12+N(C40)/60*Config!$C$4))</f>
        <v/>
      </c>
      <c r="F40" s="9">
        <f>IF(E40="","",MAX(2,ROUNDUP(E40*2,0)/2))</f>
        <v/>
      </c>
    </row>
    <row r="41">
      <c r="A41" s="19" t="n"/>
      <c r="B41" s="15" t="n"/>
      <c r="C41" s="7" t="n"/>
      <c r="D41" s="13" t="n"/>
      <c r="E41" s="9">
        <f>IF(A41="","",IF(N(D41)&gt;0,D41,N(B41)*2*Config!$C$12+N(C41)/60*Config!$C$4))</f>
        <v/>
      </c>
      <c r="F41" s="9">
        <f>IF(E41="","",MAX(2,ROUNDUP(E41*2,0)/2))</f>
        <v/>
      </c>
    </row>
    <row r="42">
      <c r="A42" s="19" t="n"/>
      <c r="B42" s="15" t="n"/>
      <c r="C42" s="7" t="n"/>
      <c r="D42" s="13" t="n"/>
      <c r="E42" s="9">
        <f>IF(A42="","",IF(N(D42)&gt;0,D42,N(B42)*2*Config!$C$12+N(C42)/60*Config!$C$4))</f>
        <v/>
      </c>
      <c r="F42" s="9">
        <f>IF(E42="","",MAX(2,ROUNDUP(E42*2,0)/2))</f>
        <v/>
      </c>
    </row>
    <row r="43">
      <c r="A43" s="19" t="n"/>
      <c r="B43" s="15" t="n"/>
      <c r="C43" s="7" t="n"/>
      <c r="D43" s="13" t="n"/>
      <c r="E43" s="9">
        <f>IF(A43="","",IF(N(D43)&gt;0,D43,N(B43)*2*Config!$C$12+N(C43)/60*Config!$C$4))</f>
        <v/>
      </c>
      <c r="F43" s="9">
        <f>IF(E43="","",MAX(2,ROUNDUP(E43*2,0)/2))</f>
        <v/>
      </c>
    </row>
    <row r="45">
      <c r="A45" s="2" t="inlineStr">
        <is>
          <t>A taxa sugerida cobre combustível, desgaste e o SEU tempo no trânsito (com o valor da sua hora). Arredonda para cima de R$ 0,50 em R$ 0,50, com mínimo de R$ 2.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D3A"/>
    <outlinePr summaryBelow="1" summaryRight="1"/>
    <pageSetUpPr/>
  </sheetPr>
  <dimension ref="A1:S50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6" customWidth="1" min="4" max="4"/>
    <col width="14" customWidth="1" min="5" max="5"/>
    <col width="20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1" customWidth="1" min="15" max="15"/>
    <col width="12" customWidth="1" min="16" max="16"/>
    <col width="11" customWidth="1" min="17" max="17"/>
    <col width="6" customWidth="1" min="18" max="18"/>
    <col width="7" customWidth="1" min="19" max="19"/>
  </cols>
  <sheetData>
    <row r="1">
      <c r="A1" s="1" t="inlineStr">
        <is>
          <t>6. Pedidos</t>
        </is>
      </c>
    </row>
    <row r="2">
      <c r="A2" s="2" t="inlineStr">
        <is>
          <t>Uma linha por pedido. Preencha as colunas amarelas. Se o 'Preço unitário' ficar vazio, a planilha usa o 'Seu preço atual' da aba Produtos.</t>
        </is>
      </c>
    </row>
    <row r="3" ht="42" customHeight="1">
      <c r="A3" s="18" t="inlineStr">
        <is>
          <t>Data</t>
        </is>
      </c>
      <c r="B3" s="18" t="inlineStr">
        <is>
          <t>Cliente</t>
        </is>
      </c>
      <c r="C3" s="18" t="inlineStr">
        <is>
          <t>Produto</t>
        </is>
      </c>
      <c r="D3" s="18" t="inlineStr">
        <is>
          <t>Qtd</t>
        </is>
      </c>
      <c r="E3" s="18" t="inlineStr">
        <is>
          <t>Preço unitário cobrado (vazio = tabela)</t>
        </is>
      </c>
      <c r="F3" s="18" t="inlineStr">
        <is>
          <t>Bairro (entrega)</t>
        </is>
      </c>
      <c r="G3" s="18" t="inlineStr">
        <is>
          <t>Taxa de entrega cobrada</t>
        </is>
      </c>
      <c r="H3" s="18" t="inlineStr">
        <is>
          <t>Pagamento</t>
        </is>
      </c>
      <c r="I3" s="18" t="inlineStr">
        <is>
          <t>Status</t>
        </is>
      </c>
      <c r="J3" s="18" t="inlineStr">
        <is>
          <t>Sinal recebido (R$)</t>
        </is>
      </c>
      <c r="K3" s="18" t="inlineStr">
        <is>
          <t>TOTAL do pedido</t>
        </is>
      </c>
      <c r="L3" s="18" t="inlineStr">
        <is>
          <t>Taxa da operadora</t>
        </is>
      </c>
      <c r="M3" s="18" t="inlineStr">
        <is>
          <t>Custo de material</t>
        </is>
      </c>
      <c r="N3" s="18" t="inlineStr">
        <is>
          <t>Sua hora (custo)</t>
        </is>
      </c>
      <c r="O3" s="18" t="inlineStr">
        <is>
          <t>Custo da entrega</t>
        </is>
      </c>
      <c r="P3" s="18" t="inlineStr">
        <is>
          <t>LUCRO do pedido</t>
        </is>
      </c>
      <c r="Q3" s="18" t="inlineStr">
        <is>
          <t>Falta receber</t>
        </is>
      </c>
      <c r="R3" s="18" t="inlineStr">
        <is>
          <t>Mês</t>
        </is>
      </c>
      <c r="S3" s="18" t="inlineStr">
        <is>
          <t>Ano</t>
        </is>
      </c>
    </row>
    <row r="4">
      <c r="A4" s="23" t="n">
        <v>46297</v>
      </c>
      <c r="B4" s="19" t="inlineStr">
        <is>
          <t>Ana (vizinha)</t>
        </is>
      </c>
      <c r="C4" s="19" t="inlineStr">
        <is>
          <t>Marmita frango grelhado</t>
        </is>
      </c>
      <c r="D4" s="7" t="n">
        <v>5</v>
      </c>
      <c r="E4" s="13" t="n"/>
      <c r="F4" s="19" t="inlineStr">
        <is>
          <t>Mesmo bairro</t>
        </is>
      </c>
      <c r="G4" s="13" t="n">
        <v>0</v>
      </c>
      <c r="H4" s="19" t="inlineStr">
        <is>
          <t>Pix</t>
        </is>
      </c>
      <c r="I4" s="19" t="inlineStr">
        <is>
          <t>Entregue</t>
        </is>
      </c>
      <c r="J4" s="13" t="n">
        <v>0</v>
      </c>
      <c r="K4" s="9">
        <f>IF(AND(C4&lt;&gt;"",N(D4)&gt;0,I4&lt;&gt;"Cancelado"),D4*IF(N(E4)&gt;0,E4,IFERROR(VLOOKUP(C4,Produtos!$A$4:$O$53,15,0),0))+N(G4),"")</f>
        <v/>
      </c>
      <c r="L4" s="9">
        <f>IF(K4="","",K4*IFERROR(VLOOKUP(H4,Config!$B$15:$C$19,2,0),0))</f>
        <v/>
      </c>
      <c r="M4" s="9">
        <f>IF(K4="","",D4*IFERROR(VLOOKUP(C4,Produtos!$A$4:$I$53,9,0),0))</f>
        <v/>
      </c>
      <c r="N4" s="9">
        <f>IF(K4="","",D4*IFERROR(VLOOKUP(C4,Produtos!$A$4:$J$53,10,0),0))</f>
        <v/>
      </c>
      <c r="O4" s="9">
        <f>IF(OR(K4="",F4=""),IF(K4="","",0),IFERROR(VLOOKUP(F4,Entrega!$A$4:$E$43,5,0),0))</f>
        <v/>
      </c>
      <c r="P4" s="9">
        <f>IF(K4="","",K4-L4-M4-N4-O4)</f>
        <v/>
      </c>
      <c r="Q4" s="9">
        <f>IF(K4="","",IF(I4="Entregue",0,K4-N(J4)))</f>
        <v/>
      </c>
      <c r="R4" s="12">
        <f>IF(ISNUMBER(A4),MONTH(A4),"")</f>
        <v/>
      </c>
      <c r="S4" s="12">
        <f>IF(ISNUMBER(A4),YEAR(A4),"")</f>
        <v/>
      </c>
    </row>
    <row r="5">
      <c r="A5" s="23" t="n">
        <v>46298</v>
      </c>
      <c r="B5" s="19" t="inlineStr">
        <is>
          <t>Escritório Silva</t>
        </is>
      </c>
      <c r="C5" s="19" t="inlineStr">
        <is>
          <t>Marmita frango grelhado</t>
        </is>
      </c>
      <c r="D5" s="7" t="n">
        <v>8</v>
      </c>
      <c r="E5" s="13" t="n">
        <v>21</v>
      </c>
      <c r="F5" s="19" t="inlineStr">
        <is>
          <t>Centro</t>
        </is>
      </c>
      <c r="G5" s="13" t="n">
        <v>6</v>
      </c>
      <c r="H5" s="19" t="inlineStr">
        <is>
          <t>Pix</t>
        </is>
      </c>
      <c r="I5" s="19" t="inlineStr">
        <is>
          <t>Entregue</t>
        </is>
      </c>
      <c r="J5" s="13" t="n">
        <v>0</v>
      </c>
      <c r="K5" s="9">
        <f>IF(AND(C5&lt;&gt;"",N(D5)&gt;0,I5&lt;&gt;"Cancelado"),D5*IF(N(E5)&gt;0,E5,IFERROR(VLOOKUP(C5,Produtos!$A$4:$O$53,15,0),0))+N(G5),"")</f>
        <v/>
      </c>
      <c r="L5" s="9">
        <f>IF(K5="","",K5*IFERROR(VLOOKUP(H5,Config!$B$15:$C$19,2,0),0))</f>
        <v/>
      </c>
      <c r="M5" s="9">
        <f>IF(K5="","",D5*IFERROR(VLOOKUP(C5,Produtos!$A$4:$I$53,9,0),0))</f>
        <v/>
      </c>
      <c r="N5" s="9">
        <f>IF(K5="","",D5*IFERROR(VLOOKUP(C5,Produtos!$A$4:$J$53,10,0),0))</f>
        <v/>
      </c>
      <c r="O5" s="9">
        <f>IF(OR(K5="",F5=""),IF(K5="","",0),IFERROR(VLOOKUP(F5,Entrega!$A$4:$E$43,5,0),0))</f>
        <v/>
      </c>
      <c r="P5" s="9">
        <f>IF(K5="","",K5-L5-M5-N5-O5)</f>
        <v/>
      </c>
      <c r="Q5" s="9">
        <f>IF(K5="","",IF(I5="Entregue",0,K5-N(J5)))</f>
        <v/>
      </c>
      <c r="R5" s="12">
        <f>IF(ISNUMBER(A5),MONTH(A5),"")</f>
        <v/>
      </c>
      <c r="S5" s="12">
        <f>IF(ISNUMBER(A5),YEAR(A5),"")</f>
        <v/>
      </c>
    </row>
    <row r="6">
      <c r="A6" s="23" t="n">
        <v>46300</v>
      </c>
      <c r="B6" s="19" t="inlineStr">
        <is>
          <t>Festa Júlia</t>
        </is>
      </c>
      <c r="C6" s="19" t="inlineStr">
        <is>
          <t>Coxinha de frango (unid.)</t>
        </is>
      </c>
      <c r="D6" s="7" t="n">
        <v>100</v>
      </c>
      <c r="E6" s="13" t="n">
        <v>1.8</v>
      </c>
      <c r="F6" s="19" t="inlineStr">
        <is>
          <t>Jardim América</t>
        </is>
      </c>
      <c r="G6" s="13" t="n">
        <v>8</v>
      </c>
      <c r="H6" s="19" t="inlineStr">
        <is>
          <t>Pix</t>
        </is>
      </c>
      <c r="I6" s="19" t="inlineStr">
        <is>
          <t>Entregue</t>
        </is>
      </c>
      <c r="J6" s="13" t="n">
        <v>90</v>
      </c>
      <c r="K6" s="9">
        <f>IF(AND(C6&lt;&gt;"",N(D6)&gt;0,I6&lt;&gt;"Cancelado"),D6*IF(N(E6)&gt;0,E6,IFERROR(VLOOKUP(C6,Produtos!$A$4:$O$53,15,0),0))+N(G6),"")</f>
        <v/>
      </c>
      <c r="L6" s="9">
        <f>IF(K6="","",K6*IFERROR(VLOOKUP(H6,Config!$B$15:$C$19,2,0),0))</f>
        <v/>
      </c>
      <c r="M6" s="9">
        <f>IF(K6="","",D6*IFERROR(VLOOKUP(C6,Produtos!$A$4:$I$53,9,0),0))</f>
        <v/>
      </c>
      <c r="N6" s="9">
        <f>IF(K6="","",D6*IFERROR(VLOOKUP(C6,Produtos!$A$4:$J$53,10,0),0))</f>
        <v/>
      </c>
      <c r="O6" s="9">
        <f>IF(OR(K6="",F6=""),IF(K6="","",0),IFERROR(VLOOKUP(F6,Entrega!$A$4:$E$43,5,0),0))</f>
        <v/>
      </c>
      <c r="P6" s="9">
        <f>IF(K6="","",K6-L6-M6-N6-O6)</f>
        <v/>
      </c>
      <c r="Q6" s="9">
        <f>IF(K6="","",IF(I6="Entregue",0,K6-N(J6)))</f>
        <v/>
      </c>
      <c r="R6" s="12">
        <f>IF(ISNUMBER(A6),MONTH(A6),"")</f>
        <v/>
      </c>
      <c r="S6" s="12">
        <f>IF(ISNUMBER(A6),YEAR(A6),"")</f>
        <v/>
      </c>
    </row>
    <row r="7">
      <c r="A7" s="23" t="n">
        <v>46301</v>
      </c>
      <c r="B7" s="19" t="inlineStr">
        <is>
          <t>Marcos</t>
        </is>
      </c>
      <c r="C7" s="19" t="inlineStr">
        <is>
          <t>Marmita frango grelhado</t>
        </is>
      </c>
      <c r="D7" s="7" t="n">
        <v>2</v>
      </c>
      <c r="E7" s="13" t="n"/>
      <c r="F7" s="19" t="inlineStr">
        <is>
          <t>Mesmo bairro</t>
        </is>
      </c>
      <c r="G7" s="13" t="n">
        <v>3</v>
      </c>
      <c r="H7" s="19" t="inlineStr">
        <is>
          <t>Cartão de crédito</t>
        </is>
      </c>
      <c r="I7" s="19" t="inlineStr">
        <is>
          <t>Entregue</t>
        </is>
      </c>
      <c r="J7" s="13" t="n">
        <v>0</v>
      </c>
      <c r="K7" s="9">
        <f>IF(AND(C7&lt;&gt;"",N(D7)&gt;0,I7&lt;&gt;"Cancelado"),D7*IF(N(E7)&gt;0,E7,IFERROR(VLOOKUP(C7,Produtos!$A$4:$O$53,15,0),0))+N(G7),"")</f>
        <v/>
      </c>
      <c r="L7" s="9">
        <f>IF(K7="","",K7*IFERROR(VLOOKUP(H7,Config!$B$15:$C$19,2,0),0))</f>
        <v/>
      </c>
      <c r="M7" s="9">
        <f>IF(K7="","",D7*IFERROR(VLOOKUP(C7,Produtos!$A$4:$I$53,9,0),0))</f>
        <v/>
      </c>
      <c r="N7" s="9">
        <f>IF(K7="","",D7*IFERROR(VLOOKUP(C7,Produtos!$A$4:$J$53,10,0),0))</f>
        <v/>
      </c>
      <c r="O7" s="9">
        <f>IF(OR(K7="",F7=""),IF(K7="","",0),IFERROR(VLOOKUP(F7,Entrega!$A$4:$E$43,5,0),0))</f>
        <v/>
      </c>
      <c r="P7" s="9">
        <f>IF(K7="","",K7-L7-M7-N7-O7)</f>
        <v/>
      </c>
      <c r="Q7" s="9">
        <f>IF(K7="","",IF(I7="Entregue",0,K7-N(J7)))</f>
        <v/>
      </c>
      <c r="R7" s="12">
        <f>IF(ISNUMBER(A7),MONTH(A7),"")</f>
        <v/>
      </c>
      <c r="S7" s="12">
        <f>IF(ISNUMBER(A7),YEAR(A7),"")</f>
        <v/>
      </c>
    </row>
    <row r="8">
      <c r="A8" s="23" t="n">
        <v>46303</v>
      </c>
      <c r="B8" s="19" t="inlineStr">
        <is>
          <t>Festa Júlia</t>
        </is>
      </c>
      <c r="C8" s="19" t="inlineStr">
        <is>
          <t>Brigadeiro gourmet (unid.)</t>
        </is>
      </c>
      <c r="D8" s="7" t="n">
        <v>80</v>
      </c>
      <c r="E8" s="13" t="n"/>
      <c r="F8" s="19" t="inlineStr">
        <is>
          <t>Jardim América</t>
        </is>
      </c>
      <c r="G8" s="13" t="n">
        <v>0</v>
      </c>
      <c r="H8" s="19" t="inlineStr">
        <is>
          <t>Pix</t>
        </is>
      </c>
      <c r="I8" s="19" t="inlineStr">
        <is>
          <t>Entregue</t>
        </is>
      </c>
      <c r="J8" s="13" t="n">
        <v>100</v>
      </c>
      <c r="K8" s="9">
        <f>IF(AND(C8&lt;&gt;"",N(D8)&gt;0,I8&lt;&gt;"Cancelado"),D8*IF(N(E8)&gt;0,E8,IFERROR(VLOOKUP(C8,Produtos!$A$4:$O$53,15,0),0))+N(G8),"")</f>
        <v/>
      </c>
      <c r="L8" s="9">
        <f>IF(K8="","",K8*IFERROR(VLOOKUP(H8,Config!$B$15:$C$19,2,0),0))</f>
        <v/>
      </c>
      <c r="M8" s="9">
        <f>IF(K8="","",D8*IFERROR(VLOOKUP(C8,Produtos!$A$4:$I$53,9,0),0))</f>
        <v/>
      </c>
      <c r="N8" s="9">
        <f>IF(K8="","",D8*IFERROR(VLOOKUP(C8,Produtos!$A$4:$J$53,10,0),0))</f>
        <v/>
      </c>
      <c r="O8" s="9">
        <f>IF(OR(K8="",F8=""),IF(K8="","",0),IFERROR(VLOOKUP(F8,Entrega!$A$4:$E$43,5,0),0))</f>
        <v/>
      </c>
      <c r="P8" s="9">
        <f>IF(K8="","",K8-L8-M8-N8-O8)</f>
        <v/>
      </c>
      <c r="Q8" s="9">
        <f>IF(K8="","",IF(I8="Entregue",0,K8-N(J8)))</f>
        <v/>
      </c>
      <c r="R8" s="12">
        <f>IF(ISNUMBER(A8),MONTH(A8),"")</f>
        <v/>
      </c>
      <c r="S8" s="12">
        <f>IF(ISNUMBER(A8),YEAR(A8),"")</f>
        <v/>
      </c>
    </row>
    <row r="9">
      <c r="A9" s="23" t="n">
        <v>46305</v>
      </c>
      <c r="B9" s="19" t="inlineStr">
        <is>
          <t>Bruna</t>
        </is>
      </c>
      <c r="C9" s="19" t="inlineStr">
        <is>
          <t>Marmita frango grelhado</t>
        </is>
      </c>
      <c r="D9" s="7" t="n">
        <v>10</v>
      </c>
      <c r="E9" s="13" t="n">
        <v>20</v>
      </c>
      <c r="F9" s="19" t="inlineStr">
        <is>
          <t>Vila Nova (motoboy)</t>
        </is>
      </c>
      <c r="G9" s="13" t="n">
        <v>12</v>
      </c>
      <c r="H9" s="19" t="inlineStr">
        <is>
          <t>Pix</t>
        </is>
      </c>
      <c r="I9" s="19" t="inlineStr">
        <is>
          <t>Entregue</t>
        </is>
      </c>
      <c r="J9" s="13" t="n">
        <v>0</v>
      </c>
      <c r="K9" s="9">
        <f>IF(AND(C9&lt;&gt;"",N(D9)&gt;0,I9&lt;&gt;"Cancelado"),D9*IF(N(E9)&gt;0,E9,IFERROR(VLOOKUP(C9,Produtos!$A$4:$O$53,15,0),0))+N(G9),"")</f>
        <v/>
      </c>
      <c r="L9" s="9">
        <f>IF(K9="","",K9*IFERROR(VLOOKUP(H9,Config!$B$15:$C$19,2,0),0))</f>
        <v/>
      </c>
      <c r="M9" s="9">
        <f>IF(K9="","",D9*IFERROR(VLOOKUP(C9,Produtos!$A$4:$I$53,9,0),0))</f>
        <v/>
      </c>
      <c r="N9" s="9">
        <f>IF(K9="","",D9*IFERROR(VLOOKUP(C9,Produtos!$A$4:$J$53,10,0),0))</f>
        <v/>
      </c>
      <c r="O9" s="9">
        <f>IF(OR(K9="",F9=""),IF(K9="","",0),IFERROR(VLOOKUP(F9,Entrega!$A$4:$E$43,5,0),0))</f>
        <v/>
      </c>
      <c r="P9" s="9">
        <f>IF(K9="","",K9-L9-M9-N9-O9)</f>
        <v/>
      </c>
      <c r="Q9" s="9">
        <f>IF(K9="","",IF(I9="Entregue",0,K9-N(J9)))</f>
        <v/>
      </c>
      <c r="R9" s="12">
        <f>IF(ISNUMBER(A9),MONTH(A9),"")</f>
        <v/>
      </c>
      <c r="S9" s="12">
        <f>IF(ISNUMBER(A9),YEAR(A9),"")</f>
        <v/>
      </c>
    </row>
    <row r="10">
      <c r="A10" s="23" t="n">
        <v>46307</v>
      </c>
      <c r="B10" s="19" t="inlineStr">
        <is>
          <t>Igreja</t>
        </is>
      </c>
      <c r="C10" s="19" t="inlineStr">
        <is>
          <t>Coxinha de frango (unid.)</t>
        </is>
      </c>
      <c r="D10" s="7" t="n">
        <v>200</v>
      </c>
      <c r="E10" s="13" t="n">
        <v>1.6</v>
      </c>
      <c r="F10" s="19" t="inlineStr">
        <is>
          <t>Centro</t>
        </is>
      </c>
      <c r="G10" s="13" t="n">
        <v>0</v>
      </c>
      <c r="H10" s="19" t="inlineStr">
        <is>
          <t>Dinheiro</t>
        </is>
      </c>
      <c r="I10" s="19" t="inlineStr">
        <is>
          <t>Entregue</t>
        </is>
      </c>
      <c r="J10" s="13" t="n">
        <v>160</v>
      </c>
      <c r="K10" s="9">
        <f>IF(AND(C10&lt;&gt;"",N(D10)&gt;0,I10&lt;&gt;"Cancelado"),D10*IF(N(E10)&gt;0,E10,IFERROR(VLOOKUP(C10,Produtos!$A$4:$O$53,15,0),0))+N(G10),"")</f>
        <v/>
      </c>
      <c r="L10" s="9">
        <f>IF(K10="","",K10*IFERROR(VLOOKUP(H10,Config!$B$15:$C$19,2,0),0))</f>
        <v/>
      </c>
      <c r="M10" s="9">
        <f>IF(K10="","",D10*IFERROR(VLOOKUP(C10,Produtos!$A$4:$I$53,9,0),0))</f>
        <v/>
      </c>
      <c r="N10" s="9">
        <f>IF(K10="","",D10*IFERROR(VLOOKUP(C10,Produtos!$A$4:$J$53,10,0),0))</f>
        <v/>
      </c>
      <c r="O10" s="9">
        <f>IF(OR(K10="",F10=""),IF(K10="","",0),IFERROR(VLOOKUP(F10,Entrega!$A$4:$E$43,5,0),0))</f>
        <v/>
      </c>
      <c r="P10" s="9">
        <f>IF(K10="","",K10-L10-M10-N10-O10)</f>
        <v/>
      </c>
      <c r="Q10" s="9">
        <f>IF(K10="","",IF(I10="Entregue",0,K10-N(J10)))</f>
        <v/>
      </c>
      <c r="R10" s="12">
        <f>IF(ISNUMBER(A10),MONTH(A10),"")</f>
        <v/>
      </c>
      <c r="S10" s="12">
        <f>IF(ISNUMBER(A10),YEAR(A10),"")</f>
        <v/>
      </c>
    </row>
    <row r="11">
      <c r="A11" s="23" t="n">
        <v>46310</v>
      </c>
      <c r="B11" s="19" t="inlineStr">
        <is>
          <t>iFood</t>
        </is>
      </c>
      <c r="C11" s="19" t="inlineStr">
        <is>
          <t>Marmita frango grelhado</t>
        </is>
      </c>
      <c r="D11" s="7" t="n">
        <v>6</v>
      </c>
      <c r="E11" s="13" t="n">
        <v>26</v>
      </c>
      <c r="F11" s="19" t="inlineStr"/>
      <c r="G11" s="13" t="n">
        <v>0</v>
      </c>
      <c r="H11" s="19" t="inlineStr">
        <is>
          <t>App de delivery</t>
        </is>
      </c>
      <c r="I11" s="19" t="inlineStr">
        <is>
          <t>Entregue</t>
        </is>
      </c>
      <c r="J11" s="13" t="n">
        <v>0</v>
      </c>
      <c r="K11" s="9">
        <f>IF(AND(C11&lt;&gt;"",N(D11)&gt;0,I11&lt;&gt;"Cancelado"),D11*IF(N(E11)&gt;0,E11,IFERROR(VLOOKUP(C11,Produtos!$A$4:$O$53,15,0),0))+N(G11),"")</f>
        <v/>
      </c>
      <c r="L11" s="9">
        <f>IF(K11="","",K11*IFERROR(VLOOKUP(H11,Config!$B$15:$C$19,2,0),0))</f>
        <v/>
      </c>
      <c r="M11" s="9">
        <f>IF(K11="","",D11*IFERROR(VLOOKUP(C11,Produtos!$A$4:$I$53,9,0),0))</f>
        <v/>
      </c>
      <c r="N11" s="9">
        <f>IF(K11="","",D11*IFERROR(VLOOKUP(C11,Produtos!$A$4:$J$53,10,0),0))</f>
        <v/>
      </c>
      <c r="O11" s="9">
        <f>IF(OR(K11="",F11=""),IF(K11="","",0),IFERROR(VLOOKUP(F11,Entrega!$A$4:$E$43,5,0),0))</f>
        <v/>
      </c>
      <c r="P11" s="9">
        <f>IF(K11="","",K11-L11-M11-N11-O11)</f>
        <v/>
      </c>
      <c r="Q11" s="9">
        <f>IF(K11="","",IF(I11="Entregue",0,K11-N(J11)))</f>
        <v/>
      </c>
      <c r="R11" s="12">
        <f>IF(ISNUMBER(A11),MONTH(A11),"")</f>
        <v/>
      </c>
      <c r="S11" s="12">
        <f>IF(ISNUMBER(A11),YEAR(A11),"")</f>
        <v/>
      </c>
    </row>
    <row r="12">
      <c r="A12" s="23" t="n">
        <v>46312</v>
      </c>
      <c r="B12" s="19" t="inlineStr">
        <is>
          <t>Carla</t>
        </is>
      </c>
      <c r="C12" s="19" t="inlineStr">
        <is>
          <t>Brigadeiro gourmet (unid.)</t>
        </is>
      </c>
      <c r="D12" s="7" t="n">
        <v>40</v>
      </c>
      <c r="E12" s="13" t="n"/>
      <c r="F12" s="19" t="inlineStr">
        <is>
          <t>Centro</t>
        </is>
      </c>
      <c r="G12" s="13" t="n">
        <v>6</v>
      </c>
      <c r="H12" s="19" t="inlineStr">
        <is>
          <t>Cartão de débito</t>
        </is>
      </c>
      <c r="I12" s="19" t="inlineStr">
        <is>
          <t>Entregue</t>
        </is>
      </c>
      <c r="J12" s="13" t="n">
        <v>0</v>
      </c>
      <c r="K12" s="9">
        <f>IF(AND(C12&lt;&gt;"",N(D12)&gt;0,I12&lt;&gt;"Cancelado"),D12*IF(N(E12)&gt;0,E12,IFERROR(VLOOKUP(C12,Produtos!$A$4:$O$53,15,0),0))+N(G12),"")</f>
        <v/>
      </c>
      <c r="L12" s="9">
        <f>IF(K12="","",K12*IFERROR(VLOOKUP(H12,Config!$B$15:$C$19,2,0),0))</f>
        <v/>
      </c>
      <c r="M12" s="9">
        <f>IF(K12="","",D12*IFERROR(VLOOKUP(C12,Produtos!$A$4:$I$53,9,0),0))</f>
        <v/>
      </c>
      <c r="N12" s="9">
        <f>IF(K12="","",D12*IFERROR(VLOOKUP(C12,Produtos!$A$4:$J$53,10,0),0))</f>
        <v/>
      </c>
      <c r="O12" s="9">
        <f>IF(OR(K12="",F12=""),IF(K12="","",0),IFERROR(VLOOKUP(F12,Entrega!$A$4:$E$43,5,0),0))</f>
        <v/>
      </c>
      <c r="P12" s="9">
        <f>IF(K12="","",K12-L12-M12-N12-O12)</f>
        <v/>
      </c>
      <c r="Q12" s="9">
        <f>IF(K12="","",IF(I12="Entregue",0,K12-N(J12)))</f>
        <v/>
      </c>
      <c r="R12" s="12">
        <f>IF(ISNUMBER(A12),MONTH(A12),"")</f>
        <v/>
      </c>
      <c r="S12" s="12">
        <f>IF(ISNUMBER(A12),YEAR(A12),"")</f>
        <v/>
      </c>
    </row>
    <row r="13">
      <c r="A13" s="23" t="n">
        <v>46317</v>
      </c>
      <c r="B13" s="19" t="inlineStr">
        <is>
          <t>Aniversário Léo</t>
        </is>
      </c>
      <c r="C13" s="19" t="inlineStr">
        <is>
          <t>Coxinha de frango (unid.)</t>
        </is>
      </c>
      <c r="D13" s="7" t="n">
        <v>150</v>
      </c>
      <c r="E13" s="13" t="n"/>
      <c r="F13" s="19" t="inlineStr">
        <is>
          <t>Jardim América</t>
        </is>
      </c>
      <c r="G13" s="13" t="n">
        <v>8</v>
      </c>
      <c r="H13" s="19" t="inlineStr">
        <is>
          <t>Pix</t>
        </is>
      </c>
      <c r="I13" s="19" t="inlineStr">
        <is>
          <t>Sinal pago</t>
        </is>
      </c>
      <c r="J13" s="13" t="n">
        <v>150</v>
      </c>
      <c r="K13" s="9">
        <f>IF(AND(C13&lt;&gt;"",N(D13)&gt;0,I13&lt;&gt;"Cancelado"),D13*IF(N(E13)&gt;0,E13,IFERROR(VLOOKUP(C13,Produtos!$A$4:$O$53,15,0),0))+N(G13),"")</f>
        <v/>
      </c>
      <c r="L13" s="9">
        <f>IF(K13="","",K13*IFERROR(VLOOKUP(H13,Config!$B$15:$C$19,2,0),0))</f>
        <v/>
      </c>
      <c r="M13" s="9">
        <f>IF(K13="","",D13*IFERROR(VLOOKUP(C13,Produtos!$A$4:$I$53,9,0),0))</f>
        <v/>
      </c>
      <c r="N13" s="9">
        <f>IF(K13="","",D13*IFERROR(VLOOKUP(C13,Produtos!$A$4:$J$53,10,0),0))</f>
        <v/>
      </c>
      <c r="O13" s="9">
        <f>IF(OR(K13="",F13=""),IF(K13="","",0),IFERROR(VLOOKUP(F13,Entrega!$A$4:$E$43,5,0),0))</f>
        <v/>
      </c>
      <c r="P13" s="9">
        <f>IF(K13="","",K13-L13-M13-N13-O13)</f>
        <v/>
      </c>
      <c r="Q13" s="9">
        <f>IF(K13="","",IF(I13="Entregue",0,K13-N(J13)))</f>
        <v/>
      </c>
      <c r="R13" s="12">
        <f>IF(ISNUMBER(A13),MONTH(A13),"")</f>
        <v/>
      </c>
      <c r="S13" s="12">
        <f>IF(ISNUMBER(A13),YEAR(A13),"")</f>
        <v/>
      </c>
    </row>
    <row r="14">
      <c r="A14" s="23" t="n">
        <v>46318</v>
      </c>
      <c r="B14" s="19" t="inlineStr">
        <is>
          <t>Escritório Silva</t>
        </is>
      </c>
      <c r="C14" s="19" t="inlineStr">
        <is>
          <t>Marmita frango grelhado</t>
        </is>
      </c>
      <c r="D14" s="7" t="n">
        <v>8</v>
      </c>
      <c r="E14" s="13" t="n">
        <v>21</v>
      </c>
      <c r="F14" s="19" t="inlineStr">
        <is>
          <t>Centro</t>
        </is>
      </c>
      <c r="G14" s="13" t="n">
        <v>6</v>
      </c>
      <c r="H14" s="19" t="inlineStr">
        <is>
          <t>Pix</t>
        </is>
      </c>
      <c r="I14" s="19" t="inlineStr">
        <is>
          <t>Encomenda</t>
        </is>
      </c>
      <c r="J14" s="13" t="n">
        <v>0</v>
      </c>
      <c r="K14" s="9">
        <f>IF(AND(C14&lt;&gt;"",N(D14)&gt;0,I14&lt;&gt;"Cancelado"),D14*IF(N(E14)&gt;0,E14,IFERROR(VLOOKUP(C14,Produtos!$A$4:$O$53,15,0),0))+N(G14),"")</f>
        <v/>
      </c>
      <c r="L14" s="9">
        <f>IF(K14="","",K14*IFERROR(VLOOKUP(H14,Config!$B$15:$C$19,2,0),0))</f>
        <v/>
      </c>
      <c r="M14" s="9">
        <f>IF(K14="","",D14*IFERROR(VLOOKUP(C14,Produtos!$A$4:$I$53,9,0),0))</f>
        <v/>
      </c>
      <c r="N14" s="9">
        <f>IF(K14="","",D14*IFERROR(VLOOKUP(C14,Produtos!$A$4:$J$53,10,0),0))</f>
        <v/>
      </c>
      <c r="O14" s="9">
        <f>IF(OR(K14="",F14=""),IF(K14="","",0),IFERROR(VLOOKUP(F14,Entrega!$A$4:$E$43,5,0),0))</f>
        <v/>
      </c>
      <c r="P14" s="9">
        <f>IF(K14="","",K14-L14-M14-N14-O14)</f>
        <v/>
      </c>
      <c r="Q14" s="9">
        <f>IF(K14="","",IF(I14="Entregue",0,K14-N(J14)))</f>
        <v/>
      </c>
      <c r="R14" s="12">
        <f>IF(ISNUMBER(A14),MONTH(A14),"")</f>
        <v/>
      </c>
      <c r="S14" s="12">
        <f>IF(ISNUMBER(A14),YEAR(A14),"")</f>
        <v/>
      </c>
    </row>
    <row r="15">
      <c r="A15" s="23" t="n"/>
      <c r="B15" s="19" t="n"/>
      <c r="C15" s="19" t="n"/>
      <c r="D15" s="7" t="n"/>
      <c r="E15" s="13" t="n"/>
      <c r="F15" s="19" t="n"/>
      <c r="G15" s="13" t="n"/>
      <c r="H15" s="19" t="n"/>
      <c r="I15" s="19" t="n"/>
      <c r="J15" s="13" t="n"/>
      <c r="K15" s="9">
        <f>IF(AND(C15&lt;&gt;"",N(D15)&gt;0,I15&lt;&gt;"Cancelado"),D15*IF(N(E15)&gt;0,E15,IFERROR(VLOOKUP(C15,Produtos!$A$4:$O$53,15,0),0))+N(G15),"")</f>
        <v/>
      </c>
      <c r="L15" s="9">
        <f>IF(K15="","",K15*IFERROR(VLOOKUP(H15,Config!$B$15:$C$19,2,0),0))</f>
        <v/>
      </c>
      <c r="M15" s="9">
        <f>IF(K15="","",D15*IFERROR(VLOOKUP(C15,Produtos!$A$4:$I$53,9,0),0))</f>
        <v/>
      </c>
      <c r="N15" s="9">
        <f>IF(K15="","",D15*IFERROR(VLOOKUP(C15,Produtos!$A$4:$J$53,10,0),0))</f>
        <v/>
      </c>
      <c r="O15" s="9">
        <f>IF(OR(K15="",F15=""),IF(K15="","",0),IFERROR(VLOOKUP(F15,Entrega!$A$4:$E$43,5,0),0))</f>
        <v/>
      </c>
      <c r="P15" s="9">
        <f>IF(K15="","",K15-L15-M15-N15-O15)</f>
        <v/>
      </c>
      <c r="Q15" s="9">
        <f>IF(K15="","",IF(I15="Entregue",0,K15-N(J15)))</f>
        <v/>
      </c>
      <c r="R15" s="12">
        <f>IF(ISNUMBER(A15),MONTH(A15),"")</f>
        <v/>
      </c>
      <c r="S15" s="12">
        <f>IF(ISNUMBER(A15),YEAR(A15),"")</f>
        <v/>
      </c>
    </row>
    <row r="16">
      <c r="A16" s="23" t="n"/>
      <c r="B16" s="19" t="n"/>
      <c r="C16" s="19" t="n"/>
      <c r="D16" s="7" t="n"/>
      <c r="E16" s="13" t="n"/>
      <c r="F16" s="19" t="n"/>
      <c r="G16" s="13" t="n"/>
      <c r="H16" s="19" t="n"/>
      <c r="I16" s="19" t="n"/>
      <c r="J16" s="13" t="n"/>
      <c r="K16" s="9">
        <f>IF(AND(C16&lt;&gt;"",N(D16)&gt;0,I16&lt;&gt;"Cancelado"),D16*IF(N(E16)&gt;0,E16,IFERROR(VLOOKUP(C16,Produtos!$A$4:$O$53,15,0),0))+N(G16),"")</f>
        <v/>
      </c>
      <c r="L16" s="9">
        <f>IF(K16="","",K16*IFERROR(VLOOKUP(H16,Config!$B$15:$C$19,2,0),0))</f>
        <v/>
      </c>
      <c r="M16" s="9">
        <f>IF(K16="","",D16*IFERROR(VLOOKUP(C16,Produtos!$A$4:$I$53,9,0),0))</f>
        <v/>
      </c>
      <c r="N16" s="9">
        <f>IF(K16="","",D16*IFERROR(VLOOKUP(C16,Produtos!$A$4:$J$53,10,0),0))</f>
        <v/>
      </c>
      <c r="O16" s="9">
        <f>IF(OR(K16="",F16=""),IF(K16="","",0),IFERROR(VLOOKUP(F16,Entrega!$A$4:$E$43,5,0),0))</f>
        <v/>
      </c>
      <c r="P16" s="9">
        <f>IF(K16="","",K16-L16-M16-N16-O16)</f>
        <v/>
      </c>
      <c r="Q16" s="9">
        <f>IF(K16="","",IF(I16="Entregue",0,K16-N(J16)))</f>
        <v/>
      </c>
      <c r="R16" s="12">
        <f>IF(ISNUMBER(A16),MONTH(A16),"")</f>
        <v/>
      </c>
      <c r="S16" s="12">
        <f>IF(ISNUMBER(A16),YEAR(A16),"")</f>
        <v/>
      </c>
    </row>
    <row r="17">
      <c r="A17" s="23" t="n"/>
      <c r="B17" s="19" t="n"/>
      <c r="C17" s="19" t="n"/>
      <c r="D17" s="7" t="n"/>
      <c r="E17" s="13" t="n"/>
      <c r="F17" s="19" t="n"/>
      <c r="G17" s="13" t="n"/>
      <c r="H17" s="19" t="n"/>
      <c r="I17" s="19" t="n"/>
      <c r="J17" s="13" t="n"/>
      <c r="K17" s="9">
        <f>IF(AND(C17&lt;&gt;"",N(D17)&gt;0,I17&lt;&gt;"Cancelado"),D17*IF(N(E17)&gt;0,E17,IFERROR(VLOOKUP(C17,Produtos!$A$4:$O$53,15,0),0))+N(G17),"")</f>
        <v/>
      </c>
      <c r="L17" s="9">
        <f>IF(K17="","",K17*IFERROR(VLOOKUP(H17,Config!$B$15:$C$19,2,0),0))</f>
        <v/>
      </c>
      <c r="M17" s="9">
        <f>IF(K17="","",D17*IFERROR(VLOOKUP(C17,Produtos!$A$4:$I$53,9,0),0))</f>
        <v/>
      </c>
      <c r="N17" s="9">
        <f>IF(K17="","",D17*IFERROR(VLOOKUP(C17,Produtos!$A$4:$J$53,10,0),0))</f>
        <v/>
      </c>
      <c r="O17" s="9">
        <f>IF(OR(K17="",F17=""),IF(K17="","",0),IFERROR(VLOOKUP(F17,Entrega!$A$4:$E$43,5,0),0))</f>
        <v/>
      </c>
      <c r="P17" s="9">
        <f>IF(K17="","",K17-L17-M17-N17-O17)</f>
        <v/>
      </c>
      <c r="Q17" s="9">
        <f>IF(K17="","",IF(I17="Entregue",0,K17-N(J17)))</f>
        <v/>
      </c>
      <c r="R17" s="12">
        <f>IF(ISNUMBER(A17),MONTH(A17),"")</f>
        <v/>
      </c>
      <c r="S17" s="12">
        <f>IF(ISNUMBER(A17),YEAR(A17),"")</f>
        <v/>
      </c>
    </row>
    <row r="18">
      <c r="A18" s="23" t="n"/>
      <c r="B18" s="19" t="n"/>
      <c r="C18" s="19" t="n"/>
      <c r="D18" s="7" t="n"/>
      <c r="E18" s="13" t="n"/>
      <c r="F18" s="19" t="n"/>
      <c r="G18" s="13" t="n"/>
      <c r="H18" s="19" t="n"/>
      <c r="I18" s="19" t="n"/>
      <c r="J18" s="13" t="n"/>
      <c r="K18" s="9">
        <f>IF(AND(C18&lt;&gt;"",N(D18)&gt;0,I18&lt;&gt;"Cancelado"),D18*IF(N(E18)&gt;0,E18,IFERROR(VLOOKUP(C18,Produtos!$A$4:$O$53,15,0),0))+N(G18),"")</f>
        <v/>
      </c>
      <c r="L18" s="9">
        <f>IF(K18="","",K18*IFERROR(VLOOKUP(H18,Config!$B$15:$C$19,2,0),0))</f>
        <v/>
      </c>
      <c r="M18" s="9">
        <f>IF(K18="","",D18*IFERROR(VLOOKUP(C18,Produtos!$A$4:$I$53,9,0),0))</f>
        <v/>
      </c>
      <c r="N18" s="9">
        <f>IF(K18="","",D18*IFERROR(VLOOKUP(C18,Produtos!$A$4:$J$53,10,0),0))</f>
        <v/>
      </c>
      <c r="O18" s="9">
        <f>IF(OR(K18="",F18=""),IF(K18="","",0),IFERROR(VLOOKUP(F18,Entrega!$A$4:$E$43,5,0),0))</f>
        <v/>
      </c>
      <c r="P18" s="9">
        <f>IF(K18="","",K18-L18-M18-N18-O18)</f>
        <v/>
      </c>
      <c r="Q18" s="9">
        <f>IF(K18="","",IF(I18="Entregue",0,K18-N(J18)))</f>
        <v/>
      </c>
      <c r="R18" s="12">
        <f>IF(ISNUMBER(A18),MONTH(A18),"")</f>
        <v/>
      </c>
      <c r="S18" s="12">
        <f>IF(ISNUMBER(A18),YEAR(A18),"")</f>
        <v/>
      </c>
    </row>
    <row r="19">
      <c r="A19" s="23" t="n"/>
      <c r="B19" s="19" t="n"/>
      <c r="C19" s="19" t="n"/>
      <c r="D19" s="7" t="n"/>
      <c r="E19" s="13" t="n"/>
      <c r="F19" s="19" t="n"/>
      <c r="G19" s="13" t="n"/>
      <c r="H19" s="19" t="n"/>
      <c r="I19" s="19" t="n"/>
      <c r="J19" s="13" t="n"/>
      <c r="K19" s="9">
        <f>IF(AND(C19&lt;&gt;"",N(D19)&gt;0,I19&lt;&gt;"Cancelado"),D19*IF(N(E19)&gt;0,E19,IFERROR(VLOOKUP(C19,Produtos!$A$4:$O$53,15,0),0))+N(G19),"")</f>
        <v/>
      </c>
      <c r="L19" s="9">
        <f>IF(K19="","",K19*IFERROR(VLOOKUP(H19,Config!$B$15:$C$19,2,0),0))</f>
        <v/>
      </c>
      <c r="M19" s="9">
        <f>IF(K19="","",D19*IFERROR(VLOOKUP(C19,Produtos!$A$4:$I$53,9,0),0))</f>
        <v/>
      </c>
      <c r="N19" s="9">
        <f>IF(K19="","",D19*IFERROR(VLOOKUP(C19,Produtos!$A$4:$J$53,10,0),0))</f>
        <v/>
      </c>
      <c r="O19" s="9">
        <f>IF(OR(K19="",F19=""),IF(K19="","",0),IFERROR(VLOOKUP(F19,Entrega!$A$4:$E$43,5,0),0))</f>
        <v/>
      </c>
      <c r="P19" s="9">
        <f>IF(K19="","",K19-L19-M19-N19-O19)</f>
        <v/>
      </c>
      <c r="Q19" s="9">
        <f>IF(K19="","",IF(I19="Entregue",0,K19-N(J19)))</f>
        <v/>
      </c>
      <c r="R19" s="12">
        <f>IF(ISNUMBER(A19),MONTH(A19),"")</f>
        <v/>
      </c>
      <c r="S19" s="12">
        <f>IF(ISNUMBER(A19),YEAR(A19),"")</f>
        <v/>
      </c>
    </row>
    <row r="20">
      <c r="A20" s="23" t="n"/>
      <c r="B20" s="19" t="n"/>
      <c r="C20" s="19" t="n"/>
      <c r="D20" s="7" t="n"/>
      <c r="E20" s="13" t="n"/>
      <c r="F20" s="19" t="n"/>
      <c r="G20" s="13" t="n"/>
      <c r="H20" s="19" t="n"/>
      <c r="I20" s="19" t="n"/>
      <c r="J20" s="13" t="n"/>
      <c r="K20" s="9">
        <f>IF(AND(C20&lt;&gt;"",N(D20)&gt;0,I20&lt;&gt;"Cancelado"),D20*IF(N(E20)&gt;0,E20,IFERROR(VLOOKUP(C20,Produtos!$A$4:$O$53,15,0),0))+N(G20),"")</f>
        <v/>
      </c>
      <c r="L20" s="9">
        <f>IF(K20="","",K20*IFERROR(VLOOKUP(H20,Config!$B$15:$C$19,2,0),0))</f>
        <v/>
      </c>
      <c r="M20" s="9">
        <f>IF(K20="","",D20*IFERROR(VLOOKUP(C20,Produtos!$A$4:$I$53,9,0),0))</f>
        <v/>
      </c>
      <c r="N20" s="9">
        <f>IF(K20="","",D20*IFERROR(VLOOKUP(C20,Produtos!$A$4:$J$53,10,0),0))</f>
        <v/>
      </c>
      <c r="O20" s="9">
        <f>IF(OR(K20="",F20=""),IF(K20="","",0),IFERROR(VLOOKUP(F20,Entrega!$A$4:$E$43,5,0),0))</f>
        <v/>
      </c>
      <c r="P20" s="9">
        <f>IF(K20="","",K20-L20-M20-N20-O20)</f>
        <v/>
      </c>
      <c r="Q20" s="9">
        <f>IF(K20="","",IF(I20="Entregue",0,K20-N(J20)))</f>
        <v/>
      </c>
      <c r="R20" s="12">
        <f>IF(ISNUMBER(A20),MONTH(A20),"")</f>
        <v/>
      </c>
      <c r="S20" s="12">
        <f>IF(ISNUMBER(A20),YEAR(A20),"")</f>
        <v/>
      </c>
    </row>
    <row r="21">
      <c r="A21" s="23" t="n"/>
      <c r="B21" s="19" t="n"/>
      <c r="C21" s="19" t="n"/>
      <c r="D21" s="7" t="n"/>
      <c r="E21" s="13" t="n"/>
      <c r="F21" s="19" t="n"/>
      <c r="G21" s="13" t="n"/>
      <c r="H21" s="19" t="n"/>
      <c r="I21" s="19" t="n"/>
      <c r="J21" s="13" t="n"/>
      <c r="K21" s="9">
        <f>IF(AND(C21&lt;&gt;"",N(D21)&gt;0,I21&lt;&gt;"Cancelado"),D21*IF(N(E21)&gt;0,E21,IFERROR(VLOOKUP(C21,Produtos!$A$4:$O$53,15,0),0))+N(G21),"")</f>
        <v/>
      </c>
      <c r="L21" s="9">
        <f>IF(K21="","",K21*IFERROR(VLOOKUP(H21,Config!$B$15:$C$19,2,0),0))</f>
        <v/>
      </c>
      <c r="M21" s="9">
        <f>IF(K21="","",D21*IFERROR(VLOOKUP(C21,Produtos!$A$4:$I$53,9,0),0))</f>
        <v/>
      </c>
      <c r="N21" s="9">
        <f>IF(K21="","",D21*IFERROR(VLOOKUP(C21,Produtos!$A$4:$J$53,10,0),0))</f>
        <v/>
      </c>
      <c r="O21" s="9">
        <f>IF(OR(K21="",F21=""),IF(K21="","",0),IFERROR(VLOOKUP(F21,Entrega!$A$4:$E$43,5,0),0))</f>
        <v/>
      </c>
      <c r="P21" s="9">
        <f>IF(K21="","",K21-L21-M21-N21-O21)</f>
        <v/>
      </c>
      <c r="Q21" s="9">
        <f>IF(K21="","",IF(I21="Entregue",0,K21-N(J21)))</f>
        <v/>
      </c>
      <c r="R21" s="12">
        <f>IF(ISNUMBER(A21),MONTH(A21),"")</f>
        <v/>
      </c>
      <c r="S21" s="12">
        <f>IF(ISNUMBER(A21),YEAR(A21),"")</f>
        <v/>
      </c>
    </row>
    <row r="22">
      <c r="A22" s="23" t="n"/>
      <c r="B22" s="19" t="n"/>
      <c r="C22" s="19" t="n"/>
      <c r="D22" s="7" t="n"/>
      <c r="E22" s="13" t="n"/>
      <c r="F22" s="19" t="n"/>
      <c r="G22" s="13" t="n"/>
      <c r="H22" s="19" t="n"/>
      <c r="I22" s="19" t="n"/>
      <c r="J22" s="13" t="n"/>
      <c r="K22" s="9">
        <f>IF(AND(C22&lt;&gt;"",N(D22)&gt;0,I22&lt;&gt;"Cancelado"),D22*IF(N(E22)&gt;0,E22,IFERROR(VLOOKUP(C22,Produtos!$A$4:$O$53,15,0),0))+N(G22),"")</f>
        <v/>
      </c>
      <c r="L22" s="9">
        <f>IF(K22="","",K22*IFERROR(VLOOKUP(H22,Config!$B$15:$C$19,2,0),0))</f>
        <v/>
      </c>
      <c r="M22" s="9">
        <f>IF(K22="","",D22*IFERROR(VLOOKUP(C22,Produtos!$A$4:$I$53,9,0),0))</f>
        <v/>
      </c>
      <c r="N22" s="9">
        <f>IF(K22="","",D22*IFERROR(VLOOKUP(C22,Produtos!$A$4:$J$53,10,0),0))</f>
        <v/>
      </c>
      <c r="O22" s="9">
        <f>IF(OR(K22="",F22=""),IF(K22="","",0),IFERROR(VLOOKUP(F22,Entrega!$A$4:$E$43,5,0),0))</f>
        <v/>
      </c>
      <c r="P22" s="9">
        <f>IF(K22="","",K22-L22-M22-N22-O22)</f>
        <v/>
      </c>
      <c r="Q22" s="9">
        <f>IF(K22="","",IF(I22="Entregue",0,K22-N(J22)))</f>
        <v/>
      </c>
      <c r="R22" s="12">
        <f>IF(ISNUMBER(A22),MONTH(A22),"")</f>
        <v/>
      </c>
      <c r="S22" s="12">
        <f>IF(ISNUMBER(A22),YEAR(A22),"")</f>
        <v/>
      </c>
    </row>
    <row r="23">
      <c r="A23" s="23" t="n"/>
      <c r="B23" s="19" t="n"/>
      <c r="C23" s="19" t="n"/>
      <c r="D23" s="7" t="n"/>
      <c r="E23" s="13" t="n"/>
      <c r="F23" s="19" t="n"/>
      <c r="G23" s="13" t="n"/>
      <c r="H23" s="19" t="n"/>
      <c r="I23" s="19" t="n"/>
      <c r="J23" s="13" t="n"/>
      <c r="K23" s="9">
        <f>IF(AND(C23&lt;&gt;"",N(D23)&gt;0,I23&lt;&gt;"Cancelado"),D23*IF(N(E23)&gt;0,E23,IFERROR(VLOOKUP(C23,Produtos!$A$4:$O$53,15,0),0))+N(G23),"")</f>
        <v/>
      </c>
      <c r="L23" s="9">
        <f>IF(K23="","",K23*IFERROR(VLOOKUP(H23,Config!$B$15:$C$19,2,0),0))</f>
        <v/>
      </c>
      <c r="M23" s="9">
        <f>IF(K23="","",D23*IFERROR(VLOOKUP(C23,Produtos!$A$4:$I$53,9,0),0))</f>
        <v/>
      </c>
      <c r="N23" s="9">
        <f>IF(K23="","",D23*IFERROR(VLOOKUP(C23,Produtos!$A$4:$J$53,10,0),0))</f>
        <v/>
      </c>
      <c r="O23" s="9">
        <f>IF(OR(K23="",F23=""),IF(K23="","",0),IFERROR(VLOOKUP(F23,Entrega!$A$4:$E$43,5,0),0))</f>
        <v/>
      </c>
      <c r="P23" s="9">
        <f>IF(K23="","",K23-L23-M23-N23-O23)</f>
        <v/>
      </c>
      <c r="Q23" s="9">
        <f>IF(K23="","",IF(I23="Entregue",0,K23-N(J23)))</f>
        <v/>
      </c>
      <c r="R23" s="12">
        <f>IF(ISNUMBER(A23),MONTH(A23),"")</f>
        <v/>
      </c>
      <c r="S23" s="12">
        <f>IF(ISNUMBER(A23),YEAR(A23),"")</f>
        <v/>
      </c>
    </row>
    <row r="24">
      <c r="A24" s="23" t="n"/>
      <c r="B24" s="19" t="n"/>
      <c r="C24" s="19" t="n"/>
      <c r="D24" s="7" t="n"/>
      <c r="E24" s="13" t="n"/>
      <c r="F24" s="19" t="n"/>
      <c r="G24" s="13" t="n"/>
      <c r="H24" s="19" t="n"/>
      <c r="I24" s="19" t="n"/>
      <c r="J24" s="13" t="n"/>
      <c r="K24" s="9">
        <f>IF(AND(C24&lt;&gt;"",N(D24)&gt;0,I24&lt;&gt;"Cancelado"),D24*IF(N(E24)&gt;0,E24,IFERROR(VLOOKUP(C24,Produtos!$A$4:$O$53,15,0),0))+N(G24),"")</f>
        <v/>
      </c>
      <c r="L24" s="9">
        <f>IF(K24="","",K24*IFERROR(VLOOKUP(H24,Config!$B$15:$C$19,2,0),0))</f>
        <v/>
      </c>
      <c r="M24" s="9">
        <f>IF(K24="","",D24*IFERROR(VLOOKUP(C24,Produtos!$A$4:$I$53,9,0),0))</f>
        <v/>
      </c>
      <c r="N24" s="9">
        <f>IF(K24="","",D24*IFERROR(VLOOKUP(C24,Produtos!$A$4:$J$53,10,0),0))</f>
        <v/>
      </c>
      <c r="O24" s="9">
        <f>IF(OR(K24="",F24=""),IF(K24="","",0),IFERROR(VLOOKUP(F24,Entrega!$A$4:$E$43,5,0),0))</f>
        <v/>
      </c>
      <c r="P24" s="9">
        <f>IF(K24="","",K24-L24-M24-N24-O24)</f>
        <v/>
      </c>
      <c r="Q24" s="9">
        <f>IF(K24="","",IF(I24="Entregue",0,K24-N(J24)))</f>
        <v/>
      </c>
      <c r="R24" s="12">
        <f>IF(ISNUMBER(A24),MONTH(A24),"")</f>
        <v/>
      </c>
      <c r="S24" s="12">
        <f>IF(ISNUMBER(A24),YEAR(A24),"")</f>
        <v/>
      </c>
    </row>
    <row r="25">
      <c r="A25" s="23" t="n"/>
      <c r="B25" s="19" t="n"/>
      <c r="C25" s="19" t="n"/>
      <c r="D25" s="7" t="n"/>
      <c r="E25" s="13" t="n"/>
      <c r="F25" s="19" t="n"/>
      <c r="G25" s="13" t="n"/>
      <c r="H25" s="19" t="n"/>
      <c r="I25" s="19" t="n"/>
      <c r="J25" s="13" t="n"/>
      <c r="K25" s="9">
        <f>IF(AND(C25&lt;&gt;"",N(D25)&gt;0,I25&lt;&gt;"Cancelado"),D25*IF(N(E25)&gt;0,E25,IFERROR(VLOOKUP(C25,Produtos!$A$4:$O$53,15,0),0))+N(G25),"")</f>
        <v/>
      </c>
      <c r="L25" s="9">
        <f>IF(K25="","",K25*IFERROR(VLOOKUP(H25,Config!$B$15:$C$19,2,0),0))</f>
        <v/>
      </c>
      <c r="M25" s="9">
        <f>IF(K25="","",D25*IFERROR(VLOOKUP(C25,Produtos!$A$4:$I$53,9,0),0))</f>
        <v/>
      </c>
      <c r="N25" s="9">
        <f>IF(K25="","",D25*IFERROR(VLOOKUP(C25,Produtos!$A$4:$J$53,10,0),0))</f>
        <v/>
      </c>
      <c r="O25" s="9">
        <f>IF(OR(K25="",F25=""),IF(K25="","",0),IFERROR(VLOOKUP(F25,Entrega!$A$4:$E$43,5,0),0))</f>
        <v/>
      </c>
      <c r="P25" s="9">
        <f>IF(K25="","",K25-L25-M25-N25-O25)</f>
        <v/>
      </c>
      <c r="Q25" s="9">
        <f>IF(K25="","",IF(I25="Entregue",0,K25-N(J25)))</f>
        <v/>
      </c>
      <c r="R25" s="12">
        <f>IF(ISNUMBER(A25),MONTH(A25),"")</f>
        <v/>
      </c>
      <c r="S25" s="12">
        <f>IF(ISNUMBER(A25),YEAR(A25),"")</f>
        <v/>
      </c>
    </row>
    <row r="26">
      <c r="A26" s="23" t="n"/>
      <c r="B26" s="19" t="n"/>
      <c r="C26" s="19" t="n"/>
      <c r="D26" s="7" t="n"/>
      <c r="E26" s="13" t="n"/>
      <c r="F26" s="19" t="n"/>
      <c r="G26" s="13" t="n"/>
      <c r="H26" s="19" t="n"/>
      <c r="I26" s="19" t="n"/>
      <c r="J26" s="13" t="n"/>
      <c r="K26" s="9">
        <f>IF(AND(C26&lt;&gt;"",N(D26)&gt;0,I26&lt;&gt;"Cancelado"),D26*IF(N(E26)&gt;0,E26,IFERROR(VLOOKUP(C26,Produtos!$A$4:$O$53,15,0),0))+N(G26),"")</f>
        <v/>
      </c>
      <c r="L26" s="9">
        <f>IF(K26="","",K26*IFERROR(VLOOKUP(H26,Config!$B$15:$C$19,2,0),0))</f>
        <v/>
      </c>
      <c r="M26" s="9">
        <f>IF(K26="","",D26*IFERROR(VLOOKUP(C26,Produtos!$A$4:$I$53,9,0),0))</f>
        <v/>
      </c>
      <c r="N26" s="9">
        <f>IF(K26="","",D26*IFERROR(VLOOKUP(C26,Produtos!$A$4:$J$53,10,0),0))</f>
        <v/>
      </c>
      <c r="O26" s="9">
        <f>IF(OR(K26="",F26=""),IF(K26="","",0),IFERROR(VLOOKUP(F26,Entrega!$A$4:$E$43,5,0),0))</f>
        <v/>
      </c>
      <c r="P26" s="9">
        <f>IF(K26="","",K26-L26-M26-N26-O26)</f>
        <v/>
      </c>
      <c r="Q26" s="9">
        <f>IF(K26="","",IF(I26="Entregue",0,K26-N(J26)))</f>
        <v/>
      </c>
      <c r="R26" s="12">
        <f>IF(ISNUMBER(A26),MONTH(A26),"")</f>
        <v/>
      </c>
      <c r="S26" s="12">
        <f>IF(ISNUMBER(A26),YEAR(A26),"")</f>
        <v/>
      </c>
    </row>
    <row r="27">
      <c r="A27" s="23" t="n"/>
      <c r="B27" s="19" t="n"/>
      <c r="C27" s="19" t="n"/>
      <c r="D27" s="7" t="n"/>
      <c r="E27" s="13" t="n"/>
      <c r="F27" s="19" t="n"/>
      <c r="G27" s="13" t="n"/>
      <c r="H27" s="19" t="n"/>
      <c r="I27" s="19" t="n"/>
      <c r="J27" s="13" t="n"/>
      <c r="K27" s="9">
        <f>IF(AND(C27&lt;&gt;"",N(D27)&gt;0,I27&lt;&gt;"Cancelado"),D27*IF(N(E27)&gt;0,E27,IFERROR(VLOOKUP(C27,Produtos!$A$4:$O$53,15,0),0))+N(G27),"")</f>
        <v/>
      </c>
      <c r="L27" s="9">
        <f>IF(K27="","",K27*IFERROR(VLOOKUP(H27,Config!$B$15:$C$19,2,0),0))</f>
        <v/>
      </c>
      <c r="M27" s="9">
        <f>IF(K27="","",D27*IFERROR(VLOOKUP(C27,Produtos!$A$4:$I$53,9,0),0))</f>
        <v/>
      </c>
      <c r="N27" s="9">
        <f>IF(K27="","",D27*IFERROR(VLOOKUP(C27,Produtos!$A$4:$J$53,10,0),0))</f>
        <v/>
      </c>
      <c r="O27" s="9">
        <f>IF(OR(K27="",F27=""),IF(K27="","",0),IFERROR(VLOOKUP(F27,Entrega!$A$4:$E$43,5,0),0))</f>
        <v/>
      </c>
      <c r="P27" s="9">
        <f>IF(K27="","",K27-L27-M27-N27-O27)</f>
        <v/>
      </c>
      <c r="Q27" s="9">
        <f>IF(K27="","",IF(I27="Entregue",0,K27-N(J27)))</f>
        <v/>
      </c>
      <c r="R27" s="12">
        <f>IF(ISNUMBER(A27),MONTH(A27),"")</f>
        <v/>
      </c>
      <c r="S27" s="12">
        <f>IF(ISNUMBER(A27),YEAR(A27),"")</f>
        <v/>
      </c>
    </row>
    <row r="28">
      <c r="A28" s="23" t="n"/>
      <c r="B28" s="19" t="n"/>
      <c r="C28" s="19" t="n"/>
      <c r="D28" s="7" t="n"/>
      <c r="E28" s="13" t="n"/>
      <c r="F28" s="19" t="n"/>
      <c r="G28" s="13" t="n"/>
      <c r="H28" s="19" t="n"/>
      <c r="I28" s="19" t="n"/>
      <c r="J28" s="13" t="n"/>
      <c r="K28" s="9">
        <f>IF(AND(C28&lt;&gt;"",N(D28)&gt;0,I28&lt;&gt;"Cancelado"),D28*IF(N(E28)&gt;0,E28,IFERROR(VLOOKUP(C28,Produtos!$A$4:$O$53,15,0),0))+N(G28),"")</f>
        <v/>
      </c>
      <c r="L28" s="9">
        <f>IF(K28="","",K28*IFERROR(VLOOKUP(H28,Config!$B$15:$C$19,2,0),0))</f>
        <v/>
      </c>
      <c r="M28" s="9">
        <f>IF(K28="","",D28*IFERROR(VLOOKUP(C28,Produtos!$A$4:$I$53,9,0),0))</f>
        <v/>
      </c>
      <c r="N28" s="9">
        <f>IF(K28="","",D28*IFERROR(VLOOKUP(C28,Produtos!$A$4:$J$53,10,0),0))</f>
        <v/>
      </c>
      <c r="O28" s="9">
        <f>IF(OR(K28="",F28=""),IF(K28="","",0),IFERROR(VLOOKUP(F28,Entrega!$A$4:$E$43,5,0),0))</f>
        <v/>
      </c>
      <c r="P28" s="9">
        <f>IF(K28="","",K28-L28-M28-N28-O28)</f>
        <v/>
      </c>
      <c r="Q28" s="9">
        <f>IF(K28="","",IF(I28="Entregue",0,K28-N(J28)))</f>
        <v/>
      </c>
      <c r="R28" s="12">
        <f>IF(ISNUMBER(A28),MONTH(A28),"")</f>
        <v/>
      </c>
      <c r="S28" s="12">
        <f>IF(ISNUMBER(A28),YEAR(A28),"")</f>
        <v/>
      </c>
    </row>
    <row r="29">
      <c r="A29" s="23" t="n"/>
      <c r="B29" s="19" t="n"/>
      <c r="C29" s="19" t="n"/>
      <c r="D29" s="7" t="n"/>
      <c r="E29" s="13" t="n"/>
      <c r="F29" s="19" t="n"/>
      <c r="G29" s="13" t="n"/>
      <c r="H29" s="19" t="n"/>
      <c r="I29" s="19" t="n"/>
      <c r="J29" s="13" t="n"/>
      <c r="K29" s="9">
        <f>IF(AND(C29&lt;&gt;"",N(D29)&gt;0,I29&lt;&gt;"Cancelado"),D29*IF(N(E29)&gt;0,E29,IFERROR(VLOOKUP(C29,Produtos!$A$4:$O$53,15,0),0))+N(G29),"")</f>
        <v/>
      </c>
      <c r="L29" s="9">
        <f>IF(K29="","",K29*IFERROR(VLOOKUP(H29,Config!$B$15:$C$19,2,0),0))</f>
        <v/>
      </c>
      <c r="M29" s="9">
        <f>IF(K29="","",D29*IFERROR(VLOOKUP(C29,Produtos!$A$4:$I$53,9,0),0))</f>
        <v/>
      </c>
      <c r="N29" s="9">
        <f>IF(K29="","",D29*IFERROR(VLOOKUP(C29,Produtos!$A$4:$J$53,10,0),0))</f>
        <v/>
      </c>
      <c r="O29" s="9">
        <f>IF(OR(K29="",F29=""),IF(K29="","",0),IFERROR(VLOOKUP(F29,Entrega!$A$4:$E$43,5,0),0))</f>
        <v/>
      </c>
      <c r="P29" s="9">
        <f>IF(K29="","",K29-L29-M29-N29-O29)</f>
        <v/>
      </c>
      <c r="Q29" s="9">
        <f>IF(K29="","",IF(I29="Entregue",0,K29-N(J29)))</f>
        <v/>
      </c>
      <c r="R29" s="12">
        <f>IF(ISNUMBER(A29),MONTH(A29),"")</f>
        <v/>
      </c>
      <c r="S29" s="12">
        <f>IF(ISNUMBER(A29),YEAR(A29),"")</f>
        <v/>
      </c>
    </row>
    <row r="30">
      <c r="A30" s="23" t="n"/>
      <c r="B30" s="19" t="n"/>
      <c r="C30" s="19" t="n"/>
      <c r="D30" s="7" t="n"/>
      <c r="E30" s="13" t="n"/>
      <c r="F30" s="19" t="n"/>
      <c r="G30" s="13" t="n"/>
      <c r="H30" s="19" t="n"/>
      <c r="I30" s="19" t="n"/>
      <c r="J30" s="13" t="n"/>
      <c r="K30" s="9">
        <f>IF(AND(C30&lt;&gt;"",N(D30)&gt;0,I30&lt;&gt;"Cancelado"),D30*IF(N(E30)&gt;0,E30,IFERROR(VLOOKUP(C30,Produtos!$A$4:$O$53,15,0),0))+N(G30),"")</f>
        <v/>
      </c>
      <c r="L30" s="9">
        <f>IF(K30="","",K30*IFERROR(VLOOKUP(H30,Config!$B$15:$C$19,2,0),0))</f>
        <v/>
      </c>
      <c r="M30" s="9">
        <f>IF(K30="","",D30*IFERROR(VLOOKUP(C30,Produtos!$A$4:$I$53,9,0),0))</f>
        <v/>
      </c>
      <c r="N30" s="9">
        <f>IF(K30="","",D30*IFERROR(VLOOKUP(C30,Produtos!$A$4:$J$53,10,0),0))</f>
        <v/>
      </c>
      <c r="O30" s="9">
        <f>IF(OR(K30="",F30=""),IF(K30="","",0),IFERROR(VLOOKUP(F30,Entrega!$A$4:$E$43,5,0),0))</f>
        <v/>
      </c>
      <c r="P30" s="9">
        <f>IF(K30="","",K30-L30-M30-N30-O30)</f>
        <v/>
      </c>
      <c r="Q30" s="9">
        <f>IF(K30="","",IF(I30="Entregue",0,K30-N(J30)))</f>
        <v/>
      </c>
      <c r="R30" s="12">
        <f>IF(ISNUMBER(A30),MONTH(A30),"")</f>
        <v/>
      </c>
      <c r="S30" s="12">
        <f>IF(ISNUMBER(A30),YEAR(A30),"")</f>
        <v/>
      </c>
    </row>
    <row r="31">
      <c r="A31" s="23" t="n"/>
      <c r="B31" s="19" t="n"/>
      <c r="C31" s="19" t="n"/>
      <c r="D31" s="7" t="n"/>
      <c r="E31" s="13" t="n"/>
      <c r="F31" s="19" t="n"/>
      <c r="G31" s="13" t="n"/>
      <c r="H31" s="19" t="n"/>
      <c r="I31" s="19" t="n"/>
      <c r="J31" s="13" t="n"/>
      <c r="K31" s="9">
        <f>IF(AND(C31&lt;&gt;"",N(D31)&gt;0,I31&lt;&gt;"Cancelado"),D31*IF(N(E31)&gt;0,E31,IFERROR(VLOOKUP(C31,Produtos!$A$4:$O$53,15,0),0))+N(G31),"")</f>
        <v/>
      </c>
      <c r="L31" s="9">
        <f>IF(K31="","",K31*IFERROR(VLOOKUP(H31,Config!$B$15:$C$19,2,0),0))</f>
        <v/>
      </c>
      <c r="M31" s="9">
        <f>IF(K31="","",D31*IFERROR(VLOOKUP(C31,Produtos!$A$4:$I$53,9,0),0))</f>
        <v/>
      </c>
      <c r="N31" s="9">
        <f>IF(K31="","",D31*IFERROR(VLOOKUP(C31,Produtos!$A$4:$J$53,10,0),0))</f>
        <v/>
      </c>
      <c r="O31" s="9">
        <f>IF(OR(K31="",F31=""),IF(K31="","",0),IFERROR(VLOOKUP(F31,Entrega!$A$4:$E$43,5,0),0))</f>
        <v/>
      </c>
      <c r="P31" s="9">
        <f>IF(K31="","",K31-L31-M31-N31-O31)</f>
        <v/>
      </c>
      <c r="Q31" s="9">
        <f>IF(K31="","",IF(I31="Entregue",0,K31-N(J31)))</f>
        <v/>
      </c>
      <c r="R31" s="12">
        <f>IF(ISNUMBER(A31),MONTH(A31),"")</f>
        <v/>
      </c>
      <c r="S31" s="12">
        <f>IF(ISNUMBER(A31),YEAR(A31),"")</f>
        <v/>
      </c>
    </row>
    <row r="32">
      <c r="A32" s="23" t="n"/>
      <c r="B32" s="19" t="n"/>
      <c r="C32" s="19" t="n"/>
      <c r="D32" s="7" t="n"/>
      <c r="E32" s="13" t="n"/>
      <c r="F32" s="19" t="n"/>
      <c r="G32" s="13" t="n"/>
      <c r="H32" s="19" t="n"/>
      <c r="I32" s="19" t="n"/>
      <c r="J32" s="13" t="n"/>
      <c r="K32" s="9">
        <f>IF(AND(C32&lt;&gt;"",N(D32)&gt;0,I32&lt;&gt;"Cancelado"),D32*IF(N(E32)&gt;0,E32,IFERROR(VLOOKUP(C32,Produtos!$A$4:$O$53,15,0),0))+N(G32),"")</f>
        <v/>
      </c>
      <c r="L32" s="9">
        <f>IF(K32="","",K32*IFERROR(VLOOKUP(H32,Config!$B$15:$C$19,2,0),0))</f>
        <v/>
      </c>
      <c r="M32" s="9">
        <f>IF(K32="","",D32*IFERROR(VLOOKUP(C32,Produtos!$A$4:$I$53,9,0),0))</f>
        <v/>
      </c>
      <c r="N32" s="9">
        <f>IF(K32="","",D32*IFERROR(VLOOKUP(C32,Produtos!$A$4:$J$53,10,0),0))</f>
        <v/>
      </c>
      <c r="O32" s="9">
        <f>IF(OR(K32="",F32=""),IF(K32="","",0),IFERROR(VLOOKUP(F32,Entrega!$A$4:$E$43,5,0),0))</f>
        <v/>
      </c>
      <c r="P32" s="9">
        <f>IF(K32="","",K32-L32-M32-N32-O32)</f>
        <v/>
      </c>
      <c r="Q32" s="9">
        <f>IF(K32="","",IF(I32="Entregue",0,K32-N(J32)))</f>
        <v/>
      </c>
      <c r="R32" s="12">
        <f>IF(ISNUMBER(A32),MONTH(A32),"")</f>
        <v/>
      </c>
      <c r="S32" s="12">
        <f>IF(ISNUMBER(A32),YEAR(A32),"")</f>
        <v/>
      </c>
    </row>
    <row r="33">
      <c r="A33" s="23" t="n"/>
      <c r="B33" s="19" t="n"/>
      <c r="C33" s="19" t="n"/>
      <c r="D33" s="7" t="n"/>
      <c r="E33" s="13" t="n"/>
      <c r="F33" s="19" t="n"/>
      <c r="G33" s="13" t="n"/>
      <c r="H33" s="19" t="n"/>
      <c r="I33" s="19" t="n"/>
      <c r="J33" s="13" t="n"/>
      <c r="K33" s="9">
        <f>IF(AND(C33&lt;&gt;"",N(D33)&gt;0,I33&lt;&gt;"Cancelado"),D33*IF(N(E33)&gt;0,E33,IFERROR(VLOOKUP(C33,Produtos!$A$4:$O$53,15,0),0))+N(G33),"")</f>
        <v/>
      </c>
      <c r="L33" s="9">
        <f>IF(K33="","",K33*IFERROR(VLOOKUP(H33,Config!$B$15:$C$19,2,0),0))</f>
        <v/>
      </c>
      <c r="M33" s="9">
        <f>IF(K33="","",D33*IFERROR(VLOOKUP(C33,Produtos!$A$4:$I$53,9,0),0))</f>
        <v/>
      </c>
      <c r="N33" s="9">
        <f>IF(K33="","",D33*IFERROR(VLOOKUP(C33,Produtos!$A$4:$J$53,10,0),0))</f>
        <v/>
      </c>
      <c r="O33" s="9">
        <f>IF(OR(K33="",F33=""),IF(K33="","",0),IFERROR(VLOOKUP(F33,Entrega!$A$4:$E$43,5,0),0))</f>
        <v/>
      </c>
      <c r="P33" s="9">
        <f>IF(K33="","",K33-L33-M33-N33-O33)</f>
        <v/>
      </c>
      <c r="Q33" s="9">
        <f>IF(K33="","",IF(I33="Entregue",0,K33-N(J33)))</f>
        <v/>
      </c>
      <c r="R33" s="12">
        <f>IF(ISNUMBER(A33),MONTH(A33),"")</f>
        <v/>
      </c>
      <c r="S33" s="12">
        <f>IF(ISNUMBER(A33),YEAR(A33),"")</f>
        <v/>
      </c>
    </row>
    <row r="34">
      <c r="A34" s="23" t="n"/>
      <c r="B34" s="19" t="n"/>
      <c r="C34" s="19" t="n"/>
      <c r="D34" s="7" t="n"/>
      <c r="E34" s="13" t="n"/>
      <c r="F34" s="19" t="n"/>
      <c r="G34" s="13" t="n"/>
      <c r="H34" s="19" t="n"/>
      <c r="I34" s="19" t="n"/>
      <c r="J34" s="13" t="n"/>
      <c r="K34" s="9">
        <f>IF(AND(C34&lt;&gt;"",N(D34)&gt;0,I34&lt;&gt;"Cancelado"),D34*IF(N(E34)&gt;0,E34,IFERROR(VLOOKUP(C34,Produtos!$A$4:$O$53,15,0),0))+N(G34),"")</f>
        <v/>
      </c>
      <c r="L34" s="9">
        <f>IF(K34="","",K34*IFERROR(VLOOKUP(H34,Config!$B$15:$C$19,2,0),0))</f>
        <v/>
      </c>
      <c r="M34" s="9">
        <f>IF(K34="","",D34*IFERROR(VLOOKUP(C34,Produtos!$A$4:$I$53,9,0),0))</f>
        <v/>
      </c>
      <c r="N34" s="9">
        <f>IF(K34="","",D34*IFERROR(VLOOKUP(C34,Produtos!$A$4:$J$53,10,0),0))</f>
        <v/>
      </c>
      <c r="O34" s="9">
        <f>IF(OR(K34="",F34=""),IF(K34="","",0),IFERROR(VLOOKUP(F34,Entrega!$A$4:$E$43,5,0),0))</f>
        <v/>
      </c>
      <c r="P34" s="9">
        <f>IF(K34="","",K34-L34-M34-N34-O34)</f>
        <v/>
      </c>
      <c r="Q34" s="9">
        <f>IF(K34="","",IF(I34="Entregue",0,K34-N(J34)))</f>
        <v/>
      </c>
      <c r="R34" s="12">
        <f>IF(ISNUMBER(A34),MONTH(A34),"")</f>
        <v/>
      </c>
      <c r="S34" s="12">
        <f>IF(ISNUMBER(A34),YEAR(A34),"")</f>
        <v/>
      </c>
    </row>
    <row r="35">
      <c r="A35" s="23" t="n"/>
      <c r="B35" s="19" t="n"/>
      <c r="C35" s="19" t="n"/>
      <c r="D35" s="7" t="n"/>
      <c r="E35" s="13" t="n"/>
      <c r="F35" s="19" t="n"/>
      <c r="G35" s="13" t="n"/>
      <c r="H35" s="19" t="n"/>
      <c r="I35" s="19" t="n"/>
      <c r="J35" s="13" t="n"/>
      <c r="K35" s="9">
        <f>IF(AND(C35&lt;&gt;"",N(D35)&gt;0,I35&lt;&gt;"Cancelado"),D35*IF(N(E35)&gt;0,E35,IFERROR(VLOOKUP(C35,Produtos!$A$4:$O$53,15,0),0))+N(G35),"")</f>
        <v/>
      </c>
      <c r="L35" s="9">
        <f>IF(K35="","",K35*IFERROR(VLOOKUP(H35,Config!$B$15:$C$19,2,0),0))</f>
        <v/>
      </c>
      <c r="M35" s="9">
        <f>IF(K35="","",D35*IFERROR(VLOOKUP(C35,Produtos!$A$4:$I$53,9,0),0))</f>
        <v/>
      </c>
      <c r="N35" s="9">
        <f>IF(K35="","",D35*IFERROR(VLOOKUP(C35,Produtos!$A$4:$J$53,10,0),0))</f>
        <v/>
      </c>
      <c r="O35" s="9">
        <f>IF(OR(K35="",F35=""),IF(K35="","",0),IFERROR(VLOOKUP(F35,Entrega!$A$4:$E$43,5,0),0))</f>
        <v/>
      </c>
      <c r="P35" s="9">
        <f>IF(K35="","",K35-L35-M35-N35-O35)</f>
        <v/>
      </c>
      <c r="Q35" s="9">
        <f>IF(K35="","",IF(I35="Entregue",0,K35-N(J35)))</f>
        <v/>
      </c>
      <c r="R35" s="12">
        <f>IF(ISNUMBER(A35),MONTH(A35),"")</f>
        <v/>
      </c>
      <c r="S35" s="12">
        <f>IF(ISNUMBER(A35),YEAR(A35),"")</f>
        <v/>
      </c>
    </row>
    <row r="36">
      <c r="A36" s="23" t="n"/>
      <c r="B36" s="19" t="n"/>
      <c r="C36" s="19" t="n"/>
      <c r="D36" s="7" t="n"/>
      <c r="E36" s="13" t="n"/>
      <c r="F36" s="19" t="n"/>
      <c r="G36" s="13" t="n"/>
      <c r="H36" s="19" t="n"/>
      <c r="I36" s="19" t="n"/>
      <c r="J36" s="13" t="n"/>
      <c r="K36" s="9">
        <f>IF(AND(C36&lt;&gt;"",N(D36)&gt;0,I36&lt;&gt;"Cancelado"),D36*IF(N(E36)&gt;0,E36,IFERROR(VLOOKUP(C36,Produtos!$A$4:$O$53,15,0),0))+N(G36),"")</f>
        <v/>
      </c>
      <c r="L36" s="9">
        <f>IF(K36="","",K36*IFERROR(VLOOKUP(H36,Config!$B$15:$C$19,2,0),0))</f>
        <v/>
      </c>
      <c r="M36" s="9">
        <f>IF(K36="","",D36*IFERROR(VLOOKUP(C36,Produtos!$A$4:$I$53,9,0),0))</f>
        <v/>
      </c>
      <c r="N36" s="9">
        <f>IF(K36="","",D36*IFERROR(VLOOKUP(C36,Produtos!$A$4:$J$53,10,0),0))</f>
        <v/>
      </c>
      <c r="O36" s="9">
        <f>IF(OR(K36="",F36=""),IF(K36="","",0),IFERROR(VLOOKUP(F36,Entrega!$A$4:$E$43,5,0),0))</f>
        <v/>
      </c>
      <c r="P36" s="9">
        <f>IF(K36="","",K36-L36-M36-N36-O36)</f>
        <v/>
      </c>
      <c r="Q36" s="9">
        <f>IF(K36="","",IF(I36="Entregue",0,K36-N(J36)))</f>
        <v/>
      </c>
      <c r="R36" s="12">
        <f>IF(ISNUMBER(A36),MONTH(A36),"")</f>
        <v/>
      </c>
      <c r="S36" s="12">
        <f>IF(ISNUMBER(A36),YEAR(A36),"")</f>
        <v/>
      </c>
    </row>
    <row r="37">
      <c r="A37" s="23" t="n"/>
      <c r="B37" s="19" t="n"/>
      <c r="C37" s="19" t="n"/>
      <c r="D37" s="7" t="n"/>
      <c r="E37" s="13" t="n"/>
      <c r="F37" s="19" t="n"/>
      <c r="G37" s="13" t="n"/>
      <c r="H37" s="19" t="n"/>
      <c r="I37" s="19" t="n"/>
      <c r="J37" s="13" t="n"/>
      <c r="K37" s="9">
        <f>IF(AND(C37&lt;&gt;"",N(D37)&gt;0,I37&lt;&gt;"Cancelado"),D37*IF(N(E37)&gt;0,E37,IFERROR(VLOOKUP(C37,Produtos!$A$4:$O$53,15,0),0))+N(G37),"")</f>
        <v/>
      </c>
      <c r="L37" s="9">
        <f>IF(K37="","",K37*IFERROR(VLOOKUP(H37,Config!$B$15:$C$19,2,0),0))</f>
        <v/>
      </c>
      <c r="M37" s="9">
        <f>IF(K37="","",D37*IFERROR(VLOOKUP(C37,Produtos!$A$4:$I$53,9,0),0))</f>
        <v/>
      </c>
      <c r="N37" s="9">
        <f>IF(K37="","",D37*IFERROR(VLOOKUP(C37,Produtos!$A$4:$J$53,10,0),0))</f>
        <v/>
      </c>
      <c r="O37" s="9">
        <f>IF(OR(K37="",F37=""),IF(K37="","",0),IFERROR(VLOOKUP(F37,Entrega!$A$4:$E$43,5,0),0))</f>
        <v/>
      </c>
      <c r="P37" s="9">
        <f>IF(K37="","",K37-L37-M37-N37-O37)</f>
        <v/>
      </c>
      <c r="Q37" s="9">
        <f>IF(K37="","",IF(I37="Entregue",0,K37-N(J37)))</f>
        <v/>
      </c>
      <c r="R37" s="12">
        <f>IF(ISNUMBER(A37),MONTH(A37),"")</f>
        <v/>
      </c>
      <c r="S37" s="12">
        <f>IF(ISNUMBER(A37),YEAR(A37),"")</f>
        <v/>
      </c>
    </row>
    <row r="38">
      <c r="A38" s="23" t="n"/>
      <c r="B38" s="19" t="n"/>
      <c r="C38" s="19" t="n"/>
      <c r="D38" s="7" t="n"/>
      <c r="E38" s="13" t="n"/>
      <c r="F38" s="19" t="n"/>
      <c r="G38" s="13" t="n"/>
      <c r="H38" s="19" t="n"/>
      <c r="I38" s="19" t="n"/>
      <c r="J38" s="13" t="n"/>
      <c r="K38" s="9">
        <f>IF(AND(C38&lt;&gt;"",N(D38)&gt;0,I38&lt;&gt;"Cancelado"),D38*IF(N(E38)&gt;0,E38,IFERROR(VLOOKUP(C38,Produtos!$A$4:$O$53,15,0),0))+N(G38),"")</f>
        <v/>
      </c>
      <c r="L38" s="9">
        <f>IF(K38="","",K38*IFERROR(VLOOKUP(H38,Config!$B$15:$C$19,2,0),0))</f>
        <v/>
      </c>
      <c r="M38" s="9">
        <f>IF(K38="","",D38*IFERROR(VLOOKUP(C38,Produtos!$A$4:$I$53,9,0),0))</f>
        <v/>
      </c>
      <c r="N38" s="9">
        <f>IF(K38="","",D38*IFERROR(VLOOKUP(C38,Produtos!$A$4:$J$53,10,0),0))</f>
        <v/>
      </c>
      <c r="O38" s="9">
        <f>IF(OR(K38="",F38=""),IF(K38="","",0),IFERROR(VLOOKUP(F38,Entrega!$A$4:$E$43,5,0),0))</f>
        <v/>
      </c>
      <c r="P38" s="9">
        <f>IF(K38="","",K38-L38-M38-N38-O38)</f>
        <v/>
      </c>
      <c r="Q38" s="9">
        <f>IF(K38="","",IF(I38="Entregue",0,K38-N(J38)))</f>
        <v/>
      </c>
      <c r="R38" s="12">
        <f>IF(ISNUMBER(A38),MONTH(A38),"")</f>
        <v/>
      </c>
      <c r="S38" s="12">
        <f>IF(ISNUMBER(A38),YEAR(A38),"")</f>
        <v/>
      </c>
    </row>
    <row r="39">
      <c r="A39" s="23" t="n"/>
      <c r="B39" s="19" t="n"/>
      <c r="C39" s="19" t="n"/>
      <c r="D39" s="7" t="n"/>
      <c r="E39" s="13" t="n"/>
      <c r="F39" s="19" t="n"/>
      <c r="G39" s="13" t="n"/>
      <c r="H39" s="19" t="n"/>
      <c r="I39" s="19" t="n"/>
      <c r="J39" s="13" t="n"/>
      <c r="K39" s="9">
        <f>IF(AND(C39&lt;&gt;"",N(D39)&gt;0,I39&lt;&gt;"Cancelado"),D39*IF(N(E39)&gt;0,E39,IFERROR(VLOOKUP(C39,Produtos!$A$4:$O$53,15,0),0))+N(G39),"")</f>
        <v/>
      </c>
      <c r="L39" s="9">
        <f>IF(K39="","",K39*IFERROR(VLOOKUP(H39,Config!$B$15:$C$19,2,0),0))</f>
        <v/>
      </c>
      <c r="M39" s="9">
        <f>IF(K39="","",D39*IFERROR(VLOOKUP(C39,Produtos!$A$4:$I$53,9,0),0))</f>
        <v/>
      </c>
      <c r="N39" s="9">
        <f>IF(K39="","",D39*IFERROR(VLOOKUP(C39,Produtos!$A$4:$J$53,10,0),0))</f>
        <v/>
      </c>
      <c r="O39" s="9">
        <f>IF(OR(K39="",F39=""),IF(K39="","",0),IFERROR(VLOOKUP(F39,Entrega!$A$4:$E$43,5,0),0))</f>
        <v/>
      </c>
      <c r="P39" s="9">
        <f>IF(K39="","",K39-L39-M39-N39-O39)</f>
        <v/>
      </c>
      <c r="Q39" s="9">
        <f>IF(K39="","",IF(I39="Entregue",0,K39-N(J39)))</f>
        <v/>
      </c>
      <c r="R39" s="12">
        <f>IF(ISNUMBER(A39),MONTH(A39),"")</f>
        <v/>
      </c>
      <c r="S39" s="12">
        <f>IF(ISNUMBER(A39),YEAR(A39),"")</f>
        <v/>
      </c>
    </row>
    <row r="40">
      <c r="A40" s="23" t="n"/>
      <c r="B40" s="19" t="n"/>
      <c r="C40" s="19" t="n"/>
      <c r="D40" s="7" t="n"/>
      <c r="E40" s="13" t="n"/>
      <c r="F40" s="19" t="n"/>
      <c r="G40" s="13" t="n"/>
      <c r="H40" s="19" t="n"/>
      <c r="I40" s="19" t="n"/>
      <c r="J40" s="13" t="n"/>
      <c r="K40" s="9">
        <f>IF(AND(C40&lt;&gt;"",N(D40)&gt;0,I40&lt;&gt;"Cancelado"),D40*IF(N(E40)&gt;0,E40,IFERROR(VLOOKUP(C40,Produtos!$A$4:$O$53,15,0),0))+N(G40),"")</f>
        <v/>
      </c>
      <c r="L40" s="9">
        <f>IF(K40="","",K40*IFERROR(VLOOKUP(H40,Config!$B$15:$C$19,2,0),0))</f>
        <v/>
      </c>
      <c r="M40" s="9">
        <f>IF(K40="","",D40*IFERROR(VLOOKUP(C40,Produtos!$A$4:$I$53,9,0),0))</f>
        <v/>
      </c>
      <c r="N40" s="9">
        <f>IF(K40="","",D40*IFERROR(VLOOKUP(C40,Produtos!$A$4:$J$53,10,0),0))</f>
        <v/>
      </c>
      <c r="O40" s="9">
        <f>IF(OR(K40="",F40=""),IF(K40="","",0),IFERROR(VLOOKUP(F40,Entrega!$A$4:$E$43,5,0),0))</f>
        <v/>
      </c>
      <c r="P40" s="9">
        <f>IF(K40="","",K40-L40-M40-N40-O40)</f>
        <v/>
      </c>
      <c r="Q40" s="9">
        <f>IF(K40="","",IF(I40="Entregue",0,K40-N(J40)))</f>
        <v/>
      </c>
      <c r="R40" s="12">
        <f>IF(ISNUMBER(A40),MONTH(A40),"")</f>
        <v/>
      </c>
      <c r="S40" s="12">
        <f>IF(ISNUMBER(A40),YEAR(A40),"")</f>
        <v/>
      </c>
    </row>
    <row r="41">
      <c r="A41" s="23" t="n"/>
      <c r="B41" s="19" t="n"/>
      <c r="C41" s="19" t="n"/>
      <c r="D41" s="7" t="n"/>
      <c r="E41" s="13" t="n"/>
      <c r="F41" s="19" t="n"/>
      <c r="G41" s="13" t="n"/>
      <c r="H41" s="19" t="n"/>
      <c r="I41" s="19" t="n"/>
      <c r="J41" s="13" t="n"/>
      <c r="K41" s="9">
        <f>IF(AND(C41&lt;&gt;"",N(D41)&gt;0,I41&lt;&gt;"Cancelado"),D41*IF(N(E41)&gt;0,E41,IFERROR(VLOOKUP(C41,Produtos!$A$4:$O$53,15,0),0))+N(G41),"")</f>
        <v/>
      </c>
      <c r="L41" s="9">
        <f>IF(K41="","",K41*IFERROR(VLOOKUP(H41,Config!$B$15:$C$19,2,0),0))</f>
        <v/>
      </c>
      <c r="M41" s="9">
        <f>IF(K41="","",D41*IFERROR(VLOOKUP(C41,Produtos!$A$4:$I$53,9,0),0))</f>
        <v/>
      </c>
      <c r="N41" s="9">
        <f>IF(K41="","",D41*IFERROR(VLOOKUP(C41,Produtos!$A$4:$J$53,10,0),0))</f>
        <v/>
      </c>
      <c r="O41" s="9">
        <f>IF(OR(K41="",F41=""),IF(K41="","",0),IFERROR(VLOOKUP(F41,Entrega!$A$4:$E$43,5,0),0))</f>
        <v/>
      </c>
      <c r="P41" s="9">
        <f>IF(K41="","",K41-L41-M41-N41-O41)</f>
        <v/>
      </c>
      <c r="Q41" s="9">
        <f>IF(K41="","",IF(I41="Entregue",0,K41-N(J41)))</f>
        <v/>
      </c>
      <c r="R41" s="12">
        <f>IF(ISNUMBER(A41),MONTH(A41),"")</f>
        <v/>
      </c>
      <c r="S41" s="12">
        <f>IF(ISNUMBER(A41),YEAR(A41),"")</f>
        <v/>
      </c>
    </row>
    <row r="42">
      <c r="A42" s="23" t="n"/>
      <c r="B42" s="19" t="n"/>
      <c r="C42" s="19" t="n"/>
      <c r="D42" s="7" t="n"/>
      <c r="E42" s="13" t="n"/>
      <c r="F42" s="19" t="n"/>
      <c r="G42" s="13" t="n"/>
      <c r="H42" s="19" t="n"/>
      <c r="I42" s="19" t="n"/>
      <c r="J42" s="13" t="n"/>
      <c r="K42" s="9">
        <f>IF(AND(C42&lt;&gt;"",N(D42)&gt;0,I42&lt;&gt;"Cancelado"),D42*IF(N(E42)&gt;0,E42,IFERROR(VLOOKUP(C42,Produtos!$A$4:$O$53,15,0),0))+N(G42),"")</f>
        <v/>
      </c>
      <c r="L42" s="9">
        <f>IF(K42="","",K42*IFERROR(VLOOKUP(H42,Config!$B$15:$C$19,2,0),0))</f>
        <v/>
      </c>
      <c r="M42" s="9">
        <f>IF(K42="","",D42*IFERROR(VLOOKUP(C42,Produtos!$A$4:$I$53,9,0),0))</f>
        <v/>
      </c>
      <c r="N42" s="9">
        <f>IF(K42="","",D42*IFERROR(VLOOKUP(C42,Produtos!$A$4:$J$53,10,0),0))</f>
        <v/>
      </c>
      <c r="O42" s="9">
        <f>IF(OR(K42="",F42=""),IF(K42="","",0),IFERROR(VLOOKUP(F42,Entrega!$A$4:$E$43,5,0),0))</f>
        <v/>
      </c>
      <c r="P42" s="9">
        <f>IF(K42="","",K42-L42-M42-N42-O42)</f>
        <v/>
      </c>
      <c r="Q42" s="9">
        <f>IF(K42="","",IF(I42="Entregue",0,K42-N(J42)))</f>
        <v/>
      </c>
      <c r="R42" s="12">
        <f>IF(ISNUMBER(A42),MONTH(A42),"")</f>
        <v/>
      </c>
      <c r="S42" s="12">
        <f>IF(ISNUMBER(A42),YEAR(A42),"")</f>
        <v/>
      </c>
    </row>
    <row r="43">
      <c r="A43" s="23" t="n"/>
      <c r="B43" s="19" t="n"/>
      <c r="C43" s="19" t="n"/>
      <c r="D43" s="7" t="n"/>
      <c r="E43" s="13" t="n"/>
      <c r="F43" s="19" t="n"/>
      <c r="G43" s="13" t="n"/>
      <c r="H43" s="19" t="n"/>
      <c r="I43" s="19" t="n"/>
      <c r="J43" s="13" t="n"/>
      <c r="K43" s="9">
        <f>IF(AND(C43&lt;&gt;"",N(D43)&gt;0,I43&lt;&gt;"Cancelado"),D43*IF(N(E43)&gt;0,E43,IFERROR(VLOOKUP(C43,Produtos!$A$4:$O$53,15,0),0))+N(G43),"")</f>
        <v/>
      </c>
      <c r="L43" s="9">
        <f>IF(K43="","",K43*IFERROR(VLOOKUP(H43,Config!$B$15:$C$19,2,0),0))</f>
        <v/>
      </c>
      <c r="M43" s="9">
        <f>IF(K43="","",D43*IFERROR(VLOOKUP(C43,Produtos!$A$4:$I$53,9,0),0))</f>
        <v/>
      </c>
      <c r="N43" s="9">
        <f>IF(K43="","",D43*IFERROR(VLOOKUP(C43,Produtos!$A$4:$J$53,10,0),0))</f>
        <v/>
      </c>
      <c r="O43" s="9">
        <f>IF(OR(K43="",F43=""),IF(K43="","",0),IFERROR(VLOOKUP(F43,Entrega!$A$4:$E$43,5,0),0))</f>
        <v/>
      </c>
      <c r="P43" s="9">
        <f>IF(K43="","",K43-L43-M43-N43-O43)</f>
        <v/>
      </c>
      <c r="Q43" s="9">
        <f>IF(K43="","",IF(I43="Entregue",0,K43-N(J43)))</f>
        <v/>
      </c>
      <c r="R43" s="12">
        <f>IF(ISNUMBER(A43),MONTH(A43),"")</f>
        <v/>
      </c>
      <c r="S43" s="12">
        <f>IF(ISNUMBER(A43),YEAR(A43),"")</f>
        <v/>
      </c>
    </row>
    <row r="44">
      <c r="A44" s="23" t="n"/>
      <c r="B44" s="19" t="n"/>
      <c r="C44" s="19" t="n"/>
      <c r="D44" s="7" t="n"/>
      <c r="E44" s="13" t="n"/>
      <c r="F44" s="19" t="n"/>
      <c r="G44" s="13" t="n"/>
      <c r="H44" s="19" t="n"/>
      <c r="I44" s="19" t="n"/>
      <c r="J44" s="13" t="n"/>
      <c r="K44" s="9">
        <f>IF(AND(C44&lt;&gt;"",N(D44)&gt;0,I44&lt;&gt;"Cancelado"),D44*IF(N(E44)&gt;0,E44,IFERROR(VLOOKUP(C44,Produtos!$A$4:$O$53,15,0),0))+N(G44),"")</f>
        <v/>
      </c>
      <c r="L44" s="9">
        <f>IF(K44="","",K44*IFERROR(VLOOKUP(H44,Config!$B$15:$C$19,2,0),0))</f>
        <v/>
      </c>
      <c r="M44" s="9">
        <f>IF(K44="","",D44*IFERROR(VLOOKUP(C44,Produtos!$A$4:$I$53,9,0),0))</f>
        <v/>
      </c>
      <c r="N44" s="9">
        <f>IF(K44="","",D44*IFERROR(VLOOKUP(C44,Produtos!$A$4:$J$53,10,0),0))</f>
        <v/>
      </c>
      <c r="O44" s="9">
        <f>IF(OR(K44="",F44=""),IF(K44="","",0),IFERROR(VLOOKUP(F44,Entrega!$A$4:$E$43,5,0),0))</f>
        <v/>
      </c>
      <c r="P44" s="9">
        <f>IF(K44="","",K44-L44-M44-N44-O44)</f>
        <v/>
      </c>
      <c r="Q44" s="9">
        <f>IF(K44="","",IF(I44="Entregue",0,K44-N(J44)))</f>
        <v/>
      </c>
      <c r="R44" s="12">
        <f>IF(ISNUMBER(A44),MONTH(A44),"")</f>
        <v/>
      </c>
      <c r="S44" s="12">
        <f>IF(ISNUMBER(A44),YEAR(A44),"")</f>
        <v/>
      </c>
    </row>
    <row r="45">
      <c r="A45" s="23" t="n"/>
      <c r="B45" s="19" t="n"/>
      <c r="C45" s="19" t="n"/>
      <c r="D45" s="7" t="n"/>
      <c r="E45" s="13" t="n"/>
      <c r="F45" s="19" t="n"/>
      <c r="G45" s="13" t="n"/>
      <c r="H45" s="19" t="n"/>
      <c r="I45" s="19" t="n"/>
      <c r="J45" s="13" t="n"/>
      <c r="K45" s="9">
        <f>IF(AND(C45&lt;&gt;"",N(D45)&gt;0,I45&lt;&gt;"Cancelado"),D45*IF(N(E45)&gt;0,E45,IFERROR(VLOOKUP(C45,Produtos!$A$4:$O$53,15,0),0))+N(G45),"")</f>
        <v/>
      </c>
      <c r="L45" s="9">
        <f>IF(K45="","",K45*IFERROR(VLOOKUP(H45,Config!$B$15:$C$19,2,0),0))</f>
        <v/>
      </c>
      <c r="M45" s="9">
        <f>IF(K45="","",D45*IFERROR(VLOOKUP(C45,Produtos!$A$4:$I$53,9,0),0))</f>
        <v/>
      </c>
      <c r="N45" s="9">
        <f>IF(K45="","",D45*IFERROR(VLOOKUP(C45,Produtos!$A$4:$J$53,10,0),0))</f>
        <v/>
      </c>
      <c r="O45" s="9">
        <f>IF(OR(K45="",F45=""),IF(K45="","",0),IFERROR(VLOOKUP(F45,Entrega!$A$4:$E$43,5,0),0))</f>
        <v/>
      </c>
      <c r="P45" s="9">
        <f>IF(K45="","",K45-L45-M45-N45-O45)</f>
        <v/>
      </c>
      <c r="Q45" s="9">
        <f>IF(K45="","",IF(I45="Entregue",0,K45-N(J45)))</f>
        <v/>
      </c>
      <c r="R45" s="12">
        <f>IF(ISNUMBER(A45),MONTH(A45),"")</f>
        <v/>
      </c>
      <c r="S45" s="12">
        <f>IF(ISNUMBER(A45),YEAR(A45),"")</f>
        <v/>
      </c>
    </row>
    <row r="46">
      <c r="A46" s="23" t="n"/>
      <c r="B46" s="19" t="n"/>
      <c r="C46" s="19" t="n"/>
      <c r="D46" s="7" t="n"/>
      <c r="E46" s="13" t="n"/>
      <c r="F46" s="19" t="n"/>
      <c r="G46" s="13" t="n"/>
      <c r="H46" s="19" t="n"/>
      <c r="I46" s="19" t="n"/>
      <c r="J46" s="13" t="n"/>
      <c r="K46" s="9">
        <f>IF(AND(C46&lt;&gt;"",N(D46)&gt;0,I46&lt;&gt;"Cancelado"),D46*IF(N(E46)&gt;0,E46,IFERROR(VLOOKUP(C46,Produtos!$A$4:$O$53,15,0),0))+N(G46),"")</f>
        <v/>
      </c>
      <c r="L46" s="9">
        <f>IF(K46="","",K46*IFERROR(VLOOKUP(H46,Config!$B$15:$C$19,2,0),0))</f>
        <v/>
      </c>
      <c r="M46" s="9">
        <f>IF(K46="","",D46*IFERROR(VLOOKUP(C46,Produtos!$A$4:$I$53,9,0),0))</f>
        <v/>
      </c>
      <c r="N46" s="9">
        <f>IF(K46="","",D46*IFERROR(VLOOKUP(C46,Produtos!$A$4:$J$53,10,0),0))</f>
        <v/>
      </c>
      <c r="O46" s="9">
        <f>IF(OR(K46="",F46=""),IF(K46="","",0),IFERROR(VLOOKUP(F46,Entrega!$A$4:$E$43,5,0),0))</f>
        <v/>
      </c>
      <c r="P46" s="9">
        <f>IF(K46="","",K46-L46-M46-N46-O46)</f>
        <v/>
      </c>
      <c r="Q46" s="9">
        <f>IF(K46="","",IF(I46="Entregue",0,K46-N(J46)))</f>
        <v/>
      </c>
      <c r="R46" s="12">
        <f>IF(ISNUMBER(A46),MONTH(A46),"")</f>
        <v/>
      </c>
      <c r="S46" s="12">
        <f>IF(ISNUMBER(A46),YEAR(A46),"")</f>
        <v/>
      </c>
    </row>
    <row r="47">
      <c r="A47" s="23" t="n"/>
      <c r="B47" s="19" t="n"/>
      <c r="C47" s="19" t="n"/>
      <c r="D47" s="7" t="n"/>
      <c r="E47" s="13" t="n"/>
      <c r="F47" s="19" t="n"/>
      <c r="G47" s="13" t="n"/>
      <c r="H47" s="19" t="n"/>
      <c r="I47" s="19" t="n"/>
      <c r="J47" s="13" t="n"/>
      <c r="K47" s="9">
        <f>IF(AND(C47&lt;&gt;"",N(D47)&gt;0,I47&lt;&gt;"Cancelado"),D47*IF(N(E47)&gt;0,E47,IFERROR(VLOOKUP(C47,Produtos!$A$4:$O$53,15,0),0))+N(G47),"")</f>
        <v/>
      </c>
      <c r="L47" s="9">
        <f>IF(K47="","",K47*IFERROR(VLOOKUP(H47,Config!$B$15:$C$19,2,0),0))</f>
        <v/>
      </c>
      <c r="M47" s="9">
        <f>IF(K47="","",D47*IFERROR(VLOOKUP(C47,Produtos!$A$4:$I$53,9,0),0))</f>
        <v/>
      </c>
      <c r="N47" s="9">
        <f>IF(K47="","",D47*IFERROR(VLOOKUP(C47,Produtos!$A$4:$J$53,10,0),0))</f>
        <v/>
      </c>
      <c r="O47" s="9">
        <f>IF(OR(K47="",F47=""),IF(K47="","",0),IFERROR(VLOOKUP(F47,Entrega!$A$4:$E$43,5,0),0))</f>
        <v/>
      </c>
      <c r="P47" s="9">
        <f>IF(K47="","",K47-L47-M47-N47-O47)</f>
        <v/>
      </c>
      <c r="Q47" s="9">
        <f>IF(K47="","",IF(I47="Entregue",0,K47-N(J47)))</f>
        <v/>
      </c>
      <c r="R47" s="12">
        <f>IF(ISNUMBER(A47),MONTH(A47),"")</f>
        <v/>
      </c>
      <c r="S47" s="12">
        <f>IF(ISNUMBER(A47),YEAR(A47),"")</f>
        <v/>
      </c>
    </row>
    <row r="48">
      <c r="A48" s="23" t="n"/>
      <c r="B48" s="19" t="n"/>
      <c r="C48" s="19" t="n"/>
      <c r="D48" s="7" t="n"/>
      <c r="E48" s="13" t="n"/>
      <c r="F48" s="19" t="n"/>
      <c r="G48" s="13" t="n"/>
      <c r="H48" s="19" t="n"/>
      <c r="I48" s="19" t="n"/>
      <c r="J48" s="13" t="n"/>
      <c r="K48" s="9">
        <f>IF(AND(C48&lt;&gt;"",N(D48)&gt;0,I48&lt;&gt;"Cancelado"),D48*IF(N(E48)&gt;0,E48,IFERROR(VLOOKUP(C48,Produtos!$A$4:$O$53,15,0),0))+N(G48),"")</f>
        <v/>
      </c>
      <c r="L48" s="9">
        <f>IF(K48="","",K48*IFERROR(VLOOKUP(H48,Config!$B$15:$C$19,2,0),0))</f>
        <v/>
      </c>
      <c r="M48" s="9">
        <f>IF(K48="","",D48*IFERROR(VLOOKUP(C48,Produtos!$A$4:$I$53,9,0),0))</f>
        <v/>
      </c>
      <c r="N48" s="9">
        <f>IF(K48="","",D48*IFERROR(VLOOKUP(C48,Produtos!$A$4:$J$53,10,0),0))</f>
        <v/>
      </c>
      <c r="O48" s="9">
        <f>IF(OR(K48="",F48=""),IF(K48="","",0),IFERROR(VLOOKUP(F48,Entrega!$A$4:$E$43,5,0),0))</f>
        <v/>
      </c>
      <c r="P48" s="9">
        <f>IF(K48="","",K48-L48-M48-N48-O48)</f>
        <v/>
      </c>
      <c r="Q48" s="9">
        <f>IF(K48="","",IF(I48="Entregue",0,K48-N(J48)))</f>
        <v/>
      </c>
      <c r="R48" s="12">
        <f>IF(ISNUMBER(A48),MONTH(A48),"")</f>
        <v/>
      </c>
      <c r="S48" s="12">
        <f>IF(ISNUMBER(A48),YEAR(A48),"")</f>
        <v/>
      </c>
    </row>
    <row r="49">
      <c r="A49" s="23" t="n"/>
      <c r="B49" s="19" t="n"/>
      <c r="C49" s="19" t="n"/>
      <c r="D49" s="7" t="n"/>
      <c r="E49" s="13" t="n"/>
      <c r="F49" s="19" t="n"/>
      <c r="G49" s="13" t="n"/>
      <c r="H49" s="19" t="n"/>
      <c r="I49" s="19" t="n"/>
      <c r="J49" s="13" t="n"/>
      <c r="K49" s="9">
        <f>IF(AND(C49&lt;&gt;"",N(D49)&gt;0,I49&lt;&gt;"Cancelado"),D49*IF(N(E49)&gt;0,E49,IFERROR(VLOOKUP(C49,Produtos!$A$4:$O$53,15,0),0))+N(G49),"")</f>
        <v/>
      </c>
      <c r="L49" s="9">
        <f>IF(K49="","",K49*IFERROR(VLOOKUP(H49,Config!$B$15:$C$19,2,0),0))</f>
        <v/>
      </c>
      <c r="M49" s="9">
        <f>IF(K49="","",D49*IFERROR(VLOOKUP(C49,Produtos!$A$4:$I$53,9,0),0))</f>
        <v/>
      </c>
      <c r="N49" s="9">
        <f>IF(K49="","",D49*IFERROR(VLOOKUP(C49,Produtos!$A$4:$J$53,10,0),0))</f>
        <v/>
      </c>
      <c r="O49" s="9">
        <f>IF(OR(K49="",F49=""),IF(K49="","",0),IFERROR(VLOOKUP(F49,Entrega!$A$4:$E$43,5,0),0))</f>
        <v/>
      </c>
      <c r="P49" s="9">
        <f>IF(K49="","",K49-L49-M49-N49-O49)</f>
        <v/>
      </c>
      <c r="Q49" s="9">
        <f>IF(K49="","",IF(I49="Entregue",0,K49-N(J49)))</f>
        <v/>
      </c>
      <c r="R49" s="12">
        <f>IF(ISNUMBER(A49),MONTH(A49),"")</f>
        <v/>
      </c>
      <c r="S49" s="12">
        <f>IF(ISNUMBER(A49),YEAR(A49),"")</f>
        <v/>
      </c>
    </row>
    <row r="50">
      <c r="A50" s="23" t="n"/>
      <c r="B50" s="19" t="n"/>
      <c r="C50" s="19" t="n"/>
      <c r="D50" s="7" t="n"/>
      <c r="E50" s="13" t="n"/>
      <c r="F50" s="19" t="n"/>
      <c r="G50" s="13" t="n"/>
      <c r="H50" s="19" t="n"/>
      <c r="I50" s="19" t="n"/>
      <c r="J50" s="13" t="n"/>
      <c r="K50" s="9">
        <f>IF(AND(C50&lt;&gt;"",N(D50)&gt;0,I50&lt;&gt;"Cancelado"),D50*IF(N(E50)&gt;0,E50,IFERROR(VLOOKUP(C50,Produtos!$A$4:$O$53,15,0),0))+N(G50),"")</f>
        <v/>
      </c>
      <c r="L50" s="9">
        <f>IF(K50="","",K50*IFERROR(VLOOKUP(H50,Config!$B$15:$C$19,2,0),0))</f>
        <v/>
      </c>
      <c r="M50" s="9">
        <f>IF(K50="","",D50*IFERROR(VLOOKUP(C50,Produtos!$A$4:$I$53,9,0),0))</f>
        <v/>
      </c>
      <c r="N50" s="9">
        <f>IF(K50="","",D50*IFERROR(VLOOKUP(C50,Produtos!$A$4:$J$53,10,0),0))</f>
        <v/>
      </c>
      <c r="O50" s="9">
        <f>IF(OR(K50="",F50=""),IF(K50="","",0),IFERROR(VLOOKUP(F50,Entrega!$A$4:$E$43,5,0),0))</f>
        <v/>
      </c>
      <c r="P50" s="9">
        <f>IF(K50="","",K50-L50-M50-N50-O50)</f>
        <v/>
      </c>
      <c r="Q50" s="9">
        <f>IF(K50="","",IF(I50="Entregue",0,K50-N(J50)))</f>
        <v/>
      </c>
      <c r="R50" s="12">
        <f>IF(ISNUMBER(A50),MONTH(A50),"")</f>
        <v/>
      </c>
      <c r="S50" s="12">
        <f>IF(ISNUMBER(A50),YEAR(A50),"")</f>
        <v/>
      </c>
    </row>
    <row r="51">
      <c r="A51" s="23" t="n"/>
      <c r="B51" s="19" t="n"/>
      <c r="C51" s="19" t="n"/>
      <c r="D51" s="7" t="n"/>
      <c r="E51" s="13" t="n"/>
      <c r="F51" s="19" t="n"/>
      <c r="G51" s="13" t="n"/>
      <c r="H51" s="19" t="n"/>
      <c r="I51" s="19" t="n"/>
      <c r="J51" s="13" t="n"/>
      <c r="K51" s="9">
        <f>IF(AND(C51&lt;&gt;"",N(D51)&gt;0,I51&lt;&gt;"Cancelado"),D51*IF(N(E51)&gt;0,E51,IFERROR(VLOOKUP(C51,Produtos!$A$4:$O$53,15,0),0))+N(G51),"")</f>
        <v/>
      </c>
      <c r="L51" s="9">
        <f>IF(K51="","",K51*IFERROR(VLOOKUP(H51,Config!$B$15:$C$19,2,0),0))</f>
        <v/>
      </c>
      <c r="M51" s="9">
        <f>IF(K51="","",D51*IFERROR(VLOOKUP(C51,Produtos!$A$4:$I$53,9,0),0))</f>
        <v/>
      </c>
      <c r="N51" s="9">
        <f>IF(K51="","",D51*IFERROR(VLOOKUP(C51,Produtos!$A$4:$J$53,10,0),0))</f>
        <v/>
      </c>
      <c r="O51" s="9">
        <f>IF(OR(K51="",F51=""),IF(K51="","",0),IFERROR(VLOOKUP(F51,Entrega!$A$4:$E$43,5,0),0))</f>
        <v/>
      </c>
      <c r="P51" s="9">
        <f>IF(K51="","",K51-L51-M51-N51-O51)</f>
        <v/>
      </c>
      <c r="Q51" s="9">
        <f>IF(K51="","",IF(I51="Entregue",0,K51-N(J51)))</f>
        <v/>
      </c>
      <c r="R51" s="12">
        <f>IF(ISNUMBER(A51),MONTH(A51),"")</f>
        <v/>
      </c>
      <c r="S51" s="12">
        <f>IF(ISNUMBER(A51),YEAR(A51),"")</f>
        <v/>
      </c>
    </row>
    <row r="52">
      <c r="A52" s="23" t="n"/>
      <c r="B52" s="19" t="n"/>
      <c r="C52" s="19" t="n"/>
      <c r="D52" s="7" t="n"/>
      <c r="E52" s="13" t="n"/>
      <c r="F52" s="19" t="n"/>
      <c r="G52" s="13" t="n"/>
      <c r="H52" s="19" t="n"/>
      <c r="I52" s="19" t="n"/>
      <c r="J52" s="13" t="n"/>
      <c r="K52" s="9">
        <f>IF(AND(C52&lt;&gt;"",N(D52)&gt;0,I52&lt;&gt;"Cancelado"),D52*IF(N(E52)&gt;0,E52,IFERROR(VLOOKUP(C52,Produtos!$A$4:$O$53,15,0),0))+N(G52),"")</f>
        <v/>
      </c>
      <c r="L52" s="9">
        <f>IF(K52="","",K52*IFERROR(VLOOKUP(H52,Config!$B$15:$C$19,2,0),0))</f>
        <v/>
      </c>
      <c r="M52" s="9">
        <f>IF(K52="","",D52*IFERROR(VLOOKUP(C52,Produtos!$A$4:$I$53,9,0),0))</f>
        <v/>
      </c>
      <c r="N52" s="9">
        <f>IF(K52="","",D52*IFERROR(VLOOKUP(C52,Produtos!$A$4:$J$53,10,0),0))</f>
        <v/>
      </c>
      <c r="O52" s="9">
        <f>IF(OR(K52="",F52=""),IF(K52="","",0),IFERROR(VLOOKUP(F52,Entrega!$A$4:$E$43,5,0),0))</f>
        <v/>
      </c>
      <c r="P52" s="9">
        <f>IF(K52="","",K52-L52-M52-N52-O52)</f>
        <v/>
      </c>
      <c r="Q52" s="9">
        <f>IF(K52="","",IF(I52="Entregue",0,K52-N(J52)))</f>
        <v/>
      </c>
      <c r="R52" s="12">
        <f>IF(ISNUMBER(A52),MONTH(A52),"")</f>
        <v/>
      </c>
      <c r="S52" s="12">
        <f>IF(ISNUMBER(A52),YEAR(A52),"")</f>
        <v/>
      </c>
    </row>
    <row r="53">
      <c r="A53" s="23" t="n"/>
      <c r="B53" s="19" t="n"/>
      <c r="C53" s="19" t="n"/>
      <c r="D53" s="7" t="n"/>
      <c r="E53" s="13" t="n"/>
      <c r="F53" s="19" t="n"/>
      <c r="G53" s="13" t="n"/>
      <c r="H53" s="19" t="n"/>
      <c r="I53" s="19" t="n"/>
      <c r="J53" s="13" t="n"/>
      <c r="K53" s="9">
        <f>IF(AND(C53&lt;&gt;"",N(D53)&gt;0,I53&lt;&gt;"Cancelado"),D53*IF(N(E53)&gt;0,E53,IFERROR(VLOOKUP(C53,Produtos!$A$4:$O$53,15,0),0))+N(G53),"")</f>
        <v/>
      </c>
      <c r="L53" s="9">
        <f>IF(K53="","",K53*IFERROR(VLOOKUP(H53,Config!$B$15:$C$19,2,0),0))</f>
        <v/>
      </c>
      <c r="M53" s="9">
        <f>IF(K53="","",D53*IFERROR(VLOOKUP(C53,Produtos!$A$4:$I$53,9,0),0))</f>
        <v/>
      </c>
      <c r="N53" s="9">
        <f>IF(K53="","",D53*IFERROR(VLOOKUP(C53,Produtos!$A$4:$J$53,10,0),0))</f>
        <v/>
      </c>
      <c r="O53" s="9">
        <f>IF(OR(K53="",F53=""),IF(K53="","",0),IFERROR(VLOOKUP(F53,Entrega!$A$4:$E$43,5,0),0))</f>
        <v/>
      </c>
      <c r="P53" s="9">
        <f>IF(K53="","",K53-L53-M53-N53-O53)</f>
        <v/>
      </c>
      <c r="Q53" s="9">
        <f>IF(K53="","",IF(I53="Entregue",0,K53-N(J53)))</f>
        <v/>
      </c>
      <c r="R53" s="12">
        <f>IF(ISNUMBER(A53),MONTH(A53),"")</f>
        <v/>
      </c>
      <c r="S53" s="12">
        <f>IF(ISNUMBER(A53),YEAR(A53),"")</f>
        <v/>
      </c>
    </row>
    <row r="54">
      <c r="A54" s="23" t="n"/>
      <c r="B54" s="19" t="n"/>
      <c r="C54" s="19" t="n"/>
      <c r="D54" s="7" t="n"/>
      <c r="E54" s="13" t="n"/>
      <c r="F54" s="19" t="n"/>
      <c r="G54" s="13" t="n"/>
      <c r="H54" s="19" t="n"/>
      <c r="I54" s="19" t="n"/>
      <c r="J54" s="13" t="n"/>
      <c r="K54" s="9">
        <f>IF(AND(C54&lt;&gt;"",N(D54)&gt;0,I54&lt;&gt;"Cancelado"),D54*IF(N(E54)&gt;0,E54,IFERROR(VLOOKUP(C54,Produtos!$A$4:$O$53,15,0),0))+N(G54),"")</f>
        <v/>
      </c>
      <c r="L54" s="9">
        <f>IF(K54="","",K54*IFERROR(VLOOKUP(H54,Config!$B$15:$C$19,2,0),0))</f>
        <v/>
      </c>
      <c r="M54" s="9">
        <f>IF(K54="","",D54*IFERROR(VLOOKUP(C54,Produtos!$A$4:$I$53,9,0),0))</f>
        <v/>
      </c>
      <c r="N54" s="9">
        <f>IF(K54="","",D54*IFERROR(VLOOKUP(C54,Produtos!$A$4:$J$53,10,0),0))</f>
        <v/>
      </c>
      <c r="O54" s="9">
        <f>IF(OR(K54="",F54=""),IF(K54="","",0),IFERROR(VLOOKUP(F54,Entrega!$A$4:$E$43,5,0),0))</f>
        <v/>
      </c>
      <c r="P54" s="9">
        <f>IF(K54="","",K54-L54-M54-N54-O54)</f>
        <v/>
      </c>
      <c r="Q54" s="9">
        <f>IF(K54="","",IF(I54="Entregue",0,K54-N(J54)))</f>
        <v/>
      </c>
      <c r="R54" s="12">
        <f>IF(ISNUMBER(A54),MONTH(A54),"")</f>
        <v/>
      </c>
      <c r="S54" s="12">
        <f>IF(ISNUMBER(A54),YEAR(A54),"")</f>
        <v/>
      </c>
    </row>
    <row r="55">
      <c r="A55" s="23" t="n"/>
      <c r="B55" s="19" t="n"/>
      <c r="C55" s="19" t="n"/>
      <c r="D55" s="7" t="n"/>
      <c r="E55" s="13" t="n"/>
      <c r="F55" s="19" t="n"/>
      <c r="G55" s="13" t="n"/>
      <c r="H55" s="19" t="n"/>
      <c r="I55" s="19" t="n"/>
      <c r="J55" s="13" t="n"/>
      <c r="K55" s="9">
        <f>IF(AND(C55&lt;&gt;"",N(D55)&gt;0,I55&lt;&gt;"Cancelado"),D55*IF(N(E55)&gt;0,E55,IFERROR(VLOOKUP(C55,Produtos!$A$4:$O$53,15,0),0))+N(G55),"")</f>
        <v/>
      </c>
      <c r="L55" s="9">
        <f>IF(K55="","",K55*IFERROR(VLOOKUP(H55,Config!$B$15:$C$19,2,0),0))</f>
        <v/>
      </c>
      <c r="M55" s="9">
        <f>IF(K55="","",D55*IFERROR(VLOOKUP(C55,Produtos!$A$4:$I$53,9,0),0))</f>
        <v/>
      </c>
      <c r="N55" s="9">
        <f>IF(K55="","",D55*IFERROR(VLOOKUP(C55,Produtos!$A$4:$J$53,10,0),0))</f>
        <v/>
      </c>
      <c r="O55" s="9">
        <f>IF(OR(K55="",F55=""),IF(K55="","",0),IFERROR(VLOOKUP(F55,Entrega!$A$4:$E$43,5,0),0))</f>
        <v/>
      </c>
      <c r="P55" s="9">
        <f>IF(K55="","",K55-L55-M55-N55-O55)</f>
        <v/>
      </c>
      <c r="Q55" s="9">
        <f>IF(K55="","",IF(I55="Entregue",0,K55-N(J55)))</f>
        <v/>
      </c>
      <c r="R55" s="12">
        <f>IF(ISNUMBER(A55),MONTH(A55),"")</f>
        <v/>
      </c>
      <c r="S55" s="12">
        <f>IF(ISNUMBER(A55),YEAR(A55),"")</f>
        <v/>
      </c>
    </row>
    <row r="56">
      <c r="A56" s="23" t="n"/>
      <c r="B56" s="19" t="n"/>
      <c r="C56" s="19" t="n"/>
      <c r="D56" s="7" t="n"/>
      <c r="E56" s="13" t="n"/>
      <c r="F56" s="19" t="n"/>
      <c r="G56" s="13" t="n"/>
      <c r="H56" s="19" t="n"/>
      <c r="I56" s="19" t="n"/>
      <c r="J56" s="13" t="n"/>
      <c r="K56" s="9">
        <f>IF(AND(C56&lt;&gt;"",N(D56)&gt;0,I56&lt;&gt;"Cancelado"),D56*IF(N(E56)&gt;0,E56,IFERROR(VLOOKUP(C56,Produtos!$A$4:$O$53,15,0),0))+N(G56),"")</f>
        <v/>
      </c>
      <c r="L56" s="9">
        <f>IF(K56="","",K56*IFERROR(VLOOKUP(H56,Config!$B$15:$C$19,2,0),0))</f>
        <v/>
      </c>
      <c r="M56" s="9">
        <f>IF(K56="","",D56*IFERROR(VLOOKUP(C56,Produtos!$A$4:$I$53,9,0),0))</f>
        <v/>
      </c>
      <c r="N56" s="9">
        <f>IF(K56="","",D56*IFERROR(VLOOKUP(C56,Produtos!$A$4:$J$53,10,0),0))</f>
        <v/>
      </c>
      <c r="O56" s="9">
        <f>IF(OR(K56="",F56=""),IF(K56="","",0),IFERROR(VLOOKUP(F56,Entrega!$A$4:$E$43,5,0),0))</f>
        <v/>
      </c>
      <c r="P56" s="9">
        <f>IF(K56="","",K56-L56-M56-N56-O56)</f>
        <v/>
      </c>
      <c r="Q56" s="9">
        <f>IF(K56="","",IF(I56="Entregue",0,K56-N(J56)))</f>
        <v/>
      </c>
      <c r="R56" s="12">
        <f>IF(ISNUMBER(A56),MONTH(A56),"")</f>
        <v/>
      </c>
      <c r="S56" s="12">
        <f>IF(ISNUMBER(A56),YEAR(A56),"")</f>
        <v/>
      </c>
    </row>
    <row r="57">
      <c r="A57" s="23" t="n"/>
      <c r="B57" s="19" t="n"/>
      <c r="C57" s="19" t="n"/>
      <c r="D57" s="7" t="n"/>
      <c r="E57" s="13" t="n"/>
      <c r="F57" s="19" t="n"/>
      <c r="G57" s="13" t="n"/>
      <c r="H57" s="19" t="n"/>
      <c r="I57" s="19" t="n"/>
      <c r="J57" s="13" t="n"/>
      <c r="K57" s="9">
        <f>IF(AND(C57&lt;&gt;"",N(D57)&gt;0,I57&lt;&gt;"Cancelado"),D57*IF(N(E57)&gt;0,E57,IFERROR(VLOOKUP(C57,Produtos!$A$4:$O$53,15,0),0))+N(G57),"")</f>
        <v/>
      </c>
      <c r="L57" s="9">
        <f>IF(K57="","",K57*IFERROR(VLOOKUP(H57,Config!$B$15:$C$19,2,0),0))</f>
        <v/>
      </c>
      <c r="M57" s="9">
        <f>IF(K57="","",D57*IFERROR(VLOOKUP(C57,Produtos!$A$4:$I$53,9,0),0))</f>
        <v/>
      </c>
      <c r="N57" s="9">
        <f>IF(K57="","",D57*IFERROR(VLOOKUP(C57,Produtos!$A$4:$J$53,10,0),0))</f>
        <v/>
      </c>
      <c r="O57" s="9">
        <f>IF(OR(K57="",F57=""),IF(K57="","",0),IFERROR(VLOOKUP(F57,Entrega!$A$4:$E$43,5,0),0))</f>
        <v/>
      </c>
      <c r="P57" s="9">
        <f>IF(K57="","",K57-L57-M57-N57-O57)</f>
        <v/>
      </c>
      <c r="Q57" s="9">
        <f>IF(K57="","",IF(I57="Entregue",0,K57-N(J57)))</f>
        <v/>
      </c>
      <c r="R57" s="12">
        <f>IF(ISNUMBER(A57),MONTH(A57),"")</f>
        <v/>
      </c>
      <c r="S57" s="12">
        <f>IF(ISNUMBER(A57),YEAR(A57),"")</f>
        <v/>
      </c>
    </row>
    <row r="58">
      <c r="A58" s="23" t="n"/>
      <c r="B58" s="19" t="n"/>
      <c r="C58" s="19" t="n"/>
      <c r="D58" s="7" t="n"/>
      <c r="E58" s="13" t="n"/>
      <c r="F58" s="19" t="n"/>
      <c r="G58" s="13" t="n"/>
      <c r="H58" s="19" t="n"/>
      <c r="I58" s="19" t="n"/>
      <c r="J58" s="13" t="n"/>
      <c r="K58" s="9">
        <f>IF(AND(C58&lt;&gt;"",N(D58)&gt;0,I58&lt;&gt;"Cancelado"),D58*IF(N(E58)&gt;0,E58,IFERROR(VLOOKUP(C58,Produtos!$A$4:$O$53,15,0),0))+N(G58),"")</f>
        <v/>
      </c>
      <c r="L58" s="9">
        <f>IF(K58="","",K58*IFERROR(VLOOKUP(H58,Config!$B$15:$C$19,2,0),0))</f>
        <v/>
      </c>
      <c r="M58" s="9">
        <f>IF(K58="","",D58*IFERROR(VLOOKUP(C58,Produtos!$A$4:$I$53,9,0),0))</f>
        <v/>
      </c>
      <c r="N58" s="9">
        <f>IF(K58="","",D58*IFERROR(VLOOKUP(C58,Produtos!$A$4:$J$53,10,0),0))</f>
        <v/>
      </c>
      <c r="O58" s="9">
        <f>IF(OR(K58="",F58=""),IF(K58="","",0),IFERROR(VLOOKUP(F58,Entrega!$A$4:$E$43,5,0),0))</f>
        <v/>
      </c>
      <c r="P58" s="9">
        <f>IF(K58="","",K58-L58-M58-N58-O58)</f>
        <v/>
      </c>
      <c r="Q58" s="9">
        <f>IF(K58="","",IF(I58="Entregue",0,K58-N(J58)))</f>
        <v/>
      </c>
      <c r="R58" s="12">
        <f>IF(ISNUMBER(A58),MONTH(A58),"")</f>
        <v/>
      </c>
      <c r="S58" s="12">
        <f>IF(ISNUMBER(A58),YEAR(A58),"")</f>
        <v/>
      </c>
    </row>
    <row r="59">
      <c r="A59" s="23" t="n"/>
      <c r="B59" s="19" t="n"/>
      <c r="C59" s="19" t="n"/>
      <c r="D59" s="7" t="n"/>
      <c r="E59" s="13" t="n"/>
      <c r="F59" s="19" t="n"/>
      <c r="G59" s="13" t="n"/>
      <c r="H59" s="19" t="n"/>
      <c r="I59" s="19" t="n"/>
      <c r="J59" s="13" t="n"/>
      <c r="K59" s="9">
        <f>IF(AND(C59&lt;&gt;"",N(D59)&gt;0,I59&lt;&gt;"Cancelado"),D59*IF(N(E59)&gt;0,E59,IFERROR(VLOOKUP(C59,Produtos!$A$4:$O$53,15,0),0))+N(G59),"")</f>
        <v/>
      </c>
      <c r="L59" s="9">
        <f>IF(K59="","",K59*IFERROR(VLOOKUP(H59,Config!$B$15:$C$19,2,0),0))</f>
        <v/>
      </c>
      <c r="M59" s="9">
        <f>IF(K59="","",D59*IFERROR(VLOOKUP(C59,Produtos!$A$4:$I$53,9,0),0))</f>
        <v/>
      </c>
      <c r="N59" s="9">
        <f>IF(K59="","",D59*IFERROR(VLOOKUP(C59,Produtos!$A$4:$J$53,10,0),0))</f>
        <v/>
      </c>
      <c r="O59" s="9">
        <f>IF(OR(K59="",F59=""),IF(K59="","",0),IFERROR(VLOOKUP(F59,Entrega!$A$4:$E$43,5,0),0))</f>
        <v/>
      </c>
      <c r="P59" s="9">
        <f>IF(K59="","",K59-L59-M59-N59-O59)</f>
        <v/>
      </c>
      <c r="Q59" s="9">
        <f>IF(K59="","",IF(I59="Entregue",0,K59-N(J59)))</f>
        <v/>
      </c>
      <c r="R59" s="12">
        <f>IF(ISNUMBER(A59),MONTH(A59),"")</f>
        <v/>
      </c>
      <c r="S59" s="12">
        <f>IF(ISNUMBER(A59),YEAR(A59),"")</f>
        <v/>
      </c>
    </row>
    <row r="60">
      <c r="A60" s="23" t="n"/>
      <c r="B60" s="19" t="n"/>
      <c r="C60" s="19" t="n"/>
      <c r="D60" s="7" t="n"/>
      <c r="E60" s="13" t="n"/>
      <c r="F60" s="19" t="n"/>
      <c r="G60" s="13" t="n"/>
      <c r="H60" s="19" t="n"/>
      <c r="I60" s="19" t="n"/>
      <c r="J60" s="13" t="n"/>
      <c r="K60" s="9">
        <f>IF(AND(C60&lt;&gt;"",N(D60)&gt;0,I60&lt;&gt;"Cancelado"),D60*IF(N(E60)&gt;0,E60,IFERROR(VLOOKUP(C60,Produtos!$A$4:$O$53,15,0),0))+N(G60),"")</f>
        <v/>
      </c>
      <c r="L60" s="9">
        <f>IF(K60="","",K60*IFERROR(VLOOKUP(H60,Config!$B$15:$C$19,2,0),0))</f>
        <v/>
      </c>
      <c r="M60" s="9">
        <f>IF(K60="","",D60*IFERROR(VLOOKUP(C60,Produtos!$A$4:$I$53,9,0),0))</f>
        <v/>
      </c>
      <c r="N60" s="9">
        <f>IF(K60="","",D60*IFERROR(VLOOKUP(C60,Produtos!$A$4:$J$53,10,0),0))</f>
        <v/>
      </c>
      <c r="O60" s="9">
        <f>IF(OR(K60="",F60=""),IF(K60="","",0),IFERROR(VLOOKUP(F60,Entrega!$A$4:$E$43,5,0),0))</f>
        <v/>
      </c>
      <c r="P60" s="9">
        <f>IF(K60="","",K60-L60-M60-N60-O60)</f>
        <v/>
      </c>
      <c r="Q60" s="9">
        <f>IF(K60="","",IF(I60="Entregue",0,K60-N(J60)))</f>
        <v/>
      </c>
      <c r="R60" s="12">
        <f>IF(ISNUMBER(A60),MONTH(A60),"")</f>
        <v/>
      </c>
      <c r="S60" s="12">
        <f>IF(ISNUMBER(A60),YEAR(A60),"")</f>
        <v/>
      </c>
    </row>
    <row r="61">
      <c r="A61" s="23" t="n"/>
      <c r="B61" s="19" t="n"/>
      <c r="C61" s="19" t="n"/>
      <c r="D61" s="7" t="n"/>
      <c r="E61" s="13" t="n"/>
      <c r="F61" s="19" t="n"/>
      <c r="G61" s="13" t="n"/>
      <c r="H61" s="19" t="n"/>
      <c r="I61" s="19" t="n"/>
      <c r="J61" s="13" t="n"/>
      <c r="K61" s="9">
        <f>IF(AND(C61&lt;&gt;"",N(D61)&gt;0,I61&lt;&gt;"Cancelado"),D61*IF(N(E61)&gt;0,E61,IFERROR(VLOOKUP(C61,Produtos!$A$4:$O$53,15,0),0))+N(G61),"")</f>
        <v/>
      </c>
      <c r="L61" s="9">
        <f>IF(K61="","",K61*IFERROR(VLOOKUP(H61,Config!$B$15:$C$19,2,0),0))</f>
        <v/>
      </c>
      <c r="M61" s="9">
        <f>IF(K61="","",D61*IFERROR(VLOOKUP(C61,Produtos!$A$4:$I$53,9,0),0))</f>
        <v/>
      </c>
      <c r="N61" s="9">
        <f>IF(K61="","",D61*IFERROR(VLOOKUP(C61,Produtos!$A$4:$J$53,10,0),0))</f>
        <v/>
      </c>
      <c r="O61" s="9">
        <f>IF(OR(K61="",F61=""),IF(K61="","",0),IFERROR(VLOOKUP(F61,Entrega!$A$4:$E$43,5,0),0))</f>
        <v/>
      </c>
      <c r="P61" s="9">
        <f>IF(K61="","",K61-L61-M61-N61-O61)</f>
        <v/>
      </c>
      <c r="Q61" s="9">
        <f>IF(K61="","",IF(I61="Entregue",0,K61-N(J61)))</f>
        <v/>
      </c>
      <c r="R61" s="12">
        <f>IF(ISNUMBER(A61),MONTH(A61),"")</f>
        <v/>
      </c>
      <c r="S61" s="12">
        <f>IF(ISNUMBER(A61),YEAR(A61),"")</f>
        <v/>
      </c>
    </row>
    <row r="62">
      <c r="A62" s="23" t="n"/>
      <c r="B62" s="19" t="n"/>
      <c r="C62" s="19" t="n"/>
      <c r="D62" s="7" t="n"/>
      <c r="E62" s="13" t="n"/>
      <c r="F62" s="19" t="n"/>
      <c r="G62" s="13" t="n"/>
      <c r="H62" s="19" t="n"/>
      <c r="I62" s="19" t="n"/>
      <c r="J62" s="13" t="n"/>
      <c r="K62" s="9">
        <f>IF(AND(C62&lt;&gt;"",N(D62)&gt;0,I62&lt;&gt;"Cancelado"),D62*IF(N(E62)&gt;0,E62,IFERROR(VLOOKUP(C62,Produtos!$A$4:$O$53,15,0),0))+N(G62),"")</f>
        <v/>
      </c>
      <c r="L62" s="9">
        <f>IF(K62="","",K62*IFERROR(VLOOKUP(H62,Config!$B$15:$C$19,2,0),0))</f>
        <v/>
      </c>
      <c r="M62" s="9">
        <f>IF(K62="","",D62*IFERROR(VLOOKUP(C62,Produtos!$A$4:$I$53,9,0),0))</f>
        <v/>
      </c>
      <c r="N62" s="9">
        <f>IF(K62="","",D62*IFERROR(VLOOKUP(C62,Produtos!$A$4:$J$53,10,0),0))</f>
        <v/>
      </c>
      <c r="O62" s="9">
        <f>IF(OR(K62="",F62=""),IF(K62="","",0),IFERROR(VLOOKUP(F62,Entrega!$A$4:$E$43,5,0),0))</f>
        <v/>
      </c>
      <c r="P62" s="9">
        <f>IF(K62="","",K62-L62-M62-N62-O62)</f>
        <v/>
      </c>
      <c r="Q62" s="9">
        <f>IF(K62="","",IF(I62="Entregue",0,K62-N(J62)))</f>
        <v/>
      </c>
      <c r="R62" s="12">
        <f>IF(ISNUMBER(A62),MONTH(A62),"")</f>
        <v/>
      </c>
      <c r="S62" s="12">
        <f>IF(ISNUMBER(A62),YEAR(A62),"")</f>
        <v/>
      </c>
    </row>
    <row r="63">
      <c r="A63" s="23" t="n"/>
      <c r="B63" s="19" t="n"/>
      <c r="C63" s="19" t="n"/>
      <c r="D63" s="7" t="n"/>
      <c r="E63" s="13" t="n"/>
      <c r="F63" s="19" t="n"/>
      <c r="G63" s="13" t="n"/>
      <c r="H63" s="19" t="n"/>
      <c r="I63" s="19" t="n"/>
      <c r="J63" s="13" t="n"/>
      <c r="K63" s="9">
        <f>IF(AND(C63&lt;&gt;"",N(D63)&gt;0,I63&lt;&gt;"Cancelado"),D63*IF(N(E63)&gt;0,E63,IFERROR(VLOOKUP(C63,Produtos!$A$4:$O$53,15,0),0))+N(G63),"")</f>
        <v/>
      </c>
      <c r="L63" s="9">
        <f>IF(K63="","",K63*IFERROR(VLOOKUP(H63,Config!$B$15:$C$19,2,0),0))</f>
        <v/>
      </c>
      <c r="M63" s="9">
        <f>IF(K63="","",D63*IFERROR(VLOOKUP(C63,Produtos!$A$4:$I$53,9,0),0))</f>
        <v/>
      </c>
      <c r="N63" s="9">
        <f>IF(K63="","",D63*IFERROR(VLOOKUP(C63,Produtos!$A$4:$J$53,10,0),0))</f>
        <v/>
      </c>
      <c r="O63" s="9">
        <f>IF(OR(K63="",F63=""),IF(K63="","",0),IFERROR(VLOOKUP(F63,Entrega!$A$4:$E$43,5,0),0))</f>
        <v/>
      </c>
      <c r="P63" s="9">
        <f>IF(K63="","",K63-L63-M63-N63-O63)</f>
        <v/>
      </c>
      <c r="Q63" s="9">
        <f>IF(K63="","",IF(I63="Entregue",0,K63-N(J63)))</f>
        <v/>
      </c>
      <c r="R63" s="12">
        <f>IF(ISNUMBER(A63),MONTH(A63),"")</f>
        <v/>
      </c>
      <c r="S63" s="12">
        <f>IF(ISNUMBER(A63),YEAR(A63),"")</f>
        <v/>
      </c>
    </row>
    <row r="64">
      <c r="A64" s="23" t="n"/>
      <c r="B64" s="19" t="n"/>
      <c r="C64" s="19" t="n"/>
      <c r="D64" s="7" t="n"/>
      <c r="E64" s="13" t="n"/>
      <c r="F64" s="19" t="n"/>
      <c r="G64" s="13" t="n"/>
      <c r="H64" s="19" t="n"/>
      <c r="I64" s="19" t="n"/>
      <c r="J64" s="13" t="n"/>
      <c r="K64" s="9">
        <f>IF(AND(C64&lt;&gt;"",N(D64)&gt;0,I64&lt;&gt;"Cancelado"),D64*IF(N(E64)&gt;0,E64,IFERROR(VLOOKUP(C64,Produtos!$A$4:$O$53,15,0),0))+N(G64),"")</f>
        <v/>
      </c>
      <c r="L64" s="9">
        <f>IF(K64="","",K64*IFERROR(VLOOKUP(H64,Config!$B$15:$C$19,2,0),0))</f>
        <v/>
      </c>
      <c r="M64" s="9">
        <f>IF(K64="","",D64*IFERROR(VLOOKUP(C64,Produtos!$A$4:$I$53,9,0),0))</f>
        <v/>
      </c>
      <c r="N64" s="9">
        <f>IF(K64="","",D64*IFERROR(VLOOKUP(C64,Produtos!$A$4:$J$53,10,0),0))</f>
        <v/>
      </c>
      <c r="O64" s="9">
        <f>IF(OR(K64="",F64=""),IF(K64="","",0),IFERROR(VLOOKUP(F64,Entrega!$A$4:$E$43,5,0),0))</f>
        <v/>
      </c>
      <c r="P64" s="9">
        <f>IF(K64="","",K64-L64-M64-N64-O64)</f>
        <v/>
      </c>
      <c r="Q64" s="9">
        <f>IF(K64="","",IF(I64="Entregue",0,K64-N(J64)))</f>
        <v/>
      </c>
      <c r="R64" s="12">
        <f>IF(ISNUMBER(A64),MONTH(A64),"")</f>
        <v/>
      </c>
      <c r="S64" s="12">
        <f>IF(ISNUMBER(A64),YEAR(A64),"")</f>
        <v/>
      </c>
    </row>
    <row r="65">
      <c r="A65" s="23" t="n"/>
      <c r="B65" s="19" t="n"/>
      <c r="C65" s="19" t="n"/>
      <c r="D65" s="7" t="n"/>
      <c r="E65" s="13" t="n"/>
      <c r="F65" s="19" t="n"/>
      <c r="G65" s="13" t="n"/>
      <c r="H65" s="19" t="n"/>
      <c r="I65" s="19" t="n"/>
      <c r="J65" s="13" t="n"/>
      <c r="K65" s="9">
        <f>IF(AND(C65&lt;&gt;"",N(D65)&gt;0,I65&lt;&gt;"Cancelado"),D65*IF(N(E65)&gt;0,E65,IFERROR(VLOOKUP(C65,Produtos!$A$4:$O$53,15,0),0))+N(G65),"")</f>
        <v/>
      </c>
      <c r="L65" s="9">
        <f>IF(K65="","",K65*IFERROR(VLOOKUP(H65,Config!$B$15:$C$19,2,0),0))</f>
        <v/>
      </c>
      <c r="M65" s="9">
        <f>IF(K65="","",D65*IFERROR(VLOOKUP(C65,Produtos!$A$4:$I$53,9,0),0))</f>
        <v/>
      </c>
      <c r="N65" s="9">
        <f>IF(K65="","",D65*IFERROR(VLOOKUP(C65,Produtos!$A$4:$J$53,10,0),0))</f>
        <v/>
      </c>
      <c r="O65" s="9">
        <f>IF(OR(K65="",F65=""),IF(K65="","",0),IFERROR(VLOOKUP(F65,Entrega!$A$4:$E$43,5,0),0))</f>
        <v/>
      </c>
      <c r="P65" s="9">
        <f>IF(K65="","",K65-L65-M65-N65-O65)</f>
        <v/>
      </c>
      <c r="Q65" s="9">
        <f>IF(K65="","",IF(I65="Entregue",0,K65-N(J65)))</f>
        <v/>
      </c>
      <c r="R65" s="12">
        <f>IF(ISNUMBER(A65),MONTH(A65),"")</f>
        <v/>
      </c>
      <c r="S65" s="12">
        <f>IF(ISNUMBER(A65),YEAR(A65),"")</f>
        <v/>
      </c>
    </row>
    <row r="66">
      <c r="A66" s="23" t="n"/>
      <c r="B66" s="19" t="n"/>
      <c r="C66" s="19" t="n"/>
      <c r="D66" s="7" t="n"/>
      <c r="E66" s="13" t="n"/>
      <c r="F66" s="19" t="n"/>
      <c r="G66" s="13" t="n"/>
      <c r="H66" s="19" t="n"/>
      <c r="I66" s="19" t="n"/>
      <c r="J66" s="13" t="n"/>
      <c r="K66" s="9">
        <f>IF(AND(C66&lt;&gt;"",N(D66)&gt;0,I66&lt;&gt;"Cancelado"),D66*IF(N(E66)&gt;0,E66,IFERROR(VLOOKUP(C66,Produtos!$A$4:$O$53,15,0),0))+N(G66),"")</f>
        <v/>
      </c>
      <c r="L66" s="9">
        <f>IF(K66="","",K66*IFERROR(VLOOKUP(H66,Config!$B$15:$C$19,2,0),0))</f>
        <v/>
      </c>
      <c r="M66" s="9">
        <f>IF(K66="","",D66*IFERROR(VLOOKUP(C66,Produtos!$A$4:$I$53,9,0),0))</f>
        <v/>
      </c>
      <c r="N66" s="9">
        <f>IF(K66="","",D66*IFERROR(VLOOKUP(C66,Produtos!$A$4:$J$53,10,0),0))</f>
        <v/>
      </c>
      <c r="O66" s="9">
        <f>IF(OR(K66="",F66=""),IF(K66="","",0),IFERROR(VLOOKUP(F66,Entrega!$A$4:$E$43,5,0),0))</f>
        <v/>
      </c>
      <c r="P66" s="9">
        <f>IF(K66="","",K66-L66-M66-N66-O66)</f>
        <v/>
      </c>
      <c r="Q66" s="9">
        <f>IF(K66="","",IF(I66="Entregue",0,K66-N(J66)))</f>
        <v/>
      </c>
      <c r="R66" s="12">
        <f>IF(ISNUMBER(A66),MONTH(A66),"")</f>
        <v/>
      </c>
      <c r="S66" s="12">
        <f>IF(ISNUMBER(A66),YEAR(A66),"")</f>
        <v/>
      </c>
    </row>
    <row r="67">
      <c r="A67" s="23" t="n"/>
      <c r="B67" s="19" t="n"/>
      <c r="C67" s="19" t="n"/>
      <c r="D67" s="7" t="n"/>
      <c r="E67" s="13" t="n"/>
      <c r="F67" s="19" t="n"/>
      <c r="G67" s="13" t="n"/>
      <c r="H67" s="19" t="n"/>
      <c r="I67" s="19" t="n"/>
      <c r="J67" s="13" t="n"/>
      <c r="K67" s="9">
        <f>IF(AND(C67&lt;&gt;"",N(D67)&gt;0,I67&lt;&gt;"Cancelado"),D67*IF(N(E67)&gt;0,E67,IFERROR(VLOOKUP(C67,Produtos!$A$4:$O$53,15,0),0))+N(G67),"")</f>
        <v/>
      </c>
      <c r="L67" s="9">
        <f>IF(K67="","",K67*IFERROR(VLOOKUP(H67,Config!$B$15:$C$19,2,0),0))</f>
        <v/>
      </c>
      <c r="M67" s="9">
        <f>IF(K67="","",D67*IFERROR(VLOOKUP(C67,Produtos!$A$4:$I$53,9,0),0))</f>
        <v/>
      </c>
      <c r="N67" s="9">
        <f>IF(K67="","",D67*IFERROR(VLOOKUP(C67,Produtos!$A$4:$J$53,10,0),0))</f>
        <v/>
      </c>
      <c r="O67" s="9">
        <f>IF(OR(K67="",F67=""),IF(K67="","",0),IFERROR(VLOOKUP(F67,Entrega!$A$4:$E$43,5,0),0))</f>
        <v/>
      </c>
      <c r="P67" s="9">
        <f>IF(K67="","",K67-L67-M67-N67-O67)</f>
        <v/>
      </c>
      <c r="Q67" s="9">
        <f>IF(K67="","",IF(I67="Entregue",0,K67-N(J67)))</f>
        <v/>
      </c>
      <c r="R67" s="12">
        <f>IF(ISNUMBER(A67),MONTH(A67),"")</f>
        <v/>
      </c>
      <c r="S67" s="12">
        <f>IF(ISNUMBER(A67),YEAR(A67),"")</f>
        <v/>
      </c>
    </row>
    <row r="68">
      <c r="A68" s="23" t="n"/>
      <c r="B68" s="19" t="n"/>
      <c r="C68" s="19" t="n"/>
      <c r="D68" s="7" t="n"/>
      <c r="E68" s="13" t="n"/>
      <c r="F68" s="19" t="n"/>
      <c r="G68" s="13" t="n"/>
      <c r="H68" s="19" t="n"/>
      <c r="I68" s="19" t="n"/>
      <c r="J68" s="13" t="n"/>
      <c r="K68" s="9">
        <f>IF(AND(C68&lt;&gt;"",N(D68)&gt;0,I68&lt;&gt;"Cancelado"),D68*IF(N(E68)&gt;0,E68,IFERROR(VLOOKUP(C68,Produtos!$A$4:$O$53,15,0),0))+N(G68),"")</f>
        <v/>
      </c>
      <c r="L68" s="9">
        <f>IF(K68="","",K68*IFERROR(VLOOKUP(H68,Config!$B$15:$C$19,2,0),0))</f>
        <v/>
      </c>
      <c r="M68" s="9">
        <f>IF(K68="","",D68*IFERROR(VLOOKUP(C68,Produtos!$A$4:$I$53,9,0),0))</f>
        <v/>
      </c>
      <c r="N68" s="9">
        <f>IF(K68="","",D68*IFERROR(VLOOKUP(C68,Produtos!$A$4:$J$53,10,0),0))</f>
        <v/>
      </c>
      <c r="O68" s="9">
        <f>IF(OR(K68="",F68=""),IF(K68="","",0),IFERROR(VLOOKUP(F68,Entrega!$A$4:$E$43,5,0),0))</f>
        <v/>
      </c>
      <c r="P68" s="9">
        <f>IF(K68="","",K68-L68-M68-N68-O68)</f>
        <v/>
      </c>
      <c r="Q68" s="9">
        <f>IF(K68="","",IF(I68="Entregue",0,K68-N(J68)))</f>
        <v/>
      </c>
      <c r="R68" s="12">
        <f>IF(ISNUMBER(A68),MONTH(A68),"")</f>
        <v/>
      </c>
      <c r="S68" s="12">
        <f>IF(ISNUMBER(A68),YEAR(A68),"")</f>
        <v/>
      </c>
    </row>
    <row r="69">
      <c r="A69" s="23" t="n"/>
      <c r="B69" s="19" t="n"/>
      <c r="C69" s="19" t="n"/>
      <c r="D69" s="7" t="n"/>
      <c r="E69" s="13" t="n"/>
      <c r="F69" s="19" t="n"/>
      <c r="G69" s="13" t="n"/>
      <c r="H69" s="19" t="n"/>
      <c r="I69" s="19" t="n"/>
      <c r="J69" s="13" t="n"/>
      <c r="K69" s="9">
        <f>IF(AND(C69&lt;&gt;"",N(D69)&gt;0,I69&lt;&gt;"Cancelado"),D69*IF(N(E69)&gt;0,E69,IFERROR(VLOOKUP(C69,Produtos!$A$4:$O$53,15,0),0))+N(G69),"")</f>
        <v/>
      </c>
      <c r="L69" s="9">
        <f>IF(K69="","",K69*IFERROR(VLOOKUP(H69,Config!$B$15:$C$19,2,0),0))</f>
        <v/>
      </c>
      <c r="M69" s="9">
        <f>IF(K69="","",D69*IFERROR(VLOOKUP(C69,Produtos!$A$4:$I$53,9,0),0))</f>
        <v/>
      </c>
      <c r="N69" s="9">
        <f>IF(K69="","",D69*IFERROR(VLOOKUP(C69,Produtos!$A$4:$J$53,10,0),0))</f>
        <v/>
      </c>
      <c r="O69" s="9">
        <f>IF(OR(K69="",F69=""),IF(K69="","",0),IFERROR(VLOOKUP(F69,Entrega!$A$4:$E$43,5,0),0))</f>
        <v/>
      </c>
      <c r="P69" s="9">
        <f>IF(K69="","",K69-L69-M69-N69-O69)</f>
        <v/>
      </c>
      <c r="Q69" s="9">
        <f>IF(K69="","",IF(I69="Entregue",0,K69-N(J69)))</f>
        <v/>
      </c>
      <c r="R69" s="12">
        <f>IF(ISNUMBER(A69),MONTH(A69),"")</f>
        <v/>
      </c>
      <c r="S69" s="12">
        <f>IF(ISNUMBER(A69),YEAR(A69),"")</f>
        <v/>
      </c>
    </row>
    <row r="70">
      <c r="A70" s="23" t="n"/>
      <c r="B70" s="19" t="n"/>
      <c r="C70" s="19" t="n"/>
      <c r="D70" s="7" t="n"/>
      <c r="E70" s="13" t="n"/>
      <c r="F70" s="19" t="n"/>
      <c r="G70" s="13" t="n"/>
      <c r="H70" s="19" t="n"/>
      <c r="I70" s="19" t="n"/>
      <c r="J70" s="13" t="n"/>
      <c r="K70" s="9">
        <f>IF(AND(C70&lt;&gt;"",N(D70)&gt;0,I70&lt;&gt;"Cancelado"),D70*IF(N(E70)&gt;0,E70,IFERROR(VLOOKUP(C70,Produtos!$A$4:$O$53,15,0),0))+N(G70),"")</f>
        <v/>
      </c>
      <c r="L70" s="9">
        <f>IF(K70="","",K70*IFERROR(VLOOKUP(H70,Config!$B$15:$C$19,2,0),0))</f>
        <v/>
      </c>
      <c r="M70" s="9">
        <f>IF(K70="","",D70*IFERROR(VLOOKUP(C70,Produtos!$A$4:$I$53,9,0),0))</f>
        <v/>
      </c>
      <c r="N70" s="9">
        <f>IF(K70="","",D70*IFERROR(VLOOKUP(C70,Produtos!$A$4:$J$53,10,0),0))</f>
        <v/>
      </c>
      <c r="O70" s="9">
        <f>IF(OR(K70="",F70=""),IF(K70="","",0),IFERROR(VLOOKUP(F70,Entrega!$A$4:$E$43,5,0),0))</f>
        <v/>
      </c>
      <c r="P70" s="9">
        <f>IF(K70="","",K70-L70-M70-N70-O70)</f>
        <v/>
      </c>
      <c r="Q70" s="9">
        <f>IF(K70="","",IF(I70="Entregue",0,K70-N(J70)))</f>
        <v/>
      </c>
      <c r="R70" s="12">
        <f>IF(ISNUMBER(A70),MONTH(A70),"")</f>
        <v/>
      </c>
      <c r="S70" s="12">
        <f>IF(ISNUMBER(A70),YEAR(A70),"")</f>
        <v/>
      </c>
    </row>
    <row r="71">
      <c r="A71" s="23" t="n"/>
      <c r="B71" s="19" t="n"/>
      <c r="C71" s="19" t="n"/>
      <c r="D71" s="7" t="n"/>
      <c r="E71" s="13" t="n"/>
      <c r="F71" s="19" t="n"/>
      <c r="G71" s="13" t="n"/>
      <c r="H71" s="19" t="n"/>
      <c r="I71" s="19" t="n"/>
      <c r="J71" s="13" t="n"/>
      <c r="K71" s="9">
        <f>IF(AND(C71&lt;&gt;"",N(D71)&gt;0,I71&lt;&gt;"Cancelado"),D71*IF(N(E71)&gt;0,E71,IFERROR(VLOOKUP(C71,Produtos!$A$4:$O$53,15,0),0))+N(G71),"")</f>
        <v/>
      </c>
      <c r="L71" s="9">
        <f>IF(K71="","",K71*IFERROR(VLOOKUP(H71,Config!$B$15:$C$19,2,0),0))</f>
        <v/>
      </c>
      <c r="M71" s="9">
        <f>IF(K71="","",D71*IFERROR(VLOOKUP(C71,Produtos!$A$4:$I$53,9,0),0))</f>
        <v/>
      </c>
      <c r="N71" s="9">
        <f>IF(K71="","",D71*IFERROR(VLOOKUP(C71,Produtos!$A$4:$J$53,10,0),0))</f>
        <v/>
      </c>
      <c r="O71" s="9">
        <f>IF(OR(K71="",F71=""),IF(K71="","",0),IFERROR(VLOOKUP(F71,Entrega!$A$4:$E$43,5,0),0))</f>
        <v/>
      </c>
      <c r="P71" s="9">
        <f>IF(K71="","",K71-L71-M71-N71-O71)</f>
        <v/>
      </c>
      <c r="Q71" s="9">
        <f>IF(K71="","",IF(I71="Entregue",0,K71-N(J71)))</f>
        <v/>
      </c>
      <c r="R71" s="12">
        <f>IF(ISNUMBER(A71),MONTH(A71),"")</f>
        <v/>
      </c>
      <c r="S71" s="12">
        <f>IF(ISNUMBER(A71),YEAR(A71),"")</f>
        <v/>
      </c>
    </row>
    <row r="72">
      <c r="A72" s="23" t="n"/>
      <c r="B72" s="19" t="n"/>
      <c r="C72" s="19" t="n"/>
      <c r="D72" s="7" t="n"/>
      <c r="E72" s="13" t="n"/>
      <c r="F72" s="19" t="n"/>
      <c r="G72" s="13" t="n"/>
      <c r="H72" s="19" t="n"/>
      <c r="I72" s="19" t="n"/>
      <c r="J72" s="13" t="n"/>
      <c r="K72" s="9">
        <f>IF(AND(C72&lt;&gt;"",N(D72)&gt;0,I72&lt;&gt;"Cancelado"),D72*IF(N(E72)&gt;0,E72,IFERROR(VLOOKUP(C72,Produtos!$A$4:$O$53,15,0),0))+N(G72),"")</f>
        <v/>
      </c>
      <c r="L72" s="9">
        <f>IF(K72="","",K72*IFERROR(VLOOKUP(H72,Config!$B$15:$C$19,2,0),0))</f>
        <v/>
      </c>
      <c r="M72" s="9">
        <f>IF(K72="","",D72*IFERROR(VLOOKUP(C72,Produtos!$A$4:$I$53,9,0),0))</f>
        <v/>
      </c>
      <c r="N72" s="9">
        <f>IF(K72="","",D72*IFERROR(VLOOKUP(C72,Produtos!$A$4:$J$53,10,0),0))</f>
        <v/>
      </c>
      <c r="O72" s="9">
        <f>IF(OR(K72="",F72=""),IF(K72="","",0),IFERROR(VLOOKUP(F72,Entrega!$A$4:$E$43,5,0),0))</f>
        <v/>
      </c>
      <c r="P72" s="9">
        <f>IF(K72="","",K72-L72-M72-N72-O72)</f>
        <v/>
      </c>
      <c r="Q72" s="9">
        <f>IF(K72="","",IF(I72="Entregue",0,K72-N(J72)))</f>
        <v/>
      </c>
      <c r="R72" s="12">
        <f>IF(ISNUMBER(A72),MONTH(A72),"")</f>
        <v/>
      </c>
      <c r="S72" s="12">
        <f>IF(ISNUMBER(A72),YEAR(A72),"")</f>
        <v/>
      </c>
    </row>
    <row r="73">
      <c r="A73" s="23" t="n"/>
      <c r="B73" s="19" t="n"/>
      <c r="C73" s="19" t="n"/>
      <c r="D73" s="7" t="n"/>
      <c r="E73" s="13" t="n"/>
      <c r="F73" s="19" t="n"/>
      <c r="G73" s="13" t="n"/>
      <c r="H73" s="19" t="n"/>
      <c r="I73" s="19" t="n"/>
      <c r="J73" s="13" t="n"/>
      <c r="K73" s="9">
        <f>IF(AND(C73&lt;&gt;"",N(D73)&gt;0,I73&lt;&gt;"Cancelado"),D73*IF(N(E73)&gt;0,E73,IFERROR(VLOOKUP(C73,Produtos!$A$4:$O$53,15,0),0))+N(G73),"")</f>
        <v/>
      </c>
      <c r="L73" s="9">
        <f>IF(K73="","",K73*IFERROR(VLOOKUP(H73,Config!$B$15:$C$19,2,0),0))</f>
        <v/>
      </c>
      <c r="M73" s="9">
        <f>IF(K73="","",D73*IFERROR(VLOOKUP(C73,Produtos!$A$4:$I$53,9,0),0))</f>
        <v/>
      </c>
      <c r="N73" s="9">
        <f>IF(K73="","",D73*IFERROR(VLOOKUP(C73,Produtos!$A$4:$J$53,10,0),0))</f>
        <v/>
      </c>
      <c r="O73" s="9">
        <f>IF(OR(K73="",F73=""),IF(K73="","",0),IFERROR(VLOOKUP(F73,Entrega!$A$4:$E$43,5,0),0))</f>
        <v/>
      </c>
      <c r="P73" s="9">
        <f>IF(K73="","",K73-L73-M73-N73-O73)</f>
        <v/>
      </c>
      <c r="Q73" s="9">
        <f>IF(K73="","",IF(I73="Entregue",0,K73-N(J73)))</f>
        <v/>
      </c>
      <c r="R73" s="12">
        <f>IF(ISNUMBER(A73),MONTH(A73),"")</f>
        <v/>
      </c>
      <c r="S73" s="12">
        <f>IF(ISNUMBER(A73),YEAR(A73),"")</f>
        <v/>
      </c>
    </row>
    <row r="74">
      <c r="A74" s="23" t="n"/>
      <c r="B74" s="19" t="n"/>
      <c r="C74" s="19" t="n"/>
      <c r="D74" s="7" t="n"/>
      <c r="E74" s="13" t="n"/>
      <c r="F74" s="19" t="n"/>
      <c r="G74" s="13" t="n"/>
      <c r="H74" s="19" t="n"/>
      <c r="I74" s="19" t="n"/>
      <c r="J74" s="13" t="n"/>
      <c r="K74" s="9">
        <f>IF(AND(C74&lt;&gt;"",N(D74)&gt;0,I74&lt;&gt;"Cancelado"),D74*IF(N(E74)&gt;0,E74,IFERROR(VLOOKUP(C74,Produtos!$A$4:$O$53,15,0),0))+N(G74),"")</f>
        <v/>
      </c>
      <c r="L74" s="9">
        <f>IF(K74="","",K74*IFERROR(VLOOKUP(H74,Config!$B$15:$C$19,2,0),0))</f>
        <v/>
      </c>
      <c r="M74" s="9">
        <f>IF(K74="","",D74*IFERROR(VLOOKUP(C74,Produtos!$A$4:$I$53,9,0),0))</f>
        <v/>
      </c>
      <c r="N74" s="9">
        <f>IF(K74="","",D74*IFERROR(VLOOKUP(C74,Produtos!$A$4:$J$53,10,0),0))</f>
        <v/>
      </c>
      <c r="O74" s="9">
        <f>IF(OR(K74="",F74=""),IF(K74="","",0),IFERROR(VLOOKUP(F74,Entrega!$A$4:$E$43,5,0),0))</f>
        <v/>
      </c>
      <c r="P74" s="9">
        <f>IF(K74="","",K74-L74-M74-N74-O74)</f>
        <v/>
      </c>
      <c r="Q74" s="9">
        <f>IF(K74="","",IF(I74="Entregue",0,K74-N(J74)))</f>
        <v/>
      </c>
      <c r="R74" s="12">
        <f>IF(ISNUMBER(A74),MONTH(A74),"")</f>
        <v/>
      </c>
      <c r="S74" s="12">
        <f>IF(ISNUMBER(A74),YEAR(A74),"")</f>
        <v/>
      </c>
    </row>
    <row r="75">
      <c r="A75" s="23" t="n"/>
      <c r="B75" s="19" t="n"/>
      <c r="C75" s="19" t="n"/>
      <c r="D75" s="7" t="n"/>
      <c r="E75" s="13" t="n"/>
      <c r="F75" s="19" t="n"/>
      <c r="G75" s="13" t="n"/>
      <c r="H75" s="19" t="n"/>
      <c r="I75" s="19" t="n"/>
      <c r="J75" s="13" t="n"/>
      <c r="K75" s="9">
        <f>IF(AND(C75&lt;&gt;"",N(D75)&gt;0,I75&lt;&gt;"Cancelado"),D75*IF(N(E75)&gt;0,E75,IFERROR(VLOOKUP(C75,Produtos!$A$4:$O$53,15,0),0))+N(G75),"")</f>
        <v/>
      </c>
      <c r="L75" s="9">
        <f>IF(K75="","",K75*IFERROR(VLOOKUP(H75,Config!$B$15:$C$19,2,0),0))</f>
        <v/>
      </c>
      <c r="M75" s="9">
        <f>IF(K75="","",D75*IFERROR(VLOOKUP(C75,Produtos!$A$4:$I$53,9,0),0))</f>
        <v/>
      </c>
      <c r="N75" s="9">
        <f>IF(K75="","",D75*IFERROR(VLOOKUP(C75,Produtos!$A$4:$J$53,10,0),0))</f>
        <v/>
      </c>
      <c r="O75" s="9">
        <f>IF(OR(K75="",F75=""),IF(K75="","",0),IFERROR(VLOOKUP(F75,Entrega!$A$4:$E$43,5,0),0))</f>
        <v/>
      </c>
      <c r="P75" s="9">
        <f>IF(K75="","",K75-L75-M75-N75-O75)</f>
        <v/>
      </c>
      <c r="Q75" s="9">
        <f>IF(K75="","",IF(I75="Entregue",0,K75-N(J75)))</f>
        <v/>
      </c>
      <c r="R75" s="12">
        <f>IF(ISNUMBER(A75),MONTH(A75),"")</f>
        <v/>
      </c>
      <c r="S75" s="12">
        <f>IF(ISNUMBER(A75),YEAR(A75),"")</f>
        <v/>
      </c>
    </row>
    <row r="76">
      <c r="A76" s="23" t="n"/>
      <c r="B76" s="19" t="n"/>
      <c r="C76" s="19" t="n"/>
      <c r="D76" s="7" t="n"/>
      <c r="E76" s="13" t="n"/>
      <c r="F76" s="19" t="n"/>
      <c r="G76" s="13" t="n"/>
      <c r="H76" s="19" t="n"/>
      <c r="I76" s="19" t="n"/>
      <c r="J76" s="13" t="n"/>
      <c r="K76" s="9">
        <f>IF(AND(C76&lt;&gt;"",N(D76)&gt;0,I76&lt;&gt;"Cancelado"),D76*IF(N(E76)&gt;0,E76,IFERROR(VLOOKUP(C76,Produtos!$A$4:$O$53,15,0),0))+N(G76),"")</f>
        <v/>
      </c>
      <c r="L76" s="9">
        <f>IF(K76="","",K76*IFERROR(VLOOKUP(H76,Config!$B$15:$C$19,2,0),0))</f>
        <v/>
      </c>
      <c r="M76" s="9">
        <f>IF(K76="","",D76*IFERROR(VLOOKUP(C76,Produtos!$A$4:$I$53,9,0),0))</f>
        <v/>
      </c>
      <c r="N76" s="9">
        <f>IF(K76="","",D76*IFERROR(VLOOKUP(C76,Produtos!$A$4:$J$53,10,0),0))</f>
        <v/>
      </c>
      <c r="O76" s="9">
        <f>IF(OR(K76="",F76=""),IF(K76="","",0),IFERROR(VLOOKUP(F76,Entrega!$A$4:$E$43,5,0),0))</f>
        <v/>
      </c>
      <c r="P76" s="9">
        <f>IF(K76="","",K76-L76-M76-N76-O76)</f>
        <v/>
      </c>
      <c r="Q76" s="9">
        <f>IF(K76="","",IF(I76="Entregue",0,K76-N(J76)))</f>
        <v/>
      </c>
      <c r="R76" s="12">
        <f>IF(ISNUMBER(A76),MONTH(A76),"")</f>
        <v/>
      </c>
      <c r="S76" s="12">
        <f>IF(ISNUMBER(A76),YEAR(A76),"")</f>
        <v/>
      </c>
    </row>
    <row r="77">
      <c r="A77" s="23" t="n"/>
      <c r="B77" s="19" t="n"/>
      <c r="C77" s="19" t="n"/>
      <c r="D77" s="7" t="n"/>
      <c r="E77" s="13" t="n"/>
      <c r="F77" s="19" t="n"/>
      <c r="G77" s="13" t="n"/>
      <c r="H77" s="19" t="n"/>
      <c r="I77" s="19" t="n"/>
      <c r="J77" s="13" t="n"/>
      <c r="K77" s="9">
        <f>IF(AND(C77&lt;&gt;"",N(D77)&gt;0,I77&lt;&gt;"Cancelado"),D77*IF(N(E77)&gt;0,E77,IFERROR(VLOOKUP(C77,Produtos!$A$4:$O$53,15,0),0))+N(G77),"")</f>
        <v/>
      </c>
      <c r="L77" s="9">
        <f>IF(K77="","",K77*IFERROR(VLOOKUP(H77,Config!$B$15:$C$19,2,0),0))</f>
        <v/>
      </c>
      <c r="M77" s="9">
        <f>IF(K77="","",D77*IFERROR(VLOOKUP(C77,Produtos!$A$4:$I$53,9,0),0))</f>
        <v/>
      </c>
      <c r="N77" s="9">
        <f>IF(K77="","",D77*IFERROR(VLOOKUP(C77,Produtos!$A$4:$J$53,10,0),0))</f>
        <v/>
      </c>
      <c r="O77" s="9">
        <f>IF(OR(K77="",F77=""),IF(K77="","",0),IFERROR(VLOOKUP(F77,Entrega!$A$4:$E$43,5,0),0))</f>
        <v/>
      </c>
      <c r="P77" s="9">
        <f>IF(K77="","",K77-L77-M77-N77-O77)</f>
        <v/>
      </c>
      <c r="Q77" s="9">
        <f>IF(K77="","",IF(I77="Entregue",0,K77-N(J77)))</f>
        <v/>
      </c>
      <c r="R77" s="12">
        <f>IF(ISNUMBER(A77),MONTH(A77),"")</f>
        <v/>
      </c>
      <c r="S77" s="12">
        <f>IF(ISNUMBER(A77),YEAR(A77),"")</f>
        <v/>
      </c>
    </row>
    <row r="78">
      <c r="A78" s="23" t="n"/>
      <c r="B78" s="19" t="n"/>
      <c r="C78" s="19" t="n"/>
      <c r="D78" s="7" t="n"/>
      <c r="E78" s="13" t="n"/>
      <c r="F78" s="19" t="n"/>
      <c r="G78" s="13" t="n"/>
      <c r="H78" s="19" t="n"/>
      <c r="I78" s="19" t="n"/>
      <c r="J78" s="13" t="n"/>
      <c r="K78" s="9">
        <f>IF(AND(C78&lt;&gt;"",N(D78)&gt;0,I78&lt;&gt;"Cancelado"),D78*IF(N(E78)&gt;0,E78,IFERROR(VLOOKUP(C78,Produtos!$A$4:$O$53,15,0),0))+N(G78),"")</f>
        <v/>
      </c>
      <c r="L78" s="9">
        <f>IF(K78="","",K78*IFERROR(VLOOKUP(H78,Config!$B$15:$C$19,2,0),0))</f>
        <v/>
      </c>
      <c r="M78" s="9">
        <f>IF(K78="","",D78*IFERROR(VLOOKUP(C78,Produtos!$A$4:$I$53,9,0),0))</f>
        <v/>
      </c>
      <c r="N78" s="9">
        <f>IF(K78="","",D78*IFERROR(VLOOKUP(C78,Produtos!$A$4:$J$53,10,0),0))</f>
        <v/>
      </c>
      <c r="O78" s="9">
        <f>IF(OR(K78="",F78=""),IF(K78="","",0),IFERROR(VLOOKUP(F78,Entrega!$A$4:$E$43,5,0),0))</f>
        <v/>
      </c>
      <c r="P78" s="9">
        <f>IF(K78="","",K78-L78-M78-N78-O78)</f>
        <v/>
      </c>
      <c r="Q78" s="9">
        <f>IF(K78="","",IF(I78="Entregue",0,K78-N(J78)))</f>
        <v/>
      </c>
      <c r="R78" s="12">
        <f>IF(ISNUMBER(A78),MONTH(A78),"")</f>
        <v/>
      </c>
      <c r="S78" s="12">
        <f>IF(ISNUMBER(A78),YEAR(A78),"")</f>
        <v/>
      </c>
    </row>
    <row r="79">
      <c r="A79" s="23" t="n"/>
      <c r="B79" s="19" t="n"/>
      <c r="C79" s="19" t="n"/>
      <c r="D79" s="7" t="n"/>
      <c r="E79" s="13" t="n"/>
      <c r="F79" s="19" t="n"/>
      <c r="G79" s="13" t="n"/>
      <c r="H79" s="19" t="n"/>
      <c r="I79" s="19" t="n"/>
      <c r="J79" s="13" t="n"/>
      <c r="K79" s="9">
        <f>IF(AND(C79&lt;&gt;"",N(D79)&gt;0,I79&lt;&gt;"Cancelado"),D79*IF(N(E79)&gt;0,E79,IFERROR(VLOOKUP(C79,Produtos!$A$4:$O$53,15,0),0))+N(G79),"")</f>
        <v/>
      </c>
      <c r="L79" s="9">
        <f>IF(K79="","",K79*IFERROR(VLOOKUP(H79,Config!$B$15:$C$19,2,0),0))</f>
        <v/>
      </c>
      <c r="M79" s="9">
        <f>IF(K79="","",D79*IFERROR(VLOOKUP(C79,Produtos!$A$4:$I$53,9,0),0))</f>
        <v/>
      </c>
      <c r="N79" s="9">
        <f>IF(K79="","",D79*IFERROR(VLOOKUP(C79,Produtos!$A$4:$J$53,10,0),0))</f>
        <v/>
      </c>
      <c r="O79" s="9">
        <f>IF(OR(K79="",F79=""),IF(K79="","",0),IFERROR(VLOOKUP(F79,Entrega!$A$4:$E$43,5,0),0))</f>
        <v/>
      </c>
      <c r="P79" s="9">
        <f>IF(K79="","",K79-L79-M79-N79-O79)</f>
        <v/>
      </c>
      <c r="Q79" s="9">
        <f>IF(K79="","",IF(I79="Entregue",0,K79-N(J79)))</f>
        <v/>
      </c>
      <c r="R79" s="12">
        <f>IF(ISNUMBER(A79),MONTH(A79),"")</f>
        <v/>
      </c>
      <c r="S79" s="12">
        <f>IF(ISNUMBER(A79),YEAR(A79),"")</f>
        <v/>
      </c>
    </row>
    <row r="80">
      <c r="A80" s="23" t="n"/>
      <c r="B80" s="19" t="n"/>
      <c r="C80" s="19" t="n"/>
      <c r="D80" s="7" t="n"/>
      <c r="E80" s="13" t="n"/>
      <c r="F80" s="19" t="n"/>
      <c r="G80" s="13" t="n"/>
      <c r="H80" s="19" t="n"/>
      <c r="I80" s="19" t="n"/>
      <c r="J80" s="13" t="n"/>
      <c r="K80" s="9">
        <f>IF(AND(C80&lt;&gt;"",N(D80)&gt;0,I80&lt;&gt;"Cancelado"),D80*IF(N(E80)&gt;0,E80,IFERROR(VLOOKUP(C80,Produtos!$A$4:$O$53,15,0),0))+N(G80),"")</f>
        <v/>
      </c>
      <c r="L80" s="9">
        <f>IF(K80="","",K80*IFERROR(VLOOKUP(H80,Config!$B$15:$C$19,2,0),0))</f>
        <v/>
      </c>
      <c r="M80" s="9">
        <f>IF(K80="","",D80*IFERROR(VLOOKUP(C80,Produtos!$A$4:$I$53,9,0),0))</f>
        <v/>
      </c>
      <c r="N80" s="9">
        <f>IF(K80="","",D80*IFERROR(VLOOKUP(C80,Produtos!$A$4:$J$53,10,0),0))</f>
        <v/>
      </c>
      <c r="O80" s="9">
        <f>IF(OR(K80="",F80=""),IF(K80="","",0),IFERROR(VLOOKUP(F80,Entrega!$A$4:$E$43,5,0),0))</f>
        <v/>
      </c>
      <c r="P80" s="9">
        <f>IF(K80="","",K80-L80-M80-N80-O80)</f>
        <v/>
      </c>
      <c r="Q80" s="9">
        <f>IF(K80="","",IF(I80="Entregue",0,K80-N(J80)))</f>
        <v/>
      </c>
      <c r="R80" s="12">
        <f>IF(ISNUMBER(A80),MONTH(A80),"")</f>
        <v/>
      </c>
      <c r="S80" s="12">
        <f>IF(ISNUMBER(A80),YEAR(A80),"")</f>
        <v/>
      </c>
    </row>
    <row r="81">
      <c r="A81" s="23" t="n"/>
      <c r="B81" s="19" t="n"/>
      <c r="C81" s="19" t="n"/>
      <c r="D81" s="7" t="n"/>
      <c r="E81" s="13" t="n"/>
      <c r="F81" s="19" t="n"/>
      <c r="G81" s="13" t="n"/>
      <c r="H81" s="19" t="n"/>
      <c r="I81" s="19" t="n"/>
      <c r="J81" s="13" t="n"/>
      <c r="K81" s="9">
        <f>IF(AND(C81&lt;&gt;"",N(D81)&gt;0,I81&lt;&gt;"Cancelado"),D81*IF(N(E81)&gt;0,E81,IFERROR(VLOOKUP(C81,Produtos!$A$4:$O$53,15,0),0))+N(G81),"")</f>
        <v/>
      </c>
      <c r="L81" s="9">
        <f>IF(K81="","",K81*IFERROR(VLOOKUP(H81,Config!$B$15:$C$19,2,0),0))</f>
        <v/>
      </c>
      <c r="M81" s="9">
        <f>IF(K81="","",D81*IFERROR(VLOOKUP(C81,Produtos!$A$4:$I$53,9,0),0))</f>
        <v/>
      </c>
      <c r="N81" s="9">
        <f>IF(K81="","",D81*IFERROR(VLOOKUP(C81,Produtos!$A$4:$J$53,10,0),0))</f>
        <v/>
      </c>
      <c r="O81" s="9">
        <f>IF(OR(K81="",F81=""),IF(K81="","",0),IFERROR(VLOOKUP(F81,Entrega!$A$4:$E$43,5,0),0))</f>
        <v/>
      </c>
      <c r="P81" s="9">
        <f>IF(K81="","",K81-L81-M81-N81-O81)</f>
        <v/>
      </c>
      <c r="Q81" s="9">
        <f>IF(K81="","",IF(I81="Entregue",0,K81-N(J81)))</f>
        <v/>
      </c>
      <c r="R81" s="12">
        <f>IF(ISNUMBER(A81),MONTH(A81),"")</f>
        <v/>
      </c>
      <c r="S81" s="12">
        <f>IF(ISNUMBER(A81),YEAR(A81),"")</f>
        <v/>
      </c>
    </row>
    <row r="82">
      <c r="A82" s="23" t="n"/>
      <c r="B82" s="19" t="n"/>
      <c r="C82" s="19" t="n"/>
      <c r="D82" s="7" t="n"/>
      <c r="E82" s="13" t="n"/>
      <c r="F82" s="19" t="n"/>
      <c r="G82" s="13" t="n"/>
      <c r="H82" s="19" t="n"/>
      <c r="I82" s="19" t="n"/>
      <c r="J82" s="13" t="n"/>
      <c r="K82" s="9">
        <f>IF(AND(C82&lt;&gt;"",N(D82)&gt;0,I82&lt;&gt;"Cancelado"),D82*IF(N(E82)&gt;0,E82,IFERROR(VLOOKUP(C82,Produtos!$A$4:$O$53,15,0),0))+N(G82),"")</f>
        <v/>
      </c>
      <c r="L82" s="9">
        <f>IF(K82="","",K82*IFERROR(VLOOKUP(H82,Config!$B$15:$C$19,2,0),0))</f>
        <v/>
      </c>
      <c r="M82" s="9">
        <f>IF(K82="","",D82*IFERROR(VLOOKUP(C82,Produtos!$A$4:$I$53,9,0),0))</f>
        <v/>
      </c>
      <c r="N82" s="9">
        <f>IF(K82="","",D82*IFERROR(VLOOKUP(C82,Produtos!$A$4:$J$53,10,0),0))</f>
        <v/>
      </c>
      <c r="O82" s="9">
        <f>IF(OR(K82="",F82=""),IF(K82="","",0),IFERROR(VLOOKUP(F82,Entrega!$A$4:$E$43,5,0),0))</f>
        <v/>
      </c>
      <c r="P82" s="9">
        <f>IF(K82="","",K82-L82-M82-N82-O82)</f>
        <v/>
      </c>
      <c r="Q82" s="9">
        <f>IF(K82="","",IF(I82="Entregue",0,K82-N(J82)))</f>
        <v/>
      </c>
      <c r="R82" s="12">
        <f>IF(ISNUMBER(A82),MONTH(A82),"")</f>
        <v/>
      </c>
      <c r="S82" s="12">
        <f>IF(ISNUMBER(A82),YEAR(A82),"")</f>
        <v/>
      </c>
    </row>
    <row r="83">
      <c r="A83" s="23" t="n"/>
      <c r="B83" s="19" t="n"/>
      <c r="C83" s="19" t="n"/>
      <c r="D83" s="7" t="n"/>
      <c r="E83" s="13" t="n"/>
      <c r="F83" s="19" t="n"/>
      <c r="G83" s="13" t="n"/>
      <c r="H83" s="19" t="n"/>
      <c r="I83" s="19" t="n"/>
      <c r="J83" s="13" t="n"/>
      <c r="K83" s="9">
        <f>IF(AND(C83&lt;&gt;"",N(D83)&gt;0,I83&lt;&gt;"Cancelado"),D83*IF(N(E83)&gt;0,E83,IFERROR(VLOOKUP(C83,Produtos!$A$4:$O$53,15,0),0))+N(G83),"")</f>
        <v/>
      </c>
      <c r="L83" s="9">
        <f>IF(K83="","",K83*IFERROR(VLOOKUP(H83,Config!$B$15:$C$19,2,0),0))</f>
        <v/>
      </c>
      <c r="M83" s="9">
        <f>IF(K83="","",D83*IFERROR(VLOOKUP(C83,Produtos!$A$4:$I$53,9,0),0))</f>
        <v/>
      </c>
      <c r="N83" s="9">
        <f>IF(K83="","",D83*IFERROR(VLOOKUP(C83,Produtos!$A$4:$J$53,10,0),0))</f>
        <v/>
      </c>
      <c r="O83" s="9">
        <f>IF(OR(K83="",F83=""),IF(K83="","",0),IFERROR(VLOOKUP(F83,Entrega!$A$4:$E$43,5,0),0))</f>
        <v/>
      </c>
      <c r="P83" s="9">
        <f>IF(K83="","",K83-L83-M83-N83-O83)</f>
        <v/>
      </c>
      <c r="Q83" s="9">
        <f>IF(K83="","",IF(I83="Entregue",0,K83-N(J83)))</f>
        <v/>
      </c>
      <c r="R83" s="12">
        <f>IF(ISNUMBER(A83),MONTH(A83),"")</f>
        <v/>
      </c>
      <c r="S83" s="12">
        <f>IF(ISNUMBER(A83),YEAR(A83),"")</f>
        <v/>
      </c>
    </row>
    <row r="84">
      <c r="A84" s="23" t="n"/>
      <c r="B84" s="19" t="n"/>
      <c r="C84" s="19" t="n"/>
      <c r="D84" s="7" t="n"/>
      <c r="E84" s="13" t="n"/>
      <c r="F84" s="19" t="n"/>
      <c r="G84" s="13" t="n"/>
      <c r="H84" s="19" t="n"/>
      <c r="I84" s="19" t="n"/>
      <c r="J84" s="13" t="n"/>
      <c r="K84" s="9">
        <f>IF(AND(C84&lt;&gt;"",N(D84)&gt;0,I84&lt;&gt;"Cancelado"),D84*IF(N(E84)&gt;0,E84,IFERROR(VLOOKUP(C84,Produtos!$A$4:$O$53,15,0),0))+N(G84),"")</f>
        <v/>
      </c>
      <c r="L84" s="9">
        <f>IF(K84="","",K84*IFERROR(VLOOKUP(H84,Config!$B$15:$C$19,2,0),0))</f>
        <v/>
      </c>
      <c r="M84" s="9">
        <f>IF(K84="","",D84*IFERROR(VLOOKUP(C84,Produtos!$A$4:$I$53,9,0),0))</f>
        <v/>
      </c>
      <c r="N84" s="9">
        <f>IF(K84="","",D84*IFERROR(VLOOKUP(C84,Produtos!$A$4:$J$53,10,0),0))</f>
        <v/>
      </c>
      <c r="O84" s="9">
        <f>IF(OR(K84="",F84=""),IF(K84="","",0),IFERROR(VLOOKUP(F84,Entrega!$A$4:$E$43,5,0),0))</f>
        <v/>
      </c>
      <c r="P84" s="9">
        <f>IF(K84="","",K84-L84-M84-N84-O84)</f>
        <v/>
      </c>
      <c r="Q84" s="9">
        <f>IF(K84="","",IF(I84="Entregue",0,K84-N(J84)))</f>
        <v/>
      </c>
      <c r="R84" s="12">
        <f>IF(ISNUMBER(A84),MONTH(A84),"")</f>
        <v/>
      </c>
      <c r="S84" s="12">
        <f>IF(ISNUMBER(A84),YEAR(A84),"")</f>
        <v/>
      </c>
    </row>
    <row r="85">
      <c r="A85" s="23" t="n"/>
      <c r="B85" s="19" t="n"/>
      <c r="C85" s="19" t="n"/>
      <c r="D85" s="7" t="n"/>
      <c r="E85" s="13" t="n"/>
      <c r="F85" s="19" t="n"/>
      <c r="G85" s="13" t="n"/>
      <c r="H85" s="19" t="n"/>
      <c r="I85" s="19" t="n"/>
      <c r="J85" s="13" t="n"/>
      <c r="K85" s="9">
        <f>IF(AND(C85&lt;&gt;"",N(D85)&gt;0,I85&lt;&gt;"Cancelado"),D85*IF(N(E85)&gt;0,E85,IFERROR(VLOOKUP(C85,Produtos!$A$4:$O$53,15,0),0))+N(G85),"")</f>
        <v/>
      </c>
      <c r="L85" s="9">
        <f>IF(K85="","",K85*IFERROR(VLOOKUP(H85,Config!$B$15:$C$19,2,0),0))</f>
        <v/>
      </c>
      <c r="M85" s="9">
        <f>IF(K85="","",D85*IFERROR(VLOOKUP(C85,Produtos!$A$4:$I$53,9,0),0))</f>
        <v/>
      </c>
      <c r="N85" s="9">
        <f>IF(K85="","",D85*IFERROR(VLOOKUP(C85,Produtos!$A$4:$J$53,10,0),0))</f>
        <v/>
      </c>
      <c r="O85" s="9">
        <f>IF(OR(K85="",F85=""),IF(K85="","",0),IFERROR(VLOOKUP(F85,Entrega!$A$4:$E$43,5,0),0))</f>
        <v/>
      </c>
      <c r="P85" s="9">
        <f>IF(K85="","",K85-L85-M85-N85-O85)</f>
        <v/>
      </c>
      <c r="Q85" s="9">
        <f>IF(K85="","",IF(I85="Entregue",0,K85-N(J85)))</f>
        <v/>
      </c>
      <c r="R85" s="12">
        <f>IF(ISNUMBER(A85),MONTH(A85),"")</f>
        <v/>
      </c>
      <c r="S85" s="12">
        <f>IF(ISNUMBER(A85),YEAR(A85),"")</f>
        <v/>
      </c>
    </row>
    <row r="86">
      <c r="A86" s="23" t="n"/>
      <c r="B86" s="19" t="n"/>
      <c r="C86" s="19" t="n"/>
      <c r="D86" s="7" t="n"/>
      <c r="E86" s="13" t="n"/>
      <c r="F86" s="19" t="n"/>
      <c r="G86" s="13" t="n"/>
      <c r="H86" s="19" t="n"/>
      <c r="I86" s="19" t="n"/>
      <c r="J86" s="13" t="n"/>
      <c r="K86" s="9">
        <f>IF(AND(C86&lt;&gt;"",N(D86)&gt;0,I86&lt;&gt;"Cancelado"),D86*IF(N(E86)&gt;0,E86,IFERROR(VLOOKUP(C86,Produtos!$A$4:$O$53,15,0),0))+N(G86),"")</f>
        <v/>
      </c>
      <c r="L86" s="9">
        <f>IF(K86="","",K86*IFERROR(VLOOKUP(H86,Config!$B$15:$C$19,2,0),0))</f>
        <v/>
      </c>
      <c r="M86" s="9">
        <f>IF(K86="","",D86*IFERROR(VLOOKUP(C86,Produtos!$A$4:$I$53,9,0),0))</f>
        <v/>
      </c>
      <c r="N86" s="9">
        <f>IF(K86="","",D86*IFERROR(VLOOKUP(C86,Produtos!$A$4:$J$53,10,0),0))</f>
        <v/>
      </c>
      <c r="O86" s="9">
        <f>IF(OR(K86="",F86=""),IF(K86="","",0),IFERROR(VLOOKUP(F86,Entrega!$A$4:$E$43,5,0),0))</f>
        <v/>
      </c>
      <c r="P86" s="9">
        <f>IF(K86="","",K86-L86-M86-N86-O86)</f>
        <v/>
      </c>
      <c r="Q86" s="9">
        <f>IF(K86="","",IF(I86="Entregue",0,K86-N(J86)))</f>
        <v/>
      </c>
      <c r="R86" s="12">
        <f>IF(ISNUMBER(A86),MONTH(A86),"")</f>
        <v/>
      </c>
      <c r="S86" s="12">
        <f>IF(ISNUMBER(A86),YEAR(A86),"")</f>
        <v/>
      </c>
    </row>
    <row r="87">
      <c r="A87" s="23" t="n"/>
      <c r="B87" s="19" t="n"/>
      <c r="C87" s="19" t="n"/>
      <c r="D87" s="7" t="n"/>
      <c r="E87" s="13" t="n"/>
      <c r="F87" s="19" t="n"/>
      <c r="G87" s="13" t="n"/>
      <c r="H87" s="19" t="n"/>
      <c r="I87" s="19" t="n"/>
      <c r="J87" s="13" t="n"/>
      <c r="K87" s="9">
        <f>IF(AND(C87&lt;&gt;"",N(D87)&gt;0,I87&lt;&gt;"Cancelado"),D87*IF(N(E87)&gt;0,E87,IFERROR(VLOOKUP(C87,Produtos!$A$4:$O$53,15,0),0))+N(G87),"")</f>
        <v/>
      </c>
      <c r="L87" s="9">
        <f>IF(K87="","",K87*IFERROR(VLOOKUP(H87,Config!$B$15:$C$19,2,0),0))</f>
        <v/>
      </c>
      <c r="M87" s="9">
        <f>IF(K87="","",D87*IFERROR(VLOOKUP(C87,Produtos!$A$4:$I$53,9,0),0))</f>
        <v/>
      </c>
      <c r="N87" s="9">
        <f>IF(K87="","",D87*IFERROR(VLOOKUP(C87,Produtos!$A$4:$J$53,10,0),0))</f>
        <v/>
      </c>
      <c r="O87" s="9">
        <f>IF(OR(K87="",F87=""),IF(K87="","",0),IFERROR(VLOOKUP(F87,Entrega!$A$4:$E$43,5,0),0))</f>
        <v/>
      </c>
      <c r="P87" s="9">
        <f>IF(K87="","",K87-L87-M87-N87-O87)</f>
        <v/>
      </c>
      <c r="Q87" s="9">
        <f>IF(K87="","",IF(I87="Entregue",0,K87-N(J87)))</f>
        <v/>
      </c>
      <c r="R87" s="12">
        <f>IF(ISNUMBER(A87),MONTH(A87),"")</f>
        <v/>
      </c>
      <c r="S87" s="12">
        <f>IF(ISNUMBER(A87),YEAR(A87),"")</f>
        <v/>
      </c>
    </row>
    <row r="88">
      <c r="A88" s="23" t="n"/>
      <c r="B88" s="19" t="n"/>
      <c r="C88" s="19" t="n"/>
      <c r="D88" s="7" t="n"/>
      <c r="E88" s="13" t="n"/>
      <c r="F88" s="19" t="n"/>
      <c r="G88" s="13" t="n"/>
      <c r="H88" s="19" t="n"/>
      <c r="I88" s="19" t="n"/>
      <c r="J88" s="13" t="n"/>
      <c r="K88" s="9">
        <f>IF(AND(C88&lt;&gt;"",N(D88)&gt;0,I88&lt;&gt;"Cancelado"),D88*IF(N(E88)&gt;0,E88,IFERROR(VLOOKUP(C88,Produtos!$A$4:$O$53,15,0),0))+N(G88),"")</f>
        <v/>
      </c>
      <c r="L88" s="9">
        <f>IF(K88="","",K88*IFERROR(VLOOKUP(H88,Config!$B$15:$C$19,2,0),0))</f>
        <v/>
      </c>
      <c r="M88" s="9">
        <f>IF(K88="","",D88*IFERROR(VLOOKUP(C88,Produtos!$A$4:$I$53,9,0),0))</f>
        <v/>
      </c>
      <c r="N88" s="9">
        <f>IF(K88="","",D88*IFERROR(VLOOKUP(C88,Produtos!$A$4:$J$53,10,0),0))</f>
        <v/>
      </c>
      <c r="O88" s="9">
        <f>IF(OR(K88="",F88=""),IF(K88="","",0),IFERROR(VLOOKUP(F88,Entrega!$A$4:$E$43,5,0),0))</f>
        <v/>
      </c>
      <c r="P88" s="9">
        <f>IF(K88="","",K88-L88-M88-N88-O88)</f>
        <v/>
      </c>
      <c r="Q88" s="9">
        <f>IF(K88="","",IF(I88="Entregue",0,K88-N(J88)))</f>
        <v/>
      </c>
      <c r="R88" s="12">
        <f>IF(ISNUMBER(A88),MONTH(A88),"")</f>
        <v/>
      </c>
      <c r="S88" s="12">
        <f>IF(ISNUMBER(A88),YEAR(A88),"")</f>
        <v/>
      </c>
    </row>
    <row r="89">
      <c r="A89" s="23" t="n"/>
      <c r="B89" s="19" t="n"/>
      <c r="C89" s="19" t="n"/>
      <c r="D89" s="7" t="n"/>
      <c r="E89" s="13" t="n"/>
      <c r="F89" s="19" t="n"/>
      <c r="G89" s="13" t="n"/>
      <c r="H89" s="19" t="n"/>
      <c r="I89" s="19" t="n"/>
      <c r="J89" s="13" t="n"/>
      <c r="K89" s="9">
        <f>IF(AND(C89&lt;&gt;"",N(D89)&gt;0,I89&lt;&gt;"Cancelado"),D89*IF(N(E89)&gt;0,E89,IFERROR(VLOOKUP(C89,Produtos!$A$4:$O$53,15,0),0))+N(G89),"")</f>
        <v/>
      </c>
      <c r="L89" s="9">
        <f>IF(K89="","",K89*IFERROR(VLOOKUP(H89,Config!$B$15:$C$19,2,0),0))</f>
        <v/>
      </c>
      <c r="M89" s="9">
        <f>IF(K89="","",D89*IFERROR(VLOOKUP(C89,Produtos!$A$4:$I$53,9,0),0))</f>
        <v/>
      </c>
      <c r="N89" s="9">
        <f>IF(K89="","",D89*IFERROR(VLOOKUP(C89,Produtos!$A$4:$J$53,10,0),0))</f>
        <v/>
      </c>
      <c r="O89" s="9">
        <f>IF(OR(K89="",F89=""),IF(K89="","",0),IFERROR(VLOOKUP(F89,Entrega!$A$4:$E$43,5,0),0))</f>
        <v/>
      </c>
      <c r="P89" s="9">
        <f>IF(K89="","",K89-L89-M89-N89-O89)</f>
        <v/>
      </c>
      <c r="Q89" s="9">
        <f>IF(K89="","",IF(I89="Entregue",0,K89-N(J89)))</f>
        <v/>
      </c>
      <c r="R89" s="12">
        <f>IF(ISNUMBER(A89),MONTH(A89),"")</f>
        <v/>
      </c>
      <c r="S89" s="12">
        <f>IF(ISNUMBER(A89),YEAR(A89),"")</f>
        <v/>
      </c>
    </row>
    <row r="90">
      <c r="A90" s="23" t="n"/>
      <c r="B90" s="19" t="n"/>
      <c r="C90" s="19" t="n"/>
      <c r="D90" s="7" t="n"/>
      <c r="E90" s="13" t="n"/>
      <c r="F90" s="19" t="n"/>
      <c r="G90" s="13" t="n"/>
      <c r="H90" s="19" t="n"/>
      <c r="I90" s="19" t="n"/>
      <c r="J90" s="13" t="n"/>
      <c r="K90" s="9">
        <f>IF(AND(C90&lt;&gt;"",N(D90)&gt;0,I90&lt;&gt;"Cancelado"),D90*IF(N(E90)&gt;0,E90,IFERROR(VLOOKUP(C90,Produtos!$A$4:$O$53,15,0),0))+N(G90),"")</f>
        <v/>
      </c>
      <c r="L90" s="9">
        <f>IF(K90="","",K90*IFERROR(VLOOKUP(H90,Config!$B$15:$C$19,2,0),0))</f>
        <v/>
      </c>
      <c r="M90" s="9">
        <f>IF(K90="","",D90*IFERROR(VLOOKUP(C90,Produtos!$A$4:$I$53,9,0),0))</f>
        <v/>
      </c>
      <c r="N90" s="9">
        <f>IF(K90="","",D90*IFERROR(VLOOKUP(C90,Produtos!$A$4:$J$53,10,0),0))</f>
        <v/>
      </c>
      <c r="O90" s="9">
        <f>IF(OR(K90="",F90=""),IF(K90="","",0),IFERROR(VLOOKUP(F90,Entrega!$A$4:$E$43,5,0),0))</f>
        <v/>
      </c>
      <c r="P90" s="9">
        <f>IF(K90="","",K90-L90-M90-N90-O90)</f>
        <v/>
      </c>
      <c r="Q90" s="9">
        <f>IF(K90="","",IF(I90="Entregue",0,K90-N(J90)))</f>
        <v/>
      </c>
      <c r="R90" s="12">
        <f>IF(ISNUMBER(A90),MONTH(A90),"")</f>
        <v/>
      </c>
      <c r="S90" s="12">
        <f>IF(ISNUMBER(A90),YEAR(A90),"")</f>
        <v/>
      </c>
    </row>
    <row r="91">
      <c r="A91" s="23" t="n"/>
      <c r="B91" s="19" t="n"/>
      <c r="C91" s="19" t="n"/>
      <c r="D91" s="7" t="n"/>
      <c r="E91" s="13" t="n"/>
      <c r="F91" s="19" t="n"/>
      <c r="G91" s="13" t="n"/>
      <c r="H91" s="19" t="n"/>
      <c r="I91" s="19" t="n"/>
      <c r="J91" s="13" t="n"/>
      <c r="K91" s="9">
        <f>IF(AND(C91&lt;&gt;"",N(D91)&gt;0,I91&lt;&gt;"Cancelado"),D91*IF(N(E91)&gt;0,E91,IFERROR(VLOOKUP(C91,Produtos!$A$4:$O$53,15,0),0))+N(G91),"")</f>
        <v/>
      </c>
      <c r="L91" s="9">
        <f>IF(K91="","",K91*IFERROR(VLOOKUP(H91,Config!$B$15:$C$19,2,0),0))</f>
        <v/>
      </c>
      <c r="M91" s="9">
        <f>IF(K91="","",D91*IFERROR(VLOOKUP(C91,Produtos!$A$4:$I$53,9,0),0))</f>
        <v/>
      </c>
      <c r="N91" s="9">
        <f>IF(K91="","",D91*IFERROR(VLOOKUP(C91,Produtos!$A$4:$J$53,10,0),0))</f>
        <v/>
      </c>
      <c r="O91" s="9">
        <f>IF(OR(K91="",F91=""),IF(K91="","",0),IFERROR(VLOOKUP(F91,Entrega!$A$4:$E$43,5,0),0))</f>
        <v/>
      </c>
      <c r="P91" s="9">
        <f>IF(K91="","",K91-L91-M91-N91-O91)</f>
        <v/>
      </c>
      <c r="Q91" s="9">
        <f>IF(K91="","",IF(I91="Entregue",0,K91-N(J91)))</f>
        <v/>
      </c>
      <c r="R91" s="12">
        <f>IF(ISNUMBER(A91),MONTH(A91),"")</f>
        <v/>
      </c>
      <c r="S91" s="12">
        <f>IF(ISNUMBER(A91),YEAR(A91),"")</f>
        <v/>
      </c>
    </row>
    <row r="92">
      <c r="A92" s="23" t="n"/>
      <c r="B92" s="19" t="n"/>
      <c r="C92" s="19" t="n"/>
      <c r="D92" s="7" t="n"/>
      <c r="E92" s="13" t="n"/>
      <c r="F92" s="19" t="n"/>
      <c r="G92" s="13" t="n"/>
      <c r="H92" s="19" t="n"/>
      <c r="I92" s="19" t="n"/>
      <c r="J92" s="13" t="n"/>
      <c r="K92" s="9">
        <f>IF(AND(C92&lt;&gt;"",N(D92)&gt;0,I92&lt;&gt;"Cancelado"),D92*IF(N(E92)&gt;0,E92,IFERROR(VLOOKUP(C92,Produtos!$A$4:$O$53,15,0),0))+N(G92),"")</f>
        <v/>
      </c>
      <c r="L92" s="9">
        <f>IF(K92="","",K92*IFERROR(VLOOKUP(H92,Config!$B$15:$C$19,2,0),0))</f>
        <v/>
      </c>
      <c r="M92" s="9">
        <f>IF(K92="","",D92*IFERROR(VLOOKUP(C92,Produtos!$A$4:$I$53,9,0),0))</f>
        <v/>
      </c>
      <c r="N92" s="9">
        <f>IF(K92="","",D92*IFERROR(VLOOKUP(C92,Produtos!$A$4:$J$53,10,0),0))</f>
        <v/>
      </c>
      <c r="O92" s="9">
        <f>IF(OR(K92="",F92=""),IF(K92="","",0),IFERROR(VLOOKUP(F92,Entrega!$A$4:$E$43,5,0),0))</f>
        <v/>
      </c>
      <c r="P92" s="9">
        <f>IF(K92="","",K92-L92-M92-N92-O92)</f>
        <v/>
      </c>
      <c r="Q92" s="9">
        <f>IF(K92="","",IF(I92="Entregue",0,K92-N(J92)))</f>
        <v/>
      </c>
      <c r="R92" s="12">
        <f>IF(ISNUMBER(A92),MONTH(A92),"")</f>
        <v/>
      </c>
      <c r="S92" s="12">
        <f>IF(ISNUMBER(A92),YEAR(A92),"")</f>
        <v/>
      </c>
    </row>
    <row r="93">
      <c r="A93" s="23" t="n"/>
      <c r="B93" s="19" t="n"/>
      <c r="C93" s="19" t="n"/>
      <c r="D93" s="7" t="n"/>
      <c r="E93" s="13" t="n"/>
      <c r="F93" s="19" t="n"/>
      <c r="G93" s="13" t="n"/>
      <c r="H93" s="19" t="n"/>
      <c r="I93" s="19" t="n"/>
      <c r="J93" s="13" t="n"/>
      <c r="K93" s="9">
        <f>IF(AND(C93&lt;&gt;"",N(D93)&gt;0,I93&lt;&gt;"Cancelado"),D93*IF(N(E93)&gt;0,E93,IFERROR(VLOOKUP(C93,Produtos!$A$4:$O$53,15,0),0))+N(G93),"")</f>
        <v/>
      </c>
      <c r="L93" s="9">
        <f>IF(K93="","",K93*IFERROR(VLOOKUP(H93,Config!$B$15:$C$19,2,0),0))</f>
        <v/>
      </c>
      <c r="M93" s="9">
        <f>IF(K93="","",D93*IFERROR(VLOOKUP(C93,Produtos!$A$4:$I$53,9,0),0))</f>
        <v/>
      </c>
      <c r="N93" s="9">
        <f>IF(K93="","",D93*IFERROR(VLOOKUP(C93,Produtos!$A$4:$J$53,10,0),0))</f>
        <v/>
      </c>
      <c r="O93" s="9">
        <f>IF(OR(K93="",F93=""),IF(K93="","",0),IFERROR(VLOOKUP(F93,Entrega!$A$4:$E$43,5,0),0))</f>
        <v/>
      </c>
      <c r="P93" s="9">
        <f>IF(K93="","",K93-L93-M93-N93-O93)</f>
        <v/>
      </c>
      <c r="Q93" s="9">
        <f>IF(K93="","",IF(I93="Entregue",0,K93-N(J93)))</f>
        <v/>
      </c>
      <c r="R93" s="12">
        <f>IF(ISNUMBER(A93),MONTH(A93),"")</f>
        <v/>
      </c>
      <c r="S93" s="12">
        <f>IF(ISNUMBER(A93),YEAR(A93),"")</f>
        <v/>
      </c>
    </row>
    <row r="94">
      <c r="A94" s="23" t="n"/>
      <c r="B94" s="19" t="n"/>
      <c r="C94" s="19" t="n"/>
      <c r="D94" s="7" t="n"/>
      <c r="E94" s="13" t="n"/>
      <c r="F94" s="19" t="n"/>
      <c r="G94" s="13" t="n"/>
      <c r="H94" s="19" t="n"/>
      <c r="I94" s="19" t="n"/>
      <c r="J94" s="13" t="n"/>
      <c r="K94" s="9">
        <f>IF(AND(C94&lt;&gt;"",N(D94)&gt;0,I94&lt;&gt;"Cancelado"),D94*IF(N(E94)&gt;0,E94,IFERROR(VLOOKUP(C94,Produtos!$A$4:$O$53,15,0),0))+N(G94),"")</f>
        <v/>
      </c>
      <c r="L94" s="9">
        <f>IF(K94="","",K94*IFERROR(VLOOKUP(H94,Config!$B$15:$C$19,2,0),0))</f>
        <v/>
      </c>
      <c r="M94" s="9">
        <f>IF(K94="","",D94*IFERROR(VLOOKUP(C94,Produtos!$A$4:$I$53,9,0),0))</f>
        <v/>
      </c>
      <c r="N94" s="9">
        <f>IF(K94="","",D94*IFERROR(VLOOKUP(C94,Produtos!$A$4:$J$53,10,0),0))</f>
        <v/>
      </c>
      <c r="O94" s="9">
        <f>IF(OR(K94="",F94=""),IF(K94="","",0),IFERROR(VLOOKUP(F94,Entrega!$A$4:$E$43,5,0),0))</f>
        <v/>
      </c>
      <c r="P94" s="9">
        <f>IF(K94="","",K94-L94-M94-N94-O94)</f>
        <v/>
      </c>
      <c r="Q94" s="9">
        <f>IF(K94="","",IF(I94="Entregue",0,K94-N(J94)))</f>
        <v/>
      </c>
      <c r="R94" s="12">
        <f>IF(ISNUMBER(A94),MONTH(A94),"")</f>
        <v/>
      </c>
      <c r="S94" s="12">
        <f>IF(ISNUMBER(A94),YEAR(A94),"")</f>
        <v/>
      </c>
    </row>
    <row r="95">
      <c r="A95" s="23" t="n"/>
      <c r="B95" s="19" t="n"/>
      <c r="C95" s="19" t="n"/>
      <c r="D95" s="7" t="n"/>
      <c r="E95" s="13" t="n"/>
      <c r="F95" s="19" t="n"/>
      <c r="G95" s="13" t="n"/>
      <c r="H95" s="19" t="n"/>
      <c r="I95" s="19" t="n"/>
      <c r="J95" s="13" t="n"/>
      <c r="K95" s="9">
        <f>IF(AND(C95&lt;&gt;"",N(D95)&gt;0,I95&lt;&gt;"Cancelado"),D95*IF(N(E95)&gt;0,E95,IFERROR(VLOOKUP(C95,Produtos!$A$4:$O$53,15,0),0))+N(G95),"")</f>
        <v/>
      </c>
      <c r="L95" s="9">
        <f>IF(K95="","",K95*IFERROR(VLOOKUP(H95,Config!$B$15:$C$19,2,0),0))</f>
        <v/>
      </c>
      <c r="M95" s="9">
        <f>IF(K95="","",D95*IFERROR(VLOOKUP(C95,Produtos!$A$4:$I$53,9,0),0))</f>
        <v/>
      </c>
      <c r="N95" s="9">
        <f>IF(K95="","",D95*IFERROR(VLOOKUP(C95,Produtos!$A$4:$J$53,10,0),0))</f>
        <v/>
      </c>
      <c r="O95" s="9">
        <f>IF(OR(K95="",F95=""),IF(K95="","",0),IFERROR(VLOOKUP(F95,Entrega!$A$4:$E$43,5,0),0))</f>
        <v/>
      </c>
      <c r="P95" s="9">
        <f>IF(K95="","",K95-L95-M95-N95-O95)</f>
        <v/>
      </c>
      <c r="Q95" s="9">
        <f>IF(K95="","",IF(I95="Entregue",0,K95-N(J95)))</f>
        <v/>
      </c>
      <c r="R95" s="12">
        <f>IF(ISNUMBER(A95),MONTH(A95),"")</f>
        <v/>
      </c>
      <c r="S95" s="12">
        <f>IF(ISNUMBER(A95),YEAR(A95),"")</f>
        <v/>
      </c>
    </row>
    <row r="96">
      <c r="A96" s="23" t="n"/>
      <c r="B96" s="19" t="n"/>
      <c r="C96" s="19" t="n"/>
      <c r="D96" s="7" t="n"/>
      <c r="E96" s="13" t="n"/>
      <c r="F96" s="19" t="n"/>
      <c r="G96" s="13" t="n"/>
      <c r="H96" s="19" t="n"/>
      <c r="I96" s="19" t="n"/>
      <c r="J96" s="13" t="n"/>
      <c r="K96" s="9">
        <f>IF(AND(C96&lt;&gt;"",N(D96)&gt;0,I96&lt;&gt;"Cancelado"),D96*IF(N(E96)&gt;0,E96,IFERROR(VLOOKUP(C96,Produtos!$A$4:$O$53,15,0),0))+N(G96),"")</f>
        <v/>
      </c>
      <c r="L96" s="9">
        <f>IF(K96="","",K96*IFERROR(VLOOKUP(H96,Config!$B$15:$C$19,2,0),0))</f>
        <v/>
      </c>
      <c r="M96" s="9">
        <f>IF(K96="","",D96*IFERROR(VLOOKUP(C96,Produtos!$A$4:$I$53,9,0),0))</f>
        <v/>
      </c>
      <c r="N96" s="9">
        <f>IF(K96="","",D96*IFERROR(VLOOKUP(C96,Produtos!$A$4:$J$53,10,0),0))</f>
        <v/>
      </c>
      <c r="O96" s="9">
        <f>IF(OR(K96="",F96=""),IF(K96="","",0),IFERROR(VLOOKUP(F96,Entrega!$A$4:$E$43,5,0),0))</f>
        <v/>
      </c>
      <c r="P96" s="9">
        <f>IF(K96="","",K96-L96-M96-N96-O96)</f>
        <v/>
      </c>
      <c r="Q96" s="9">
        <f>IF(K96="","",IF(I96="Entregue",0,K96-N(J96)))</f>
        <v/>
      </c>
      <c r="R96" s="12">
        <f>IF(ISNUMBER(A96),MONTH(A96),"")</f>
        <v/>
      </c>
      <c r="S96" s="12">
        <f>IF(ISNUMBER(A96),YEAR(A96),"")</f>
        <v/>
      </c>
    </row>
    <row r="97">
      <c r="A97" s="23" t="n"/>
      <c r="B97" s="19" t="n"/>
      <c r="C97" s="19" t="n"/>
      <c r="D97" s="7" t="n"/>
      <c r="E97" s="13" t="n"/>
      <c r="F97" s="19" t="n"/>
      <c r="G97" s="13" t="n"/>
      <c r="H97" s="19" t="n"/>
      <c r="I97" s="19" t="n"/>
      <c r="J97" s="13" t="n"/>
      <c r="K97" s="9">
        <f>IF(AND(C97&lt;&gt;"",N(D97)&gt;0,I97&lt;&gt;"Cancelado"),D97*IF(N(E97)&gt;0,E97,IFERROR(VLOOKUP(C97,Produtos!$A$4:$O$53,15,0),0))+N(G97),"")</f>
        <v/>
      </c>
      <c r="L97" s="9">
        <f>IF(K97="","",K97*IFERROR(VLOOKUP(H97,Config!$B$15:$C$19,2,0),0))</f>
        <v/>
      </c>
      <c r="M97" s="9">
        <f>IF(K97="","",D97*IFERROR(VLOOKUP(C97,Produtos!$A$4:$I$53,9,0),0))</f>
        <v/>
      </c>
      <c r="N97" s="9">
        <f>IF(K97="","",D97*IFERROR(VLOOKUP(C97,Produtos!$A$4:$J$53,10,0),0))</f>
        <v/>
      </c>
      <c r="O97" s="9">
        <f>IF(OR(K97="",F97=""),IF(K97="","",0),IFERROR(VLOOKUP(F97,Entrega!$A$4:$E$43,5,0),0))</f>
        <v/>
      </c>
      <c r="P97" s="9">
        <f>IF(K97="","",K97-L97-M97-N97-O97)</f>
        <v/>
      </c>
      <c r="Q97" s="9">
        <f>IF(K97="","",IF(I97="Entregue",0,K97-N(J97)))</f>
        <v/>
      </c>
      <c r="R97" s="12">
        <f>IF(ISNUMBER(A97),MONTH(A97),"")</f>
        <v/>
      </c>
      <c r="S97" s="12">
        <f>IF(ISNUMBER(A97),YEAR(A97),"")</f>
        <v/>
      </c>
    </row>
    <row r="98">
      <c r="A98" s="23" t="n"/>
      <c r="B98" s="19" t="n"/>
      <c r="C98" s="19" t="n"/>
      <c r="D98" s="7" t="n"/>
      <c r="E98" s="13" t="n"/>
      <c r="F98" s="19" t="n"/>
      <c r="G98" s="13" t="n"/>
      <c r="H98" s="19" t="n"/>
      <c r="I98" s="19" t="n"/>
      <c r="J98" s="13" t="n"/>
      <c r="K98" s="9">
        <f>IF(AND(C98&lt;&gt;"",N(D98)&gt;0,I98&lt;&gt;"Cancelado"),D98*IF(N(E98)&gt;0,E98,IFERROR(VLOOKUP(C98,Produtos!$A$4:$O$53,15,0),0))+N(G98),"")</f>
        <v/>
      </c>
      <c r="L98" s="9">
        <f>IF(K98="","",K98*IFERROR(VLOOKUP(H98,Config!$B$15:$C$19,2,0),0))</f>
        <v/>
      </c>
      <c r="M98" s="9">
        <f>IF(K98="","",D98*IFERROR(VLOOKUP(C98,Produtos!$A$4:$I$53,9,0),0))</f>
        <v/>
      </c>
      <c r="N98" s="9">
        <f>IF(K98="","",D98*IFERROR(VLOOKUP(C98,Produtos!$A$4:$J$53,10,0),0))</f>
        <v/>
      </c>
      <c r="O98" s="9">
        <f>IF(OR(K98="",F98=""),IF(K98="","",0),IFERROR(VLOOKUP(F98,Entrega!$A$4:$E$43,5,0),0))</f>
        <v/>
      </c>
      <c r="P98" s="9">
        <f>IF(K98="","",K98-L98-M98-N98-O98)</f>
        <v/>
      </c>
      <c r="Q98" s="9">
        <f>IF(K98="","",IF(I98="Entregue",0,K98-N(J98)))</f>
        <v/>
      </c>
      <c r="R98" s="12">
        <f>IF(ISNUMBER(A98),MONTH(A98),"")</f>
        <v/>
      </c>
      <c r="S98" s="12">
        <f>IF(ISNUMBER(A98),YEAR(A98),"")</f>
        <v/>
      </c>
    </row>
    <row r="99">
      <c r="A99" s="23" t="n"/>
      <c r="B99" s="19" t="n"/>
      <c r="C99" s="19" t="n"/>
      <c r="D99" s="7" t="n"/>
      <c r="E99" s="13" t="n"/>
      <c r="F99" s="19" t="n"/>
      <c r="G99" s="13" t="n"/>
      <c r="H99" s="19" t="n"/>
      <c r="I99" s="19" t="n"/>
      <c r="J99" s="13" t="n"/>
      <c r="K99" s="9">
        <f>IF(AND(C99&lt;&gt;"",N(D99)&gt;0,I99&lt;&gt;"Cancelado"),D99*IF(N(E99)&gt;0,E99,IFERROR(VLOOKUP(C99,Produtos!$A$4:$O$53,15,0),0))+N(G99),"")</f>
        <v/>
      </c>
      <c r="L99" s="9">
        <f>IF(K99="","",K99*IFERROR(VLOOKUP(H99,Config!$B$15:$C$19,2,0),0))</f>
        <v/>
      </c>
      <c r="M99" s="9">
        <f>IF(K99="","",D99*IFERROR(VLOOKUP(C99,Produtos!$A$4:$I$53,9,0),0))</f>
        <v/>
      </c>
      <c r="N99" s="9">
        <f>IF(K99="","",D99*IFERROR(VLOOKUP(C99,Produtos!$A$4:$J$53,10,0),0))</f>
        <v/>
      </c>
      <c r="O99" s="9">
        <f>IF(OR(K99="",F99=""),IF(K99="","",0),IFERROR(VLOOKUP(F99,Entrega!$A$4:$E$43,5,0),0))</f>
        <v/>
      </c>
      <c r="P99" s="9">
        <f>IF(K99="","",K99-L99-M99-N99-O99)</f>
        <v/>
      </c>
      <c r="Q99" s="9">
        <f>IF(K99="","",IF(I99="Entregue",0,K99-N(J99)))</f>
        <v/>
      </c>
      <c r="R99" s="12">
        <f>IF(ISNUMBER(A99),MONTH(A99),"")</f>
        <v/>
      </c>
      <c r="S99" s="12">
        <f>IF(ISNUMBER(A99),YEAR(A99),"")</f>
        <v/>
      </c>
    </row>
    <row r="100">
      <c r="A100" s="23" t="n"/>
      <c r="B100" s="19" t="n"/>
      <c r="C100" s="19" t="n"/>
      <c r="D100" s="7" t="n"/>
      <c r="E100" s="13" t="n"/>
      <c r="F100" s="19" t="n"/>
      <c r="G100" s="13" t="n"/>
      <c r="H100" s="19" t="n"/>
      <c r="I100" s="19" t="n"/>
      <c r="J100" s="13" t="n"/>
      <c r="K100" s="9">
        <f>IF(AND(C100&lt;&gt;"",N(D100)&gt;0,I100&lt;&gt;"Cancelado"),D100*IF(N(E100)&gt;0,E100,IFERROR(VLOOKUP(C100,Produtos!$A$4:$O$53,15,0),0))+N(G100),"")</f>
        <v/>
      </c>
      <c r="L100" s="9">
        <f>IF(K100="","",K100*IFERROR(VLOOKUP(H100,Config!$B$15:$C$19,2,0),0))</f>
        <v/>
      </c>
      <c r="M100" s="9">
        <f>IF(K100="","",D100*IFERROR(VLOOKUP(C100,Produtos!$A$4:$I$53,9,0),0))</f>
        <v/>
      </c>
      <c r="N100" s="9">
        <f>IF(K100="","",D100*IFERROR(VLOOKUP(C100,Produtos!$A$4:$J$53,10,0),0))</f>
        <v/>
      </c>
      <c r="O100" s="9">
        <f>IF(OR(K100="",F100=""),IF(K100="","",0),IFERROR(VLOOKUP(F100,Entrega!$A$4:$E$43,5,0),0))</f>
        <v/>
      </c>
      <c r="P100" s="9">
        <f>IF(K100="","",K100-L100-M100-N100-O100)</f>
        <v/>
      </c>
      <c r="Q100" s="9">
        <f>IF(K100="","",IF(I100="Entregue",0,K100-N(J100)))</f>
        <v/>
      </c>
      <c r="R100" s="12">
        <f>IF(ISNUMBER(A100),MONTH(A100),"")</f>
        <v/>
      </c>
      <c r="S100" s="12">
        <f>IF(ISNUMBER(A100),YEAR(A100),"")</f>
        <v/>
      </c>
    </row>
    <row r="101">
      <c r="A101" s="23" t="n"/>
      <c r="B101" s="19" t="n"/>
      <c r="C101" s="19" t="n"/>
      <c r="D101" s="7" t="n"/>
      <c r="E101" s="13" t="n"/>
      <c r="F101" s="19" t="n"/>
      <c r="G101" s="13" t="n"/>
      <c r="H101" s="19" t="n"/>
      <c r="I101" s="19" t="n"/>
      <c r="J101" s="13" t="n"/>
      <c r="K101" s="9">
        <f>IF(AND(C101&lt;&gt;"",N(D101)&gt;0,I101&lt;&gt;"Cancelado"),D101*IF(N(E101)&gt;0,E101,IFERROR(VLOOKUP(C101,Produtos!$A$4:$O$53,15,0),0))+N(G101),"")</f>
        <v/>
      </c>
      <c r="L101" s="9">
        <f>IF(K101="","",K101*IFERROR(VLOOKUP(H101,Config!$B$15:$C$19,2,0),0))</f>
        <v/>
      </c>
      <c r="M101" s="9">
        <f>IF(K101="","",D101*IFERROR(VLOOKUP(C101,Produtos!$A$4:$I$53,9,0),0))</f>
        <v/>
      </c>
      <c r="N101" s="9">
        <f>IF(K101="","",D101*IFERROR(VLOOKUP(C101,Produtos!$A$4:$J$53,10,0),0))</f>
        <v/>
      </c>
      <c r="O101" s="9">
        <f>IF(OR(K101="",F101=""),IF(K101="","",0),IFERROR(VLOOKUP(F101,Entrega!$A$4:$E$43,5,0),0))</f>
        <v/>
      </c>
      <c r="P101" s="9">
        <f>IF(K101="","",K101-L101-M101-N101-O101)</f>
        <v/>
      </c>
      <c r="Q101" s="9">
        <f>IF(K101="","",IF(I101="Entregue",0,K101-N(J101)))</f>
        <v/>
      </c>
      <c r="R101" s="12">
        <f>IF(ISNUMBER(A101),MONTH(A101),"")</f>
        <v/>
      </c>
      <c r="S101" s="12">
        <f>IF(ISNUMBER(A101),YEAR(A101),"")</f>
        <v/>
      </c>
    </row>
    <row r="102">
      <c r="A102" s="23" t="n"/>
      <c r="B102" s="19" t="n"/>
      <c r="C102" s="19" t="n"/>
      <c r="D102" s="7" t="n"/>
      <c r="E102" s="13" t="n"/>
      <c r="F102" s="19" t="n"/>
      <c r="G102" s="13" t="n"/>
      <c r="H102" s="19" t="n"/>
      <c r="I102" s="19" t="n"/>
      <c r="J102" s="13" t="n"/>
      <c r="K102" s="9">
        <f>IF(AND(C102&lt;&gt;"",N(D102)&gt;0,I102&lt;&gt;"Cancelado"),D102*IF(N(E102)&gt;0,E102,IFERROR(VLOOKUP(C102,Produtos!$A$4:$O$53,15,0),0))+N(G102),"")</f>
        <v/>
      </c>
      <c r="L102" s="9">
        <f>IF(K102="","",K102*IFERROR(VLOOKUP(H102,Config!$B$15:$C$19,2,0),0))</f>
        <v/>
      </c>
      <c r="M102" s="9">
        <f>IF(K102="","",D102*IFERROR(VLOOKUP(C102,Produtos!$A$4:$I$53,9,0),0))</f>
        <v/>
      </c>
      <c r="N102" s="9">
        <f>IF(K102="","",D102*IFERROR(VLOOKUP(C102,Produtos!$A$4:$J$53,10,0),0))</f>
        <v/>
      </c>
      <c r="O102" s="9">
        <f>IF(OR(K102="",F102=""),IF(K102="","",0),IFERROR(VLOOKUP(F102,Entrega!$A$4:$E$43,5,0),0))</f>
        <v/>
      </c>
      <c r="P102" s="9">
        <f>IF(K102="","",K102-L102-M102-N102-O102)</f>
        <v/>
      </c>
      <c r="Q102" s="9">
        <f>IF(K102="","",IF(I102="Entregue",0,K102-N(J102)))</f>
        <v/>
      </c>
      <c r="R102" s="12">
        <f>IF(ISNUMBER(A102),MONTH(A102),"")</f>
        <v/>
      </c>
      <c r="S102" s="12">
        <f>IF(ISNUMBER(A102),YEAR(A102),"")</f>
        <v/>
      </c>
    </row>
    <row r="103">
      <c r="A103" s="23" t="n"/>
      <c r="B103" s="19" t="n"/>
      <c r="C103" s="19" t="n"/>
      <c r="D103" s="7" t="n"/>
      <c r="E103" s="13" t="n"/>
      <c r="F103" s="19" t="n"/>
      <c r="G103" s="13" t="n"/>
      <c r="H103" s="19" t="n"/>
      <c r="I103" s="19" t="n"/>
      <c r="J103" s="13" t="n"/>
      <c r="K103" s="9">
        <f>IF(AND(C103&lt;&gt;"",N(D103)&gt;0,I103&lt;&gt;"Cancelado"),D103*IF(N(E103)&gt;0,E103,IFERROR(VLOOKUP(C103,Produtos!$A$4:$O$53,15,0),0))+N(G103),"")</f>
        <v/>
      </c>
      <c r="L103" s="9">
        <f>IF(K103="","",K103*IFERROR(VLOOKUP(H103,Config!$B$15:$C$19,2,0),0))</f>
        <v/>
      </c>
      <c r="M103" s="9">
        <f>IF(K103="","",D103*IFERROR(VLOOKUP(C103,Produtos!$A$4:$I$53,9,0),0))</f>
        <v/>
      </c>
      <c r="N103" s="9">
        <f>IF(K103="","",D103*IFERROR(VLOOKUP(C103,Produtos!$A$4:$J$53,10,0),0))</f>
        <v/>
      </c>
      <c r="O103" s="9">
        <f>IF(OR(K103="",F103=""),IF(K103="","",0),IFERROR(VLOOKUP(F103,Entrega!$A$4:$E$43,5,0),0))</f>
        <v/>
      </c>
      <c r="P103" s="9">
        <f>IF(K103="","",K103-L103-M103-N103-O103)</f>
        <v/>
      </c>
      <c r="Q103" s="9">
        <f>IF(K103="","",IF(I103="Entregue",0,K103-N(J103)))</f>
        <v/>
      </c>
      <c r="R103" s="12">
        <f>IF(ISNUMBER(A103),MONTH(A103),"")</f>
        <v/>
      </c>
      <c r="S103" s="12">
        <f>IF(ISNUMBER(A103),YEAR(A103),"")</f>
        <v/>
      </c>
    </row>
    <row r="104">
      <c r="A104" s="23" t="n"/>
      <c r="B104" s="19" t="n"/>
      <c r="C104" s="19" t="n"/>
      <c r="D104" s="7" t="n"/>
      <c r="E104" s="13" t="n"/>
      <c r="F104" s="19" t="n"/>
      <c r="G104" s="13" t="n"/>
      <c r="H104" s="19" t="n"/>
      <c r="I104" s="19" t="n"/>
      <c r="J104" s="13" t="n"/>
      <c r="K104" s="9">
        <f>IF(AND(C104&lt;&gt;"",N(D104)&gt;0,I104&lt;&gt;"Cancelado"),D104*IF(N(E104)&gt;0,E104,IFERROR(VLOOKUP(C104,Produtos!$A$4:$O$53,15,0),0))+N(G104),"")</f>
        <v/>
      </c>
      <c r="L104" s="9">
        <f>IF(K104="","",K104*IFERROR(VLOOKUP(H104,Config!$B$15:$C$19,2,0),0))</f>
        <v/>
      </c>
      <c r="M104" s="9">
        <f>IF(K104="","",D104*IFERROR(VLOOKUP(C104,Produtos!$A$4:$I$53,9,0),0))</f>
        <v/>
      </c>
      <c r="N104" s="9">
        <f>IF(K104="","",D104*IFERROR(VLOOKUP(C104,Produtos!$A$4:$J$53,10,0),0))</f>
        <v/>
      </c>
      <c r="O104" s="9">
        <f>IF(OR(K104="",F104=""),IF(K104="","",0),IFERROR(VLOOKUP(F104,Entrega!$A$4:$E$43,5,0),0))</f>
        <v/>
      </c>
      <c r="P104" s="9">
        <f>IF(K104="","",K104-L104-M104-N104-O104)</f>
        <v/>
      </c>
      <c r="Q104" s="9">
        <f>IF(K104="","",IF(I104="Entregue",0,K104-N(J104)))</f>
        <v/>
      </c>
      <c r="R104" s="12">
        <f>IF(ISNUMBER(A104),MONTH(A104),"")</f>
        <v/>
      </c>
      <c r="S104" s="12">
        <f>IF(ISNUMBER(A104),YEAR(A104),"")</f>
        <v/>
      </c>
    </row>
    <row r="105">
      <c r="A105" s="23" t="n"/>
      <c r="B105" s="19" t="n"/>
      <c r="C105" s="19" t="n"/>
      <c r="D105" s="7" t="n"/>
      <c r="E105" s="13" t="n"/>
      <c r="F105" s="19" t="n"/>
      <c r="G105" s="13" t="n"/>
      <c r="H105" s="19" t="n"/>
      <c r="I105" s="19" t="n"/>
      <c r="J105" s="13" t="n"/>
      <c r="K105" s="9">
        <f>IF(AND(C105&lt;&gt;"",N(D105)&gt;0,I105&lt;&gt;"Cancelado"),D105*IF(N(E105)&gt;0,E105,IFERROR(VLOOKUP(C105,Produtos!$A$4:$O$53,15,0),0))+N(G105),"")</f>
        <v/>
      </c>
      <c r="L105" s="9">
        <f>IF(K105="","",K105*IFERROR(VLOOKUP(H105,Config!$B$15:$C$19,2,0),0))</f>
        <v/>
      </c>
      <c r="M105" s="9">
        <f>IF(K105="","",D105*IFERROR(VLOOKUP(C105,Produtos!$A$4:$I$53,9,0),0))</f>
        <v/>
      </c>
      <c r="N105" s="9">
        <f>IF(K105="","",D105*IFERROR(VLOOKUP(C105,Produtos!$A$4:$J$53,10,0),0))</f>
        <v/>
      </c>
      <c r="O105" s="9">
        <f>IF(OR(K105="",F105=""),IF(K105="","",0),IFERROR(VLOOKUP(F105,Entrega!$A$4:$E$43,5,0),0))</f>
        <v/>
      </c>
      <c r="P105" s="9">
        <f>IF(K105="","",K105-L105-M105-N105-O105)</f>
        <v/>
      </c>
      <c r="Q105" s="9">
        <f>IF(K105="","",IF(I105="Entregue",0,K105-N(J105)))</f>
        <v/>
      </c>
      <c r="R105" s="12">
        <f>IF(ISNUMBER(A105),MONTH(A105),"")</f>
        <v/>
      </c>
      <c r="S105" s="12">
        <f>IF(ISNUMBER(A105),YEAR(A105),"")</f>
        <v/>
      </c>
    </row>
    <row r="106">
      <c r="A106" s="23" t="n"/>
      <c r="B106" s="19" t="n"/>
      <c r="C106" s="19" t="n"/>
      <c r="D106" s="7" t="n"/>
      <c r="E106" s="13" t="n"/>
      <c r="F106" s="19" t="n"/>
      <c r="G106" s="13" t="n"/>
      <c r="H106" s="19" t="n"/>
      <c r="I106" s="19" t="n"/>
      <c r="J106" s="13" t="n"/>
      <c r="K106" s="9">
        <f>IF(AND(C106&lt;&gt;"",N(D106)&gt;0,I106&lt;&gt;"Cancelado"),D106*IF(N(E106)&gt;0,E106,IFERROR(VLOOKUP(C106,Produtos!$A$4:$O$53,15,0),0))+N(G106),"")</f>
        <v/>
      </c>
      <c r="L106" s="9">
        <f>IF(K106="","",K106*IFERROR(VLOOKUP(H106,Config!$B$15:$C$19,2,0),0))</f>
        <v/>
      </c>
      <c r="M106" s="9">
        <f>IF(K106="","",D106*IFERROR(VLOOKUP(C106,Produtos!$A$4:$I$53,9,0),0))</f>
        <v/>
      </c>
      <c r="N106" s="9">
        <f>IF(K106="","",D106*IFERROR(VLOOKUP(C106,Produtos!$A$4:$J$53,10,0),0))</f>
        <v/>
      </c>
      <c r="O106" s="9">
        <f>IF(OR(K106="",F106=""),IF(K106="","",0),IFERROR(VLOOKUP(F106,Entrega!$A$4:$E$43,5,0),0))</f>
        <v/>
      </c>
      <c r="P106" s="9">
        <f>IF(K106="","",K106-L106-M106-N106-O106)</f>
        <v/>
      </c>
      <c r="Q106" s="9">
        <f>IF(K106="","",IF(I106="Entregue",0,K106-N(J106)))</f>
        <v/>
      </c>
      <c r="R106" s="12">
        <f>IF(ISNUMBER(A106),MONTH(A106),"")</f>
        <v/>
      </c>
      <c r="S106" s="12">
        <f>IF(ISNUMBER(A106),YEAR(A106),"")</f>
        <v/>
      </c>
    </row>
    <row r="107">
      <c r="A107" s="23" t="n"/>
      <c r="B107" s="19" t="n"/>
      <c r="C107" s="19" t="n"/>
      <c r="D107" s="7" t="n"/>
      <c r="E107" s="13" t="n"/>
      <c r="F107" s="19" t="n"/>
      <c r="G107" s="13" t="n"/>
      <c r="H107" s="19" t="n"/>
      <c r="I107" s="19" t="n"/>
      <c r="J107" s="13" t="n"/>
      <c r="K107" s="9">
        <f>IF(AND(C107&lt;&gt;"",N(D107)&gt;0,I107&lt;&gt;"Cancelado"),D107*IF(N(E107)&gt;0,E107,IFERROR(VLOOKUP(C107,Produtos!$A$4:$O$53,15,0),0))+N(G107),"")</f>
        <v/>
      </c>
      <c r="L107" s="9">
        <f>IF(K107="","",K107*IFERROR(VLOOKUP(H107,Config!$B$15:$C$19,2,0),0))</f>
        <v/>
      </c>
      <c r="M107" s="9">
        <f>IF(K107="","",D107*IFERROR(VLOOKUP(C107,Produtos!$A$4:$I$53,9,0),0))</f>
        <v/>
      </c>
      <c r="N107" s="9">
        <f>IF(K107="","",D107*IFERROR(VLOOKUP(C107,Produtos!$A$4:$J$53,10,0),0))</f>
        <v/>
      </c>
      <c r="O107" s="9">
        <f>IF(OR(K107="",F107=""),IF(K107="","",0),IFERROR(VLOOKUP(F107,Entrega!$A$4:$E$43,5,0),0))</f>
        <v/>
      </c>
      <c r="P107" s="9">
        <f>IF(K107="","",K107-L107-M107-N107-O107)</f>
        <v/>
      </c>
      <c r="Q107" s="9">
        <f>IF(K107="","",IF(I107="Entregue",0,K107-N(J107)))</f>
        <v/>
      </c>
      <c r="R107" s="12">
        <f>IF(ISNUMBER(A107),MONTH(A107),"")</f>
        <v/>
      </c>
      <c r="S107" s="12">
        <f>IF(ISNUMBER(A107),YEAR(A107),"")</f>
        <v/>
      </c>
    </row>
    <row r="108">
      <c r="A108" s="23" t="n"/>
      <c r="B108" s="19" t="n"/>
      <c r="C108" s="19" t="n"/>
      <c r="D108" s="7" t="n"/>
      <c r="E108" s="13" t="n"/>
      <c r="F108" s="19" t="n"/>
      <c r="G108" s="13" t="n"/>
      <c r="H108" s="19" t="n"/>
      <c r="I108" s="19" t="n"/>
      <c r="J108" s="13" t="n"/>
      <c r="K108" s="9">
        <f>IF(AND(C108&lt;&gt;"",N(D108)&gt;0,I108&lt;&gt;"Cancelado"),D108*IF(N(E108)&gt;0,E108,IFERROR(VLOOKUP(C108,Produtos!$A$4:$O$53,15,0),0))+N(G108),"")</f>
        <v/>
      </c>
      <c r="L108" s="9">
        <f>IF(K108="","",K108*IFERROR(VLOOKUP(H108,Config!$B$15:$C$19,2,0),0))</f>
        <v/>
      </c>
      <c r="M108" s="9">
        <f>IF(K108="","",D108*IFERROR(VLOOKUP(C108,Produtos!$A$4:$I$53,9,0),0))</f>
        <v/>
      </c>
      <c r="N108" s="9">
        <f>IF(K108="","",D108*IFERROR(VLOOKUP(C108,Produtos!$A$4:$J$53,10,0),0))</f>
        <v/>
      </c>
      <c r="O108" s="9">
        <f>IF(OR(K108="",F108=""),IF(K108="","",0),IFERROR(VLOOKUP(F108,Entrega!$A$4:$E$43,5,0),0))</f>
        <v/>
      </c>
      <c r="P108" s="9">
        <f>IF(K108="","",K108-L108-M108-N108-O108)</f>
        <v/>
      </c>
      <c r="Q108" s="9">
        <f>IF(K108="","",IF(I108="Entregue",0,K108-N(J108)))</f>
        <v/>
      </c>
      <c r="R108" s="12">
        <f>IF(ISNUMBER(A108),MONTH(A108),"")</f>
        <v/>
      </c>
      <c r="S108" s="12">
        <f>IF(ISNUMBER(A108),YEAR(A108),"")</f>
        <v/>
      </c>
    </row>
    <row r="109">
      <c r="A109" s="23" t="n"/>
      <c r="B109" s="19" t="n"/>
      <c r="C109" s="19" t="n"/>
      <c r="D109" s="7" t="n"/>
      <c r="E109" s="13" t="n"/>
      <c r="F109" s="19" t="n"/>
      <c r="G109" s="13" t="n"/>
      <c r="H109" s="19" t="n"/>
      <c r="I109" s="19" t="n"/>
      <c r="J109" s="13" t="n"/>
      <c r="K109" s="9">
        <f>IF(AND(C109&lt;&gt;"",N(D109)&gt;0,I109&lt;&gt;"Cancelado"),D109*IF(N(E109)&gt;0,E109,IFERROR(VLOOKUP(C109,Produtos!$A$4:$O$53,15,0),0))+N(G109),"")</f>
        <v/>
      </c>
      <c r="L109" s="9">
        <f>IF(K109="","",K109*IFERROR(VLOOKUP(H109,Config!$B$15:$C$19,2,0),0))</f>
        <v/>
      </c>
      <c r="M109" s="9">
        <f>IF(K109="","",D109*IFERROR(VLOOKUP(C109,Produtos!$A$4:$I$53,9,0),0))</f>
        <v/>
      </c>
      <c r="N109" s="9">
        <f>IF(K109="","",D109*IFERROR(VLOOKUP(C109,Produtos!$A$4:$J$53,10,0),0))</f>
        <v/>
      </c>
      <c r="O109" s="9">
        <f>IF(OR(K109="",F109=""),IF(K109="","",0),IFERROR(VLOOKUP(F109,Entrega!$A$4:$E$43,5,0),0))</f>
        <v/>
      </c>
      <c r="P109" s="9">
        <f>IF(K109="","",K109-L109-M109-N109-O109)</f>
        <v/>
      </c>
      <c r="Q109" s="9">
        <f>IF(K109="","",IF(I109="Entregue",0,K109-N(J109)))</f>
        <v/>
      </c>
      <c r="R109" s="12">
        <f>IF(ISNUMBER(A109),MONTH(A109),"")</f>
        <v/>
      </c>
      <c r="S109" s="12">
        <f>IF(ISNUMBER(A109),YEAR(A109),"")</f>
        <v/>
      </c>
    </row>
    <row r="110">
      <c r="A110" s="23" t="n"/>
      <c r="B110" s="19" t="n"/>
      <c r="C110" s="19" t="n"/>
      <c r="D110" s="7" t="n"/>
      <c r="E110" s="13" t="n"/>
      <c r="F110" s="19" t="n"/>
      <c r="G110" s="13" t="n"/>
      <c r="H110" s="19" t="n"/>
      <c r="I110" s="19" t="n"/>
      <c r="J110" s="13" t="n"/>
      <c r="K110" s="9">
        <f>IF(AND(C110&lt;&gt;"",N(D110)&gt;0,I110&lt;&gt;"Cancelado"),D110*IF(N(E110)&gt;0,E110,IFERROR(VLOOKUP(C110,Produtos!$A$4:$O$53,15,0),0))+N(G110),"")</f>
        <v/>
      </c>
      <c r="L110" s="9">
        <f>IF(K110="","",K110*IFERROR(VLOOKUP(H110,Config!$B$15:$C$19,2,0),0))</f>
        <v/>
      </c>
      <c r="M110" s="9">
        <f>IF(K110="","",D110*IFERROR(VLOOKUP(C110,Produtos!$A$4:$I$53,9,0),0))</f>
        <v/>
      </c>
      <c r="N110" s="9">
        <f>IF(K110="","",D110*IFERROR(VLOOKUP(C110,Produtos!$A$4:$J$53,10,0),0))</f>
        <v/>
      </c>
      <c r="O110" s="9">
        <f>IF(OR(K110="",F110=""),IF(K110="","",0),IFERROR(VLOOKUP(F110,Entrega!$A$4:$E$43,5,0),0))</f>
        <v/>
      </c>
      <c r="P110" s="9">
        <f>IF(K110="","",K110-L110-M110-N110-O110)</f>
        <v/>
      </c>
      <c r="Q110" s="9">
        <f>IF(K110="","",IF(I110="Entregue",0,K110-N(J110)))</f>
        <v/>
      </c>
      <c r="R110" s="12">
        <f>IF(ISNUMBER(A110),MONTH(A110),"")</f>
        <v/>
      </c>
      <c r="S110" s="12">
        <f>IF(ISNUMBER(A110),YEAR(A110),"")</f>
        <v/>
      </c>
    </row>
    <row r="111">
      <c r="A111" s="23" t="n"/>
      <c r="B111" s="19" t="n"/>
      <c r="C111" s="19" t="n"/>
      <c r="D111" s="7" t="n"/>
      <c r="E111" s="13" t="n"/>
      <c r="F111" s="19" t="n"/>
      <c r="G111" s="13" t="n"/>
      <c r="H111" s="19" t="n"/>
      <c r="I111" s="19" t="n"/>
      <c r="J111" s="13" t="n"/>
      <c r="K111" s="9">
        <f>IF(AND(C111&lt;&gt;"",N(D111)&gt;0,I111&lt;&gt;"Cancelado"),D111*IF(N(E111)&gt;0,E111,IFERROR(VLOOKUP(C111,Produtos!$A$4:$O$53,15,0),0))+N(G111),"")</f>
        <v/>
      </c>
      <c r="L111" s="9">
        <f>IF(K111="","",K111*IFERROR(VLOOKUP(H111,Config!$B$15:$C$19,2,0),0))</f>
        <v/>
      </c>
      <c r="M111" s="9">
        <f>IF(K111="","",D111*IFERROR(VLOOKUP(C111,Produtos!$A$4:$I$53,9,0),0))</f>
        <v/>
      </c>
      <c r="N111" s="9">
        <f>IF(K111="","",D111*IFERROR(VLOOKUP(C111,Produtos!$A$4:$J$53,10,0),0))</f>
        <v/>
      </c>
      <c r="O111" s="9">
        <f>IF(OR(K111="",F111=""),IF(K111="","",0),IFERROR(VLOOKUP(F111,Entrega!$A$4:$E$43,5,0),0))</f>
        <v/>
      </c>
      <c r="P111" s="9">
        <f>IF(K111="","",K111-L111-M111-N111-O111)</f>
        <v/>
      </c>
      <c r="Q111" s="9">
        <f>IF(K111="","",IF(I111="Entregue",0,K111-N(J111)))</f>
        <v/>
      </c>
      <c r="R111" s="12">
        <f>IF(ISNUMBER(A111),MONTH(A111),"")</f>
        <v/>
      </c>
      <c r="S111" s="12">
        <f>IF(ISNUMBER(A111),YEAR(A111),"")</f>
        <v/>
      </c>
    </row>
    <row r="112">
      <c r="A112" s="23" t="n"/>
      <c r="B112" s="19" t="n"/>
      <c r="C112" s="19" t="n"/>
      <c r="D112" s="7" t="n"/>
      <c r="E112" s="13" t="n"/>
      <c r="F112" s="19" t="n"/>
      <c r="G112" s="13" t="n"/>
      <c r="H112" s="19" t="n"/>
      <c r="I112" s="19" t="n"/>
      <c r="J112" s="13" t="n"/>
      <c r="K112" s="9">
        <f>IF(AND(C112&lt;&gt;"",N(D112)&gt;0,I112&lt;&gt;"Cancelado"),D112*IF(N(E112)&gt;0,E112,IFERROR(VLOOKUP(C112,Produtos!$A$4:$O$53,15,0),0))+N(G112),"")</f>
        <v/>
      </c>
      <c r="L112" s="9">
        <f>IF(K112="","",K112*IFERROR(VLOOKUP(H112,Config!$B$15:$C$19,2,0),0))</f>
        <v/>
      </c>
      <c r="M112" s="9">
        <f>IF(K112="","",D112*IFERROR(VLOOKUP(C112,Produtos!$A$4:$I$53,9,0),0))</f>
        <v/>
      </c>
      <c r="N112" s="9">
        <f>IF(K112="","",D112*IFERROR(VLOOKUP(C112,Produtos!$A$4:$J$53,10,0),0))</f>
        <v/>
      </c>
      <c r="O112" s="9">
        <f>IF(OR(K112="",F112=""),IF(K112="","",0),IFERROR(VLOOKUP(F112,Entrega!$A$4:$E$43,5,0),0))</f>
        <v/>
      </c>
      <c r="P112" s="9">
        <f>IF(K112="","",K112-L112-M112-N112-O112)</f>
        <v/>
      </c>
      <c r="Q112" s="9">
        <f>IF(K112="","",IF(I112="Entregue",0,K112-N(J112)))</f>
        <v/>
      </c>
      <c r="R112" s="12">
        <f>IF(ISNUMBER(A112),MONTH(A112),"")</f>
        <v/>
      </c>
      <c r="S112" s="12">
        <f>IF(ISNUMBER(A112),YEAR(A112),"")</f>
        <v/>
      </c>
    </row>
    <row r="113">
      <c r="A113" s="23" t="n"/>
      <c r="B113" s="19" t="n"/>
      <c r="C113" s="19" t="n"/>
      <c r="D113" s="7" t="n"/>
      <c r="E113" s="13" t="n"/>
      <c r="F113" s="19" t="n"/>
      <c r="G113" s="13" t="n"/>
      <c r="H113" s="19" t="n"/>
      <c r="I113" s="19" t="n"/>
      <c r="J113" s="13" t="n"/>
      <c r="K113" s="9">
        <f>IF(AND(C113&lt;&gt;"",N(D113)&gt;0,I113&lt;&gt;"Cancelado"),D113*IF(N(E113)&gt;0,E113,IFERROR(VLOOKUP(C113,Produtos!$A$4:$O$53,15,0),0))+N(G113),"")</f>
        <v/>
      </c>
      <c r="L113" s="9">
        <f>IF(K113="","",K113*IFERROR(VLOOKUP(H113,Config!$B$15:$C$19,2,0),0))</f>
        <v/>
      </c>
      <c r="M113" s="9">
        <f>IF(K113="","",D113*IFERROR(VLOOKUP(C113,Produtos!$A$4:$I$53,9,0),0))</f>
        <v/>
      </c>
      <c r="N113" s="9">
        <f>IF(K113="","",D113*IFERROR(VLOOKUP(C113,Produtos!$A$4:$J$53,10,0),0))</f>
        <v/>
      </c>
      <c r="O113" s="9">
        <f>IF(OR(K113="",F113=""),IF(K113="","",0),IFERROR(VLOOKUP(F113,Entrega!$A$4:$E$43,5,0),0))</f>
        <v/>
      </c>
      <c r="P113" s="9">
        <f>IF(K113="","",K113-L113-M113-N113-O113)</f>
        <v/>
      </c>
      <c r="Q113" s="9">
        <f>IF(K113="","",IF(I113="Entregue",0,K113-N(J113)))</f>
        <v/>
      </c>
      <c r="R113" s="12">
        <f>IF(ISNUMBER(A113),MONTH(A113),"")</f>
        <v/>
      </c>
      <c r="S113" s="12">
        <f>IF(ISNUMBER(A113),YEAR(A113),"")</f>
        <v/>
      </c>
    </row>
    <row r="114">
      <c r="A114" s="23" t="n"/>
      <c r="B114" s="19" t="n"/>
      <c r="C114" s="19" t="n"/>
      <c r="D114" s="7" t="n"/>
      <c r="E114" s="13" t="n"/>
      <c r="F114" s="19" t="n"/>
      <c r="G114" s="13" t="n"/>
      <c r="H114" s="19" t="n"/>
      <c r="I114" s="19" t="n"/>
      <c r="J114" s="13" t="n"/>
      <c r="K114" s="9">
        <f>IF(AND(C114&lt;&gt;"",N(D114)&gt;0,I114&lt;&gt;"Cancelado"),D114*IF(N(E114)&gt;0,E114,IFERROR(VLOOKUP(C114,Produtos!$A$4:$O$53,15,0),0))+N(G114),"")</f>
        <v/>
      </c>
      <c r="L114" s="9">
        <f>IF(K114="","",K114*IFERROR(VLOOKUP(H114,Config!$B$15:$C$19,2,0),0))</f>
        <v/>
      </c>
      <c r="M114" s="9">
        <f>IF(K114="","",D114*IFERROR(VLOOKUP(C114,Produtos!$A$4:$I$53,9,0),0))</f>
        <v/>
      </c>
      <c r="N114" s="9">
        <f>IF(K114="","",D114*IFERROR(VLOOKUP(C114,Produtos!$A$4:$J$53,10,0),0))</f>
        <v/>
      </c>
      <c r="O114" s="9">
        <f>IF(OR(K114="",F114=""),IF(K114="","",0),IFERROR(VLOOKUP(F114,Entrega!$A$4:$E$43,5,0),0))</f>
        <v/>
      </c>
      <c r="P114" s="9">
        <f>IF(K114="","",K114-L114-M114-N114-O114)</f>
        <v/>
      </c>
      <c r="Q114" s="9">
        <f>IF(K114="","",IF(I114="Entregue",0,K114-N(J114)))</f>
        <v/>
      </c>
      <c r="R114" s="12">
        <f>IF(ISNUMBER(A114),MONTH(A114),"")</f>
        <v/>
      </c>
      <c r="S114" s="12">
        <f>IF(ISNUMBER(A114),YEAR(A114),"")</f>
        <v/>
      </c>
    </row>
    <row r="115">
      <c r="A115" s="23" t="n"/>
      <c r="B115" s="19" t="n"/>
      <c r="C115" s="19" t="n"/>
      <c r="D115" s="7" t="n"/>
      <c r="E115" s="13" t="n"/>
      <c r="F115" s="19" t="n"/>
      <c r="G115" s="13" t="n"/>
      <c r="H115" s="19" t="n"/>
      <c r="I115" s="19" t="n"/>
      <c r="J115" s="13" t="n"/>
      <c r="K115" s="9">
        <f>IF(AND(C115&lt;&gt;"",N(D115)&gt;0,I115&lt;&gt;"Cancelado"),D115*IF(N(E115)&gt;0,E115,IFERROR(VLOOKUP(C115,Produtos!$A$4:$O$53,15,0),0))+N(G115),"")</f>
        <v/>
      </c>
      <c r="L115" s="9">
        <f>IF(K115="","",K115*IFERROR(VLOOKUP(H115,Config!$B$15:$C$19,2,0),0))</f>
        <v/>
      </c>
      <c r="M115" s="9">
        <f>IF(K115="","",D115*IFERROR(VLOOKUP(C115,Produtos!$A$4:$I$53,9,0),0))</f>
        <v/>
      </c>
      <c r="N115" s="9">
        <f>IF(K115="","",D115*IFERROR(VLOOKUP(C115,Produtos!$A$4:$J$53,10,0),0))</f>
        <v/>
      </c>
      <c r="O115" s="9">
        <f>IF(OR(K115="",F115=""),IF(K115="","",0),IFERROR(VLOOKUP(F115,Entrega!$A$4:$E$43,5,0),0))</f>
        <v/>
      </c>
      <c r="P115" s="9">
        <f>IF(K115="","",K115-L115-M115-N115-O115)</f>
        <v/>
      </c>
      <c r="Q115" s="9">
        <f>IF(K115="","",IF(I115="Entregue",0,K115-N(J115)))</f>
        <v/>
      </c>
      <c r="R115" s="12">
        <f>IF(ISNUMBER(A115),MONTH(A115),"")</f>
        <v/>
      </c>
      <c r="S115" s="12">
        <f>IF(ISNUMBER(A115),YEAR(A115),"")</f>
        <v/>
      </c>
    </row>
    <row r="116">
      <c r="A116" s="23" t="n"/>
      <c r="B116" s="19" t="n"/>
      <c r="C116" s="19" t="n"/>
      <c r="D116" s="7" t="n"/>
      <c r="E116" s="13" t="n"/>
      <c r="F116" s="19" t="n"/>
      <c r="G116" s="13" t="n"/>
      <c r="H116" s="19" t="n"/>
      <c r="I116" s="19" t="n"/>
      <c r="J116" s="13" t="n"/>
      <c r="K116" s="9">
        <f>IF(AND(C116&lt;&gt;"",N(D116)&gt;0,I116&lt;&gt;"Cancelado"),D116*IF(N(E116)&gt;0,E116,IFERROR(VLOOKUP(C116,Produtos!$A$4:$O$53,15,0),0))+N(G116),"")</f>
        <v/>
      </c>
      <c r="L116" s="9">
        <f>IF(K116="","",K116*IFERROR(VLOOKUP(H116,Config!$B$15:$C$19,2,0),0))</f>
        <v/>
      </c>
      <c r="M116" s="9">
        <f>IF(K116="","",D116*IFERROR(VLOOKUP(C116,Produtos!$A$4:$I$53,9,0),0))</f>
        <v/>
      </c>
      <c r="N116" s="9">
        <f>IF(K116="","",D116*IFERROR(VLOOKUP(C116,Produtos!$A$4:$J$53,10,0),0))</f>
        <v/>
      </c>
      <c r="O116" s="9">
        <f>IF(OR(K116="",F116=""),IF(K116="","",0),IFERROR(VLOOKUP(F116,Entrega!$A$4:$E$43,5,0),0))</f>
        <v/>
      </c>
      <c r="P116" s="9">
        <f>IF(K116="","",K116-L116-M116-N116-O116)</f>
        <v/>
      </c>
      <c r="Q116" s="9">
        <f>IF(K116="","",IF(I116="Entregue",0,K116-N(J116)))</f>
        <v/>
      </c>
      <c r="R116" s="12">
        <f>IF(ISNUMBER(A116),MONTH(A116),"")</f>
        <v/>
      </c>
      <c r="S116" s="12">
        <f>IF(ISNUMBER(A116),YEAR(A116),"")</f>
        <v/>
      </c>
    </row>
    <row r="117">
      <c r="A117" s="23" t="n"/>
      <c r="B117" s="19" t="n"/>
      <c r="C117" s="19" t="n"/>
      <c r="D117" s="7" t="n"/>
      <c r="E117" s="13" t="n"/>
      <c r="F117" s="19" t="n"/>
      <c r="G117" s="13" t="n"/>
      <c r="H117" s="19" t="n"/>
      <c r="I117" s="19" t="n"/>
      <c r="J117" s="13" t="n"/>
      <c r="K117" s="9">
        <f>IF(AND(C117&lt;&gt;"",N(D117)&gt;0,I117&lt;&gt;"Cancelado"),D117*IF(N(E117)&gt;0,E117,IFERROR(VLOOKUP(C117,Produtos!$A$4:$O$53,15,0),0))+N(G117),"")</f>
        <v/>
      </c>
      <c r="L117" s="9">
        <f>IF(K117="","",K117*IFERROR(VLOOKUP(H117,Config!$B$15:$C$19,2,0),0))</f>
        <v/>
      </c>
      <c r="M117" s="9">
        <f>IF(K117="","",D117*IFERROR(VLOOKUP(C117,Produtos!$A$4:$I$53,9,0),0))</f>
        <v/>
      </c>
      <c r="N117" s="9">
        <f>IF(K117="","",D117*IFERROR(VLOOKUP(C117,Produtos!$A$4:$J$53,10,0),0))</f>
        <v/>
      </c>
      <c r="O117" s="9">
        <f>IF(OR(K117="",F117=""),IF(K117="","",0),IFERROR(VLOOKUP(F117,Entrega!$A$4:$E$43,5,0),0))</f>
        <v/>
      </c>
      <c r="P117" s="9">
        <f>IF(K117="","",K117-L117-M117-N117-O117)</f>
        <v/>
      </c>
      <c r="Q117" s="9">
        <f>IF(K117="","",IF(I117="Entregue",0,K117-N(J117)))</f>
        <v/>
      </c>
      <c r="R117" s="12">
        <f>IF(ISNUMBER(A117),MONTH(A117),"")</f>
        <v/>
      </c>
      <c r="S117" s="12">
        <f>IF(ISNUMBER(A117),YEAR(A117),"")</f>
        <v/>
      </c>
    </row>
    <row r="118">
      <c r="A118" s="23" t="n"/>
      <c r="B118" s="19" t="n"/>
      <c r="C118" s="19" t="n"/>
      <c r="D118" s="7" t="n"/>
      <c r="E118" s="13" t="n"/>
      <c r="F118" s="19" t="n"/>
      <c r="G118" s="13" t="n"/>
      <c r="H118" s="19" t="n"/>
      <c r="I118" s="19" t="n"/>
      <c r="J118" s="13" t="n"/>
      <c r="K118" s="9">
        <f>IF(AND(C118&lt;&gt;"",N(D118)&gt;0,I118&lt;&gt;"Cancelado"),D118*IF(N(E118)&gt;0,E118,IFERROR(VLOOKUP(C118,Produtos!$A$4:$O$53,15,0),0))+N(G118),"")</f>
        <v/>
      </c>
      <c r="L118" s="9">
        <f>IF(K118="","",K118*IFERROR(VLOOKUP(H118,Config!$B$15:$C$19,2,0),0))</f>
        <v/>
      </c>
      <c r="M118" s="9">
        <f>IF(K118="","",D118*IFERROR(VLOOKUP(C118,Produtos!$A$4:$I$53,9,0),0))</f>
        <v/>
      </c>
      <c r="N118" s="9">
        <f>IF(K118="","",D118*IFERROR(VLOOKUP(C118,Produtos!$A$4:$J$53,10,0),0))</f>
        <v/>
      </c>
      <c r="O118" s="9">
        <f>IF(OR(K118="",F118=""),IF(K118="","",0),IFERROR(VLOOKUP(F118,Entrega!$A$4:$E$43,5,0),0))</f>
        <v/>
      </c>
      <c r="P118" s="9">
        <f>IF(K118="","",K118-L118-M118-N118-O118)</f>
        <v/>
      </c>
      <c r="Q118" s="9">
        <f>IF(K118="","",IF(I118="Entregue",0,K118-N(J118)))</f>
        <v/>
      </c>
      <c r="R118" s="12">
        <f>IF(ISNUMBER(A118),MONTH(A118),"")</f>
        <v/>
      </c>
      <c r="S118" s="12">
        <f>IF(ISNUMBER(A118),YEAR(A118),"")</f>
        <v/>
      </c>
    </row>
    <row r="119">
      <c r="A119" s="23" t="n"/>
      <c r="B119" s="19" t="n"/>
      <c r="C119" s="19" t="n"/>
      <c r="D119" s="7" t="n"/>
      <c r="E119" s="13" t="n"/>
      <c r="F119" s="19" t="n"/>
      <c r="G119" s="13" t="n"/>
      <c r="H119" s="19" t="n"/>
      <c r="I119" s="19" t="n"/>
      <c r="J119" s="13" t="n"/>
      <c r="K119" s="9">
        <f>IF(AND(C119&lt;&gt;"",N(D119)&gt;0,I119&lt;&gt;"Cancelado"),D119*IF(N(E119)&gt;0,E119,IFERROR(VLOOKUP(C119,Produtos!$A$4:$O$53,15,0),0))+N(G119),"")</f>
        <v/>
      </c>
      <c r="L119" s="9">
        <f>IF(K119="","",K119*IFERROR(VLOOKUP(H119,Config!$B$15:$C$19,2,0),0))</f>
        <v/>
      </c>
      <c r="M119" s="9">
        <f>IF(K119="","",D119*IFERROR(VLOOKUP(C119,Produtos!$A$4:$I$53,9,0),0))</f>
        <v/>
      </c>
      <c r="N119" s="9">
        <f>IF(K119="","",D119*IFERROR(VLOOKUP(C119,Produtos!$A$4:$J$53,10,0),0))</f>
        <v/>
      </c>
      <c r="O119" s="9">
        <f>IF(OR(K119="",F119=""),IF(K119="","",0),IFERROR(VLOOKUP(F119,Entrega!$A$4:$E$43,5,0),0))</f>
        <v/>
      </c>
      <c r="P119" s="9">
        <f>IF(K119="","",K119-L119-M119-N119-O119)</f>
        <v/>
      </c>
      <c r="Q119" s="9">
        <f>IF(K119="","",IF(I119="Entregue",0,K119-N(J119)))</f>
        <v/>
      </c>
      <c r="R119" s="12">
        <f>IF(ISNUMBER(A119),MONTH(A119),"")</f>
        <v/>
      </c>
      <c r="S119" s="12">
        <f>IF(ISNUMBER(A119),YEAR(A119),"")</f>
        <v/>
      </c>
    </row>
    <row r="120">
      <c r="A120" s="23" t="n"/>
      <c r="B120" s="19" t="n"/>
      <c r="C120" s="19" t="n"/>
      <c r="D120" s="7" t="n"/>
      <c r="E120" s="13" t="n"/>
      <c r="F120" s="19" t="n"/>
      <c r="G120" s="13" t="n"/>
      <c r="H120" s="19" t="n"/>
      <c r="I120" s="19" t="n"/>
      <c r="J120" s="13" t="n"/>
      <c r="K120" s="9">
        <f>IF(AND(C120&lt;&gt;"",N(D120)&gt;0,I120&lt;&gt;"Cancelado"),D120*IF(N(E120)&gt;0,E120,IFERROR(VLOOKUP(C120,Produtos!$A$4:$O$53,15,0),0))+N(G120),"")</f>
        <v/>
      </c>
      <c r="L120" s="9">
        <f>IF(K120="","",K120*IFERROR(VLOOKUP(H120,Config!$B$15:$C$19,2,0),0))</f>
        <v/>
      </c>
      <c r="M120" s="9">
        <f>IF(K120="","",D120*IFERROR(VLOOKUP(C120,Produtos!$A$4:$I$53,9,0),0))</f>
        <v/>
      </c>
      <c r="N120" s="9">
        <f>IF(K120="","",D120*IFERROR(VLOOKUP(C120,Produtos!$A$4:$J$53,10,0),0))</f>
        <v/>
      </c>
      <c r="O120" s="9">
        <f>IF(OR(K120="",F120=""),IF(K120="","",0),IFERROR(VLOOKUP(F120,Entrega!$A$4:$E$43,5,0),0))</f>
        <v/>
      </c>
      <c r="P120" s="9">
        <f>IF(K120="","",K120-L120-M120-N120-O120)</f>
        <v/>
      </c>
      <c r="Q120" s="9">
        <f>IF(K120="","",IF(I120="Entregue",0,K120-N(J120)))</f>
        <v/>
      </c>
      <c r="R120" s="12">
        <f>IF(ISNUMBER(A120),MONTH(A120),"")</f>
        <v/>
      </c>
      <c r="S120" s="12">
        <f>IF(ISNUMBER(A120),YEAR(A120),"")</f>
        <v/>
      </c>
    </row>
    <row r="121">
      <c r="A121" s="23" t="n"/>
      <c r="B121" s="19" t="n"/>
      <c r="C121" s="19" t="n"/>
      <c r="D121" s="7" t="n"/>
      <c r="E121" s="13" t="n"/>
      <c r="F121" s="19" t="n"/>
      <c r="G121" s="13" t="n"/>
      <c r="H121" s="19" t="n"/>
      <c r="I121" s="19" t="n"/>
      <c r="J121" s="13" t="n"/>
      <c r="K121" s="9">
        <f>IF(AND(C121&lt;&gt;"",N(D121)&gt;0,I121&lt;&gt;"Cancelado"),D121*IF(N(E121)&gt;0,E121,IFERROR(VLOOKUP(C121,Produtos!$A$4:$O$53,15,0),0))+N(G121),"")</f>
        <v/>
      </c>
      <c r="L121" s="9">
        <f>IF(K121="","",K121*IFERROR(VLOOKUP(H121,Config!$B$15:$C$19,2,0),0))</f>
        <v/>
      </c>
      <c r="M121" s="9">
        <f>IF(K121="","",D121*IFERROR(VLOOKUP(C121,Produtos!$A$4:$I$53,9,0),0))</f>
        <v/>
      </c>
      <c r="N121" s="9">
        <f>IF(K121="","",D121*IFERROR(VLOOKUP(C121,Produtos!$A$4:$J$53,10,0),0))</f>
        <v/>
      </c>
      <c r="O121" s="9">
        <f>IF(OR(K121="",F121=""),IF(K121="","",0),IFERROR(VLOOKUP(F121,Entrega!$A$4:$E$43,5,0),0))</f>
        <v/>
      </c>
      <c r="P121" s="9">
        <f>IF(K121="","",K121-L121-M121-N121-O121)</f>
        <v/>
      </c>
      <c r="Q121" s="9">
        <f>IF(K121="","",IF(I121="Entregue",0,K121-N(J121)))</f>
        <v/>
      </c>
      <c r="R121" s="12">
        <f>IF(ISNUMBER(A121),MONTH(A121),"")</f>
        <v/>
      </c>
      <c r="S121" s="12">
        <f>IF(ISNUMBER(A121),YEAR(A121),"")</f>
        <v/>
      </c>
    </row>
    <row r="122">
      <c r="A122" s="23" t="n"/>
      <c r="B122" s="19" t="n"/>
      <c r="C122" s="19" t="n"/>
      <c r="D122" s="7" t="n"/>
      <c r="E122" s="13" t="n"/>
      <c r="F122" s="19" t="n"/>
      <c r="G122" s="13" t="n"/>
      <c r="H122" s="19" t="n"/>
      <c r="I122" s="19" t="n"/>
      <c r="J122" s="13" t="n"/>
      <c r="K122" s="9">
        <f>IF(AND(C122&lt;&gt;"",N(D122)&gt;0,I122&lt;&gt;"Cancelado"),D122*IF(N(E122)&gt;0,E122,IFERROR(VLOOKUP(C122,Produtos!$A$4:$O$53,15,0),0))+N(G122),"")</f>
        <v/>
      </c>
      <c r="L122" s="9">
        <f>IF(K122="","",K122*IFERROR(VLOOKUP(H122,Config!$B$15:$C$19,2,0),0))</f>
        <v/>
      </c>
      <c r="M122" s="9">
        <f>IF(K122="","",D122*IFERROR(VLOOKUP(C122,Produtos!$A$4:$I$53,9,0),0))</f>
        <v/>
      </c>
      <c r="N122" s="9">
        <f>IF(K122="","",D122*IFERROR(VLOOKUP(C122,Produtos!$A$4:$J$53,10,0),0))</f>
        <v/>
      </c>
      <c r="O122" s="9">
        <f>IF(OR(K122="",F122=""),IF(K122="","",0),IFERROR(VLOOKUP(F122,Entrega!$A$4:$E$43,5,0),0))</f>
        <v/>
      </c>
      <c r="P122" s="9">
        <f>IF(K122="","",K122-L122-M122-N122-O122)</f>
        <v/>
      </c>
      <c r="Q122" s="9">
        <f>IF(K122="","",IF(I122="Entregue",0,K122-N(J122)))</f>
        <v/>
      </c>
      <c r="R122" s="12">
        <f>IF(ISNUMBER(A122),MONTH(A122),"")</f>
        <v/>
      </c>
      <c r="S122" s="12">
        <f>IF(ISNUMBER(A122),YEAR(A122),"")</f>
        <v/>
      </c>
    </row>
    <row r="123">
      <c r="A123" s="23" t="n"/>
      <c r="B123" s="19" t="n"/>
      <c r="C123" s="19" t="n"/>
      <c r="D123" s="7" t="n"/>
      <c r="E123" s="13" t="n"/>
      <c r="F123" s="19" t="n"/>
      <c r="G123" s="13" t="n"/>
      <c r="H123" s="19" t="n"/>
      <c r="I123" s="19" t="n"/>
      <c r="J123" s="13" t="n"/>
      <c r="K123" s="9">
        <f>IF(AND(C123&lt;&gt;"",N(D123)&gt;0,I123&lt;&gt;"Cancelado"),D123*IF(N(E123)&gt;0,E123,IFERROR(VLOOKUP(C123,Produtos!$A$4:$O$53,15,0),0))+N(G123),"")</f>
        <v/>
      </c>
      <c r="L123" s="9">
        <f>IF(K123="","",K123*IFERROR(VLOOKUP(H123,Config!$B$15:$C$19,2,0),0))</f>
        <v/>
      </c>
      <c r="M123" s="9">
        <f>IF(K123="","",D123*IFERROR(VLOOKUP(C123,Produtos!$A$4:$I$53,9,0),0))</f>
        <v/>
      </c>
      <c r="N123" s="9">
        <f>IF(K123="","",D123*IFERROR(VLOOKUP(C123,Produtos!$A$4:$J$53,10,0),0))</f>
        <v/>
      </c>
      <c r="O123" s="9">
        <f>IF(OR(K123="",F123=""),IF(K123="","",0),IFERROR(VLOOKUP(F123,Entrega!$A$4:$E$43,5,0),0))</f>
        <v/>
      </c>
      <c r="P123" s="9">
        <f>IF(K123="","",K123-L123-M123-N123-O123)</f>
        <v/>
      </c>
      <c r="Q123" s="9">
        <f>IF(K123="","",IF(I123="Entregue",0,K123-N(J123)))</f>
        <v/>
      </c>
      <c r="R123" s="12">
        <f>IF(ISNUMBER(A123),MONTH(A123),"")</f>
        <v/>
      </c>
      <c r="S123" s="12">
        <f>IF(ISNUMBER(A123),YEAR(A123),"")</f>
        <v/>
      </c>
    </row>
    <row r="124">
      <c r="A124" s="23" t="n"/>
      <c r="B124" s="19" t="n"/>
      <c r="C124" s="19" t="n"/>
      <c r="D124" s="7" t="n"/>
      <c r="E124" s="13" t="n"/>
      <c r="F124" s="19" t="n"/>
      <c r="G124" s="13" t="n"/>
      <c r="H124" s="19" t="n"/>
      <c r="I124" s="19" t="n"/>
      <c r="J124" s="13" t="n"/>
      <c r="K124" s="9">
        <f>IF(AND(C124&lt;&gt;"",N(D124)&gt;0,I124&lt;&gt;"Cancelado"),D124*IF(N(E124)&gt;0,E124,IFERROR(VLOOKUP(C124,Produtos!$A$4:$O$53,15,0),0))+N(G124),"")</f>
        <v/>
      </c>
      <c r="L124" s="9">
        <f>IF(K124="","",K124*IFERROR(VLOOKUP(H124,Config!$B$15:$C$19,2,0),0))</f>
        <v/>
      </c>
      <c r="M124" s="9">
        <f>IF(K124="","",D124*IFERROR(VLOOKUP(C124,Produtos!$A$4:$I$53,9,0),0))</f>
        <v/>
      </c>
      <c r="N124" s="9">
        <f>IF(K124="","",D124*IFERROR(VLOOKUP(C124,Produtos!$A$4:$J$53,10,0),0))</f>
        <v/>
      </c>
      <c r="O124" s="9">
        <f>IF(OR(K124="",F124=""),IF(K124="","",0),IFERROR(VLOOKUP(F124,Entrega!$A$4:$E$43,5,0),0))</f>
        <v/>
      </c>
      <c r="P124" s="9">
        <f>IF(K124="","",K124-L124-M124-N124-O124)</f>
        <v/>
      </c>
      <c r="Q124" s="9">
        <f>IF(K124="","",IF(I124="Entregue",0,K124-N(J124)))</f>
        <v/>
      </c>
      <c r="R124" s="12">
        <f>IF(ISNUMBER(A124),MONTH(A124),"")</f>
        <v/>
      </c>
      <c r="S124" s="12">
        <f>IF(ISNUMBER(A124),YEAR(A124),"")</f>
        <v/>
      </c>
    </row>
    <row r="125">
      <c r="A125" s="23" t="n"/>
      <c r="B125" s="19" t="n"/>
      <c r="C125" s="19" t="n"/>
      <c r="D125" s="7" t="n"/>
      <c r="E125" s="13" t="n"/>
      <c r="F125" s="19" t="n"/>
      <c r="G125" s="13" t="n"/>
      <c r="H125" s="19" t="n"/>
      <c r="I125" s="19" t="n"/>
      <c r="J125" s="13" t="n"/>
      <c r="K125" s="9">
        <f>IF(AND(C125&lt;&gt;"",N(D125)&gt;0,I125&lt;&gt;"Cancelado"),D125*IF(N(E125)&gt;0,E125,IFERROR(VLOOKUP(C125,Produtos!$A$4:$O$53,15,0),0))+N(G125),"")</f>
        <v/>
      </c>
      <c r="L125" s="9">
        <f>IF(K125="","",K125*IFERROR(VLOOKUP(H125,Config!$B$15:$C$19,2,0),0))</f>
        <v/>
      </c>
      <c r="M125" s="9">
        <f>IF(K125="","",D125*IFERROR(VLOOKUP(C125,Produtos!$A$4:$I$53,9,0),0))</f>
        <v/>
      </c>
      <c r="N125" s="9">
        <f>IF(K125="","",D125*IFERROR(VLOOKUP(C125,Produtos!$A$4:$J$53,10,0),0))</f>
        <v/>
      </c>
      <c r="O125" s="9">
        <f>IF(OR(K125="",F125=""),IF(K125="","",0),IFERROR(VLOOKUP(F125,Entrega!$A$4:$E$43,5,0),0))</f>
        <v/>
      </c>
      <c r="P125" s="9">
        <f>IF(K125="","",K125-L125-M125-N125-O125)</f>
        <v/>
      </c>
      <c r="Q125" s="9">
        <f>IF(K125="","",IF(I125="Entregue",0,K125-N(J125)))</f>
        <v/>
      </c>
      <c r="R125" s="12">
        <f>IF(ISNUMBER(A125),MONTH(A125),"")</f>
        <v/>
      </c>
      <c r="S125" s="12">
        <f>IF(ISNUMBER(A125),YEAR(A125),"")</f>
        <v/>
      </c>
    </row>
    <row r="126">
      <c r="A126" s="23" t="n"/>
      <c r="B126" s="19" t="n"/>
      <c r="C126" s="19" t="n"/>
      <c r="D126" s="7" t="n"/>
      <c r="E126" s="13" t="n"/>
      <c r="F126" s="19" t="n"/>
      <c r="G126" s="13" t="n"/>
      <c r="H126" s="19" t="n"/>
      <c r="I126" s="19" t="n"/>
      <c r="J126" s="13" t="n"/>
      <c r="K126" s="9">
        <f>IF(AND(C126&lt;&gt;"",N(D126)&gt;0,I126&lt;&gt;"Cancelado"),D126*IF(N(E126)&gt;0,E126,IFERROR(VLOOKUP(C126,Produtos!$A$4:$O$53,15,0),0))+N(G126),"")</f>
        <v/>
      </c>
      <c r="L126" s="9">
        <f>IF(K126="","",K126*IFERROR(VLOOKUP(H126,Config!$B$15:$C$19,2,0),0))</f>
        <v/>
      </c>
      <c r="M126" s="9">
        <f>IF(K126="","",D126*IFERROR(VLOOKUP(C126,Produtos!$A$4:$I$53,9,0),0))</f>
        <v/>
      </c>
      <c r="N126" s="9">
        <f>IF(K126="","",D126*IFERROR(VLOOKUP(C126,Produtos!$A$4:$J$53,10,0),0))</f>
        <v/>
      </c>
      <c r="O126" s="9">
        <f>IF(OR(K126="",F126=""),IF(K126="","",0),IFERROR(VLOOKUP(F126,Entrega!$A$4:$E$43,5,0),0))</f>
        <v/>
      </c>
      <c r="P126" s="9">
        <f>IF(K126="","",K126-L126-M126-N126-O126)</f>
        <v/>
      </c>
      <c r="Q126" s="9">
        <f>IF(K126="","",IF(I126="Entregue",0,K126-N(J126)))</f>
        <v/>
      </c>
      <c r="R126" s="12">
        <f>IF(ISNUMBER(A126),MONTH(A126),"")</f>
        <v/>
      </c>
      <c r="S126" s="12">
        <f>IF(ISNUMBER(A126),YEAR(A126),"")</f>
        <v/>
      </c>
    </row>
    <row r="127">
      <c r="A127" s="23" t="n"/>
      <c r="B127" s="19" t="n"/>
      <c r="C127" s="19" t="n"/>
      <c r="D127" s="7" t="n"/>
      <c r="E127" s="13" t="n"/>
      <c r="F127" s="19" t="n"/>
      <c r="G127" s="13" t="n"/>
      <c r="H127" s="19" t="n"/>
      <c r="I127" s="19" t="n"/>
      <c r="J127" s="13" t="n"/>
      <c r="K127" s="9">
        <f>IF(AND(C127&lt;&gt;"",N(D127)&gt;0,I127&lt;&gt;"Cancelado"),D127*IF(N(E127)&gt;0,E127,IFERROR(VLOOKUP(C127,Produtos!$A$4:$O$53,15,0),0))+N(G127),"")</f>
        <v/>
      </c>
      <c r="L127" s="9">
        <f>IF(K127="","",K127*IFERROR(VLOOKUP(H127,Config!$B$15:$C$19,2,0),0))</f>
        <v/>
      </c>
      <c r="M127" s="9">
        <f>IF(K127="","",D127*IFERROR(VLOOKUP(C127,Produtos!$A$4:$I$53,9,0),0))</f>
        <v/>
      </c>
      <c r="N127" s="9">
        <f>IF(K127="","",D127*IFERROR(VLOOKUP(C127,Produtos!$A$4:$J$53,10,0),0))</f>
        <v/>
      </c>
      <c r="O127" s="9">
        <f>IF(OR(K127="",F127=""),IF(K127="","",0),IFERROR(VLOOKUP(F127,Entrega!$A$4:$E$43,5,0),0))</f>
        <v/>
      </c>
      <c r="P127" s="9">
        <f>IF(K127="","",K127-L127-M127-N127-O127)</f>
        <v/>
      </c>
      <c r="Q127" s="9">
        <f>IF(K127="","",IF(I127="Entregue",0,K127-N(J127)))</f>
        <v/>
      </c>
      <c r="R127" s="12">
        <f>IF(ISNUMBER(A127),MONTH(A127),"")</f>
        <v/>
      </c>
      <c r="S127" s="12">
        <f>IF(ISNUMBER(A127),YEAR(A127),"")</f>
        <v/>
      </c>
    </row>
    <row r="128">
      <c r="A128" s="23" t="n"/>
      <c r="B128" s="19" t="n"/>
      <c r="C128" s="19" t="n"/>
      <c r="D128" s="7" t="n"/>
      <c r="E128" s="13" t="n"/>
      <c r="F128" s="19" t="n"/>
      <c r="G128" s="13" t="n"/>
      <c r="H128" s="19" t="n"/>
      <c r="I128" s="19" t="n"/>
      <c r="J128" s="13" t="n"/>
      <c r="K128" s="9">
        <f>IF(AND(C128&lt;&gt;"",N(D128)&gt;0,I128&lt;&gt;"Cancelado"),D128*IF(N(E128)&gt;0,E128,IFERROR(VLOOKUP(C128,Produtos!$A$4:$O$53,15,0),0))+N(G128),"")</f>
        <v/>
      </c>
      <c r="L128" s="9">
        <f>IF(K128="","",K128*IFERROR(VLOOKUP(H128,Config!$B$15:$C$19,2,0),0))</f>
        <v/>
      </c>
      <c r="M128" s="9">
        <f>IF(K128="","",D128*IFERROR(VLOOKUP(C128,Produtos!$A$4:$I$53,9,0),0))</f>
        <v/>
      </c>
      <c r="N128" s="9">
        <f>IF(K128="","",D128*IFERROR(VLOOKUP(C128,Produtos!$A$4:$J$53,10,0),0))</f>
        <v/>
      </c>
      <c r="O128" s="9">
        <f>IF(OR(K128="",F128=""),IF(K128="","",0),IFERROR(VLOOKUP(F128,Entrega!$A$4:$E$43,5,0),0))</f>
        <v/>
      </c>
      <c r="P128" s="9">
        <f>IF(K128="","",K128-L128-M128-N128-O128)</f>
        <v/>
      </c>
      <c r="Q128" s="9">
        <f>IF(K128="","",IF(I128="Entregue",0,K128-N(J128)))</f>
        <v/>
      </c>
      <c r="R128" s="12">
        <f>IF(ISNUMBER(A128),MONTH(A128),"")</f>
        <v/>
      </c>
      <c r="S128" s="12">
        <f>IF(ISNUMBER(A128),YEAR(A128),"")</f>
        <v/>
      </c>
    </row>
    <row r="129">
      <c r="A129" s="23" t="n"/>
      <c r="B129" s="19" t="n"/>
      <c r="C129" s="19" t="n"/>
      <c r="D129" s="7" t="n"/>
      <c r="E129" s="13" t="n"/>
      <c r="F129" s="19" t="n"/>
      <c r="G129" s="13" t="n"/>
      <c r="H129" s="19" t="n"/>
      <c r="I129" s="19" t="n"/>
      <c r="J129" s="13" t="n"/>
      <c r="K129" s="9">
        <f>IF(AND(C129&lt;&gt;"",N(D129)&gt;0,I129&lt;&gt;"Cancelado"),D129*IF(N(E129)&gt;0,E129,IFERROR(VLOOKUP(C129,Produtos!$A$4:$O$53,15,0),0))+N(G129),"")</f>
        <v/>
      </c>
      <c r="L129" s="9">
        <f>IF(K129="","",K129*IFERROR(VLOOKUP(H129,Config!$B$15:$C$19,2,0),0))</f>
        <v/>
      </c>
      <c r="M129" s="9">
        <f>IF(K129="","",D129*IFERROR(VLOOKUP(C129,Produtos!$A$4:$I$53,9,0),0))</f>
        <v/>
      </c>
      <c r="N129" s="9">
        <f>IF(K129="","",D129*IFERROR(VLOOKUP(C129,Produtos!$A$4:$J$53,10,0),0))</f>
        <v/>
      </c>
      <c r="O129" s="9">
        <f>IF(OR(K129="",F129=""),IF(K129="","",0),IFERROR(VLOOKUP(F129,Entrega!$A$4:$E$43,5,0),0))</f>
        <v/>
      </c>
      <c r="P129" s="9">
        <f>IF(K129="","",K129-L129-M129-N129-O129)</f>
        <v/>
      </c>
      <c r="Q129" s="9">
        <f>IF(K129="","",IF(I129="Entregue",0,K129-N(J129)))</f>
        <v/>
      </c>
      <c r="R129" s="12">
        <f>IF(ISNUMBER(A129),MONTH(A129),"")</f>
        <v/>
      </c>
      <c r="S129" s="12">
        <f>IF(ISNUMBER(A129),YEAR(A129),"")</f>
        <v/>
      </c>
    </row>
    <row r="130">
      <c r="A130" s="23" t="n"/>
      <c r="B130" s="19" t="n"/>
      <c r="C130" s="19" t="n"/>
      <c r="D130" s="7" t="n"/>
      <c r="E130" s="13" t="n"/>
      <c r="F130" s="19" t="n"/>
      <c r="G130" s="13" t="n"/>
      <c r="H130" s="19" t="n"/>
      <c r="I130" s="19" t="n"/>
      <c r="J130" s="13" t="n"/>
      <c r="K130" s="9">
        <f>IF(AND(C130&lt;&gt;"",N(D130)&gt;0,I130&lt;&gt;"Cancelado"),D130*IF(N(E130)&gt;0,E130,IFERROR(VLOOKUP(C130,Produtos!$A$4:$O$53,15,0),0))+N(G130),"")</f>
        <v/>
      </c>
      <c r="L130" s="9">
        <f>IF(K130="","",K130*IFERROR(VLOOKUP(H130,Config!$B$15:$C$19,2,0),0))</f>
        <v/>
      </c>
      <c r="M130" s="9">
        <f>IF(K130="","",D130*IFERROR(VLOOKUP(C130,Produtos!$A$4:$I$53,9,0),0))</f>
        <v/>
      </c>
      <c r="N130" s="9">
        <f>IF(K130="","",D130*IFERROR(VLOOKUP(C130,Produtos!$A$4:$J$53,10,0),0))</f>
        <v/>
      </c>
      <c r="O130" s="9">
        <f>IF(OR(K130="",F130=""),IF(K130="","",0),IFERROR(VLOOKUP(F130,Entrega!$A$4:$E$43,5,0),0))</f>
        <v/>
      </c>
      <c r="P130" s="9">
        <f>IF(K130="","",K130-L130-M130-N130-O130)</f>
        <v/>
      </c>
      <c r="Q130" s="9">
        <f>IF(K130="","",IF(I130="Entregue",0,K130-N(J130)))</f>
        <v/>
      </c>
      <c r="R130" s="12">
        <f>IF(ISNUMBER(A130),MONTH(A130),"")</f>
        <v/>
      </c>
      <c r="S130" s="12">
        <f>IF(ISNUMBER(A130),YEAR(A130),"")</f>
        <v/>
      </c>
    </row>
    <row r="131">
      <c r="A131" s="23" t="n"/>
      <c r="B131" s="19" t="n"/>
      <c r="C131" s="19" t="n"/>
      <c r="D131" s="7" t="n"/>
      <c r="E131" s="13" t="n"/>
      <c r="F131" s="19" t="n"/>
      <c r="G131" s="13" t="n"/>
      <c r="H131" s="19" t="n"/>
      <c r="I131" s="19" t="n"/>
      <c r="J131" s="13" t="n"/>
      <c r="K131" s="9">
        <f>IF(AND(C131&lt;&gt;"",N(D131)&gt;0,I131&lt;&gt;"Cancelado"),D131*IF(N(E131)&gt;0,E131,IFERROR(VLOOKUP(C131,Produtos!$A$4:$O$53,15,0),0))+N(G131),"")</f>
        <v/>
      </c>
      <c r="L131" s="9">
        <f>IF(K131="","",K131*IFERROR(VLOOKUP(H131,Config!$B$15:$C$19,2,0),0))</f>
        <v/>
      </c>
      <c r="M131" s="9">
        <f>IF(K131="","",D131*IFERROR(VLOOKUP(C131,Produtos!$A$4:$I$53,9,0),0))</f>
        <v/>
      </c>
      <c r="N131" s="9">
        <f>IF(K131="","",D131*IFERROR(VLOOKUP(C131,Produtos!$A$4:$J$53,10,0),0))</f>
        <v/>
      </c>
      <c r="O131" s="9">
        <f>IF(OR(K131="",F131=""),IF(K131="","",0),IFERROR(VLOOKUP(F131,Entrega!$A$4:$E$43,5,0),0))</f>
        <v/>
      </c>
      <c r="P131" s="9">
        <f>IF(K131="","",K131-L131-M131-N131-O131)</f>
        <v/>
      </c>
      <c r="Q131" s="9">
        <f>IF(K131="","",IF(I131="Entregue",0,K131-N(J131)))</f>
        <v/>
      </c>
      <c r="R131" s="12">
        <f>IF(ISNUMBER(A131),MONTH(A131),"")</f>
        <v/>
      </c>
      <c r="S131" s="12">
        <f>IF(ISNUMBER(A131),YEAR(A131),"")</f>
        <v/>
      </c>
    </row>
    <row r="132">
      <c r="A132" s="23" t="n"/>
      <c r="B132" s="19" t="n"/>
      <c r="C132" s="19" t="n"/>
      <c r="D132" s="7" t="n"/>
      <c r="E132" s="13" t="n"/>
      <c r="F132" s="19" t="n"/>
      <c r="G132" s="13" t="n"/>
      <c r="H132" s="19" t="n"/>
      <c r="I132" s="19" t="n"/>
      <c r="J132" s="13" t="n"/>
      <c r="K132" s="9">
        <f>IF(AND(C132&lt;&gt;"",N(D132)&gt;0,I132&lt;&gt;"Cancelado"),D132*IF(N(E132)&gt;0,E132,IFERROR(VLOOKUP(C132,Produtos!$A$4:$O$53,15,0),0))+N(G132),"")</f>
        <v/>
      </c>
      <c r="L132" s="9">
        <f>IF(K132="","",K132*IFERROR(VLOOKUP(H132,Config!$B$15:$C$19,2,0),0))</f>
        <v/>
      </c>
      <c r="M132" s="9">
        <f>IF(K132="","",D132*IFERROR(VLOOKUP(C132,Produtos!$A$4:$I$53,9,0),0))</f>
        <v/>
      </c>
      <c r="N132" s="9">
        <f>IF(K132="","",D132*IFERROR(VLOOKUP(C132,Produtos!$A$4:$J$53,10,0),0))</f>
        <v/>
      </c>
      <c r="O132" s="9">
        <f>IF(OR(K132="",F132=""),IF(K132="","",0),IFERROR(VLOOKUP(F132,Entrega!$A$4:$E$43,5,0),0))</f>
        <v/>
      </c>
      <c r="P132" s="9">
        <f>IF(K132="","",K132-L132-M132-N132-O132)</f>
        <v/>
      </c>
      <c r="Q132" s="9">
        <f>IF(K132="","",IF(I132="Entregue",0,K132-N(J132)))</f>
        <v/>
      </c>
      <c r="R132" s="12">
        <f>IF(ISNUMBER(A132),MONTH(A132),"")</f>
        <v/>
      </c>
      <c r="S132" s="12">
        <f>IF(ISNUMBER(A132),YEAR(A132),"")</f>
        <v/>
      </c>
    </row>
    <row r="133">
      <c r="A133" s="23" t="n"/>
      <c r="B133" s="19" t="n"/>
      <c r="C133" s="19" t="n"/>
      <c r="D133" s="7" t="n"/>
      <c r="E133" s="13" t="n"/>
      <c r="F133" s="19" t="n"/>
      <c r="G133" s="13" t="n"/>
      <c r="H133" s="19" t="n"/>
      <c r="I133" s="19" t="n"/>
      <c r="J133" s="13" t="n"/>
      <c r="K133" s="9">
        <f>IF(AND(C133&lt;&gt;"",N(D133)&gt;0,I133&lt;&gt;"Cancelado"),D133*IF(N(E133)&gt;0,E133,IFERROR(VLOOKUP(C133,Produtos!$A$4:$O$53,15,0),0))+N(G133),"")</f>
        <v/>
      </c>
      <c r="L133" s="9">
        <f>IF(K133="","",K133*IFERROR(VLOOKUP(H133,Config!$B$15:$C$19,2,0),0))</f>
        <v/>
      </c>
      <c r="M133" s="9">
        <f>IF(K133="","",D133*IFERROR(VLOOKUP(C133,Produtos!$A$4:$I$53,9,0),0))</f>
        <v/>
      </c>
      <c r="N133" s="9">
        <f>IF(K133="","",D133*IFERROR(VLOOKUP(C133,Produtos!$A$4:$J$53,10,0),0))</f>
        <v/>
      </c>
      <c r="O133" s="9">
        <f>IF(OR(K133="",F133=""),IF(K133="","",0),IFERROR(VLOOKUP(F133,Entrega!$A$4:$E$43,5,0),0))</f>
        <v/>
      </c>
      <c r="P133" s="9">
        <f>IF(K133="","",K133-L133-M133-N133-O133)</f>
        <v/>
      </c>
      <c r="Q133" s="9">
        <f>IF(K133="","",IF(I133="Entregue",0,K133-N(J133)))</f>
        <v/>
      </c>
      <c r="R133" s="12">
        <f>IF(ISNUMBER(A133),MONTH(A133),"")</f>
        <v/>
      </c>
      <c r="S133" s="12">
        <f>IF(ISNUMBER(A133),YEAR(A133),"")</f>
        <v/>
      </c>
    </row>
    <row r="134">
      <c r="A134" s="23" t="n"/>
      <c r="B134" s="19" t="n"/>
      <c r="C134" s="19" t="n"/>
      <c r="D134" s="7" t="n"/>
      <c r="E134" s="13" t="n"/>
      <c r="F134" s="19" t="n"/>
      <c r="G134" s="13" t="n"/>
      <c r="H134" s="19" t="n"/>
      <c r="I134" s="19" t="n"/>
      <c r="J134" s="13" t="n"/>
      <c r="K134" s="9">
        <f>IF(AND(C134&lt;&gt;"",N(D134)&gt;0,I134&lt;&gt;"Cancelado"),D134*IF(N(E134)&gt;0,E134,IFERROR(VLOOKUP(C134,Produtos!$A$4:$O$53,15,0),0))+N(G134),"")</f>
        <v/>
      </c>
      <c r="L134" s="9">
        <f>IF(K134="","",K134*IFERROR(VLOOKUP(H134,Config!$B$15:$C$19,2,0),0))</f>
        <v/>
      </c>
      <c r="M134" s="9">
        <f>IF(K134="","",D134*IFERROR(VLOOKUP(C134,Produtos!$A$4:$I$53,9,0),0))</f>
        <v/>
      </c>
      <c r="N134" s="9">
        <f>IF(K134="","",D134*IFERROR(VLOOKUP(C134,Produtos!$A$4:$J$53,10,0),0))</f>
        <v/>
      </c>
      <c r="O134" s="9">
        <f>IF(OR(K134="",F134=""),IF(K134="","",0),IFERROR(VLOOKUP(F134,Entrega!$A$4:$E$43,5,0),0))</f>
        <v/>
      </c>
      <c r="P134" s="9">
        <f>IF(K134="","",K134-L134-M134-N134-O134)</f>
        <v/>
      </c>
      <c r="Q134" s="9">
        <f>IF(K134="","",IF(I134="Entregue",0,K134-N(J134)))</f>
        <v/>
      </c>
      <c r="R134" s="12">
        <f>IF(ISNUMBER(A134),MONTH(A134),"")</f>
        <v/>
      </c>
      <c r="S134" s="12">
        <f>IF(ISNUMBER(A134),YEAR(A134),"")</f>
        <v/>
      </c>
    </row>
    <row r="135">
      <c r="A135" s="23" t="n"/>
      <c r="B135" s="19" t="n"/>
      <c r="C135" s="19" t="n"/>
      <c r="D135" s="7" t="n"/>
      <c r="E135" s="13" t="n"/>
      <c r="F135" s="19" t="n"/>
      <c r="G135" s="13" t="n"/>
      <c r="H135" s="19" t="n"/>
      <c r="I135" s="19" t="n"/>
      <c r="J135" s="13" t="n"/>
      <c r="K135" s="9">
        <f>IF(AND(C135&lt;&gt;"",N(D135)&gt;0,I135&lt;&gt;"Cancelado"),D135*IF(N(E135)&gt;0,E135,IFERROR(VLOOKUP(C135,Produtos!$A$4:$O$53,15,0),0))+N(G135),"")</f>
        <v/>
      </c>
      <c r="L135" s="9">
        <f>IF(K135="","",K135*IFERROR(VLOOKUP(H135,Config!$B$15:$C$19,2,0),0))</f>
        <v/>
      </c>
      <c r="M135" s="9">
        <f>IF(K135="","",D135*IFERROR(VLOOKUP(C135,Produtos!$A$4:$I$53,9,0),0))</f>
        <v/>
      </c>
      <c r="N135" s="9">
        <f>IF(K135="","",D135*IFERROR(VLOOKUP(C135,Produtos!$A$4:$J$53,10,0),0))</f>
        <v/>
      </c>
      <c r="O135" s="9">
        <f>IF(OR(K135="",F135=""),IF(K135="","",0),IFERROR(VLOOKUP(F135,Entrega!$A$4:$E$43,5,0),0))</f>
        <v/>
      </c>
      <c r="P135" s="9">
        <f>IF(K135="","",K135-L135-M135-N135-O135)</f>
        <v/>
      </c>
      <c r="Q135" s="9">
        <f>IF(K135="","",IF(I135="Entregue",0,K135-N(J135)))</f>
        <v/>
      </c>
      <c r="R135" s="12">
        <f>IF(ISNUMBER(A135),MONTH(A135),"")</f>
        <v/>
      </c>
      <c r="S135" s="12">
        <f>IF(ISNUMBER(A135),YEAR(A135),"")</f>
        <v/>
      </c>
    </row>
    <row r="136">
      <c r="A136" s="23" t="n"/>
      <c r="B136" s="19" t="n"/>
      <c r="C136" s="19" t="n"/>
      <c r="D136" s="7" t="n"/>
      <c r="E136" s="13" t="n"/>
      <c r="F136" s="19" t="n"/>
      <c r="G136" s="13" t="n"/>
      <c r="H136" s="19" t="n"/>
      <c r="I136" s="19" t="n"/>
      <c r="J136" s="13" t="n"/>
      <c r="K136" s="9">
        <f>IF(AND(C136&lt;&gt;"",N(D136)&gt;0,I136&lt;&gt;"Cancelado"),D136*IF(N(E136)&gt;0,E136,IFERROR(VLOOKUP(C136,Produtos!$A$4:$O$53,15,0),0))+N(G136),"")</f>
        <v/>
      </c>
      <c r="L136" s="9">
        <f>IF(K136="","",K136*IFERROR(VLOOKUP(H136,Config!$B$15:$C$19,2,0),0))</f>
        <v/>
      </c>
      <c r="M136" s="9">
        <f>IF(K136="","",D136*IFERROR(VLOOKUP(C136,Produtos!$A$4:$I$53,9,0),0))</f>
        <v/>
      </c>
      <c r="N136" s="9">
        <f>IF(K136="","",D136*IFERROR(VLOOKUP(C136,Produtos!$A$4:$J$53,10,0),0))</f>
        <v/>
      </c>
      <c r="O136" s="9">
        <f>IF(OR(K136="",F136=""),IF(K136="","",0),IFERROR(VLOOKUP(F136,Entrega!$A$4:$E$43,5,0),0))</f>
        <v/>
      </c>
      <c r="P136" s="9">
        <f>IF(K136="","",K136-L136-M136-N136-O136)</f>
        <v/>
      </c>
      <c r="Q136" s="9">
        <f>IF(K136="","",IF(I136="Entregue",0,K136-N(J136)))</f>
        <v/>
      </c>
      <c r="R136" s="12">
        <f>IF(ISNUMBER(A136),MONTH(A136),"")</f>
        <v/>
      </c>
      <c r="S136" s="12">
        <f>IF(ISNUMBER(A136),YEAR(A136),"")</f>
        <v/>
      </c>
    </row>
    <row r="137">
      <c r="A137" s="23" t="n"/>
      <c r="B137" s="19" t="n"/>
      <c r="C137" s="19" t="n"/>
      <c r="D137" s="7" t="n"/>
      <c r="E137" s="13" t="n"/>
      <c r="F137" s="19" t="n"/>
      <c r="G137" s="13" t="n"/>
      <c r="H137" s="19" t="n"/>
      <c r="I137" s="19" t="n"/>
      <c r="J137" s="13" t="n"/>
      <c r="K137" s="9">
        <f>IF(AND(C137&lt;&gt;"",N(D137)&gt;0,I137&lt;&gt;"Cancelado"),D137*IF(N(E137)&gt;0,E137,IFERROR(VLOOKUP(C137,Produtos!$A$4:$O$53,15,0),0))+N(G137),"")</f>
        <v/>
      </c>
      <c r="L137" s="9">
        <f>IF(K137="","",K137*IFERROR(VLOOKUP(H137,Config!$B$15:$C$19,2,0),0))</f>
        <v/>
      </c>
      <c r="M137" s="9">
        <f>IF(K137="","",D137*IFERROR(VLOOKUP(C137,Produtos!$A$4:$I$53,9,0),0))</f>
        <v/>
      </c>
      <c r="N137" s="9">
        <f>IF(K137="","",D137*IFERROR(VLOOKUP(C137,Produtos!$A$4:$J$53,10,0),0))</f>
        <v/>
      </c>
      <c r="O137" s="9">
        <f>IF(OR(K137="",F137=""),IF(K137="","",0),IFERROR(VLOOKUP(F137,Entrega!$A$4:$E$43,5,0),0))</f>
        <v/>
      </c>
      <c r="P137" s="9">
        <f>IF(K137="","",K137-L137-M137-N137-O137)</f>
        <v/>
      </c>
      <c r="Q137" s="9">
        <f>IF(K137="","",IF(I137="Entregue",0,K137-N(J137)))</f>
        <v/>
      </c>
      <c r="R137" s="12">
        <f>IF(ISNUMBER(A137),MONTH(A137),"")</f>
        <v/>
      </c>
      <c r="S137" s="12">
        <f>IF(ISNUMBER(A137),YEAR(A137),"")</f>
        <v/>
      </c>
    </row>
    <row r="138">
      <c r="A138" s="23" t="n"/>
      <c r="B138" s="19" t="n"/>
      <c r="C138" s="19" t="n"/>
      <c r="D138" s="7" t="n"/>
      <c r="E138" s="13" t="n"/>
      <c r="F138" s="19" t="n"/>
      <c r="G138" s="13" t="n"/>
      <c r="H138" s="19" t="n"/>
      <c r="I138" s="19" t="n"/>
      <c r="J138" s="13" t="n"/>
      <c r="K138" s="9">
        <f>IF(AND(C138&lt;&gt;"",N(D138)&gt;0,I138&lt;&gt;"Cancelado"),D138*IF(N(E138)&gt;0,E138,IFERROR(VLOOKUP(C138,Produtos!$A$4:$O$53,15,0),0))+N(G138),"")</f>
        <v/>
      </c>
      <c r="L138" s="9">
        <f>IF(K138="","",K138*IFERROR(VLOOKUP(H138,Config!$B$15:$C$19,2,0),0))</f>
        <v/>
      </c>
      <c r="M138" s="9">
        <f>IF(K138="","",D138*IFERROR(VLOOKUP(C138,Produtos!$A$4:$I$53,9,0),0))</f>
        <v/>
      </c>
      <c r="N138" s="9">
        <f>IF(K138="","",D138*IFERROR(VLOOKUP(C138,Produtos!$A$4:$J$53,10,0),0))</f>
        <v/>
      </c>
      <c r="O138" s="9">
        <f>IF(OR(K138="",F138=""),IF(K138="","",0),IFERROR(VLOOKUP(F138,Entrega!$A$4:$E$43,5,0),0))</f>
        <v/>
      </c>
      <c r="P138" s="9">
        <f>IF(K138="","",K138-L138-M138-N138-O138)</f>
        <v/>
      </c>
      <c r="Q138" s="9">
        <f>IF(K138="","",IF(I138="Entregue",0,K138-N(J138)))</f>
        <v/>
      </c>
      <c r="R138" s="12">
        <f>IF(ISNUMBER(A138),MONTH(A138),"")</f>
        <v/>
      </c>
      <c r="S138" s="12">
        <f>IF(ISNUMBER(A138),YEAR(A138),"")</f>
        <v/>
      </c>
    </row>
    <row r="139">
      <c r="A139" s="23" t="n"/>
      <c r="B139" s="19" t="n"/>
      <c r="C139" s="19" t="n"/>
      <c r="D139" s="7" t="n"/>
      <c r="E139" s="13" t="n"/>
      <c r="F139" s="19" t="n"/>
      <c r="G139" s="13" t="n"/>
      <c r="H139" s="19" t="n"/>
      <c r="I139" s="19" t="n"/>
      <c r="J139" s="13" t="n"/>
      <c r="K139" s="9">
        <f>IF(AND(C139&lt;&gt;"",N(D139)&gt;0,I139&lt;&gt;"Cancelado"),D139*IF(N(E139)&gt;0,E139,IFERROR(VLOOKUP(C139,Produtos!$A$4:$O$53,15,0),0))+N(G139),"")</f>
        <v/>
      </c>
      <c r="L139" s="9">
        <f>IF(K139="","",K139*IFERROR(VLOOKUP(H139,Config!$B$15:$C$19,2,0),0))</f>
        <v/>
      </c>
      <c r="M139" s="9">
        <f>IF(K139="","",D139*IFERROR(VLOOKUP(C139,Produtos!$A$4:$I$53,9,0),0))</f>
        <v/>
      </c>
      <c r="N139" s="9">
        <f>IF(K139="","",D139*IFERROR(VLOOKUP(C139,Produtos!$A$4:$J$53,10,0),0))</f>
        <v/>
      </c>
      <c r="O139" s="9">
        <f>IF(OR(K139="",F139=""),IF(K139="","",0),IFERROR(VLOOKUP(F139,Entrega!$A$4:$E$43,5,0),0))</f>
        <v/>
      </c>
      <c r="P139" s="9">
        <f>IF(K139="","",K139-L139-M139-N139-O139)</f>
        <v/>
      </c>
      <c r="Q139" s="9">
        <f>IF(K139="","",IF(I139="Entregue",0,K139-N(J139)))</f>
        <v/>
      </c>
      <c r="R139" s="12">
        <f>IF(ISNUMBER(A139),MONTH(A139),"")</f>
        <v/>
      </c>
      <c r="S139" s="12">
        <f>IF(ISNUMBER(A139),YEAR(A139),"")</f>
        <v/>
      </c>
    </row>
    <row r="140">
      <c r="A140" s="23" t="n"/>
      <c r="B140" s="19" t="n"/>
      <c r="C140" s="19" t="n"/>
      <c r="D140" s="7" t="n"/>
      <c r="E140" s="13" t="n"/>
      <c r="F140" s="19" t="n"/>
      <c r="G140" s="13" t="n"/>
      <c r="H140" s="19" t="n"/>
      <c r="I140" s="19" t="n"/>
      <c r="J140" s="13" t="n"/>
      <c r="K140" s="9">
        <f>IF(AND(C140&lt;&gt;"",N(D140)&gt;0,I140&lt;&gt;"Cancelado"),D140*IF(N(E140)&gt;0,E140,IFERROR(VLOOKUP(C140,Produtos!$A$4:$O$53,15,0),0))+N(G140),"")</f>
        <v/>
      </c>
      <c r="L140" s="9">
        <f>IF(K140="","",K140*IFERROR(VLOOKUP(H140,Config!$B$15:$C$19,2,0),0))</f>
        <v/>
      </c>
      <c r="M140" s="9">
        <f>IF(K140="","",D140*IFERROR(VLOOKUP(C140,Produtos!$A$4:$I$53,9,0),0))</f>
        <v/>
      </c>
      <c r="N140" s="9">
        <f>IF(K140="","",D140*IFERROR(VLOOKUP(C140,Produtos!$A$4:$J$53,10,0),0))</f>
        <v/>
      </c>
      <c r="O140" s="9">
        <f>IF(OR(K140="",F140=""),IF(K140="","",0),IFERROR(VLOOKUP(F140,Entrega!$A$4:$E$43,5,0),0))</f>
        <v/>
      </c>
      <c r="P140" s="9">
        <f>IF(K140="","",K140-L140-M140-N140-O140)</f>
        <v/>
      </c>
      <c r="Q140" s="9">
        <f>IF(K140="","",IF(I140="Entregue",0,K140-N(J140)))</f>
        <v/>
      </c>
      <c r="R140" s="12">
        <f>IF(ISNUMBER(A140),MONTH(A140),"")</f>
        <v/>
      </c>
      <c r="S140" s="12">
        <f>IF(ISNUMBER(A140),YEAR(A140),"")</f>
        <v/>
      </c>
    </row>
    <row r="141">
      <c r="A141" s="23" t="n"/>
      <c r="B141" s="19" t="n"/>
      <c r="C141" s="19" t="n"/>
      <c r="D141" s="7" t="n"/>
      <c r="E141" s="13" t="n"/>
      <c r="F141" s="19" t="n"/>
      <c r="G141" s="13" t="n"/>
      <c r="H141" s="19" t="n"/>
      <c r="I141" s="19" t="n"/>
      <c r="J141" s="13" t="n"/>
      <c r="K141" s="9">
        <f>IF(AND(C141&lt;&gt;"",N(D141)&gt;0,I141&lt;&gt;"Cancelado"),D141*IF(N(E141)&gt;0,E141,IFERROR(VLOOKUP(C141,Produtos!$A$4:$O$53,15,0),0))+N(G141),"")</f>
        <v/>
      </c>
      <c r="L141" s="9">
        <f>IF(K141="","",K141*IFERROR(VLOOKUP(H141,Config!$B$15:$C$19,2,0),0))</f>
        <v/>
      </c>
      <c r="M141" s="9">
        <f>IF(K141="","",D141*IFERROR(VLOOKUP(C141,Produtos!$A$4:$I$53,9,0),0))</f>
        <v/>
      </c>
      <c r="N141" s="9">
        <f>IF(K141="","",D141*IFERROR(VLOOKUP(C141,Produtos!$A$4:$J$53,10,0),0))</f>
        <v/>
      </c>
      <c r="O141" s="9">
        <f>IF(OR(K141="",F141=""),IF(K141="","",0),IFERROR(VLOOKUP(F141,Entrega!$A$4:$E$43,5,0),0))</f>
        <v/>
      </c>
      <c r="P141" s="9">
        <f>IF(K141="","",K141-L141-M141-N141-O141)</f>
        <v/>
      </c>
      <c r="Q141" s="9">
        <f>IF(K141="","",IF(I141="Entregue",0,K141-N(J141)))</f>
        <v/>
      </c>
      <c r="R141" s="12">
        <f>IF(ISNUMBER(A141),MONTH(A141),"")</f>
        <v/>
      </c>
      <c r="S141" s="12">
        <f>IF(ISNUMBER(A141),YEAR(A141),"")</f>
        <v/>
      </c>
    </row>
    <row r="142">
      <c r="A142" s="23" t="n"/>
      <c r="B142" s="19" t="n"/>
      <c r="C142" s="19" t="n"/>
      <c r="D142" s="7" t="n"/>
      <c r="E142" s="13" t="n"/>
      <c r="F142" s="19" t="n"/>
      <c r="G142" s="13" t="n"/>
      <c r="H142" s="19" t="n"/>
      <c r="I142" s="19" t="n"/>
      <c r="J142" s="13" t="n"/>
      <c r="K142" s="9">
        <f>IF(AND(C142&lt;&gt;"",N(D142)&gt;0,I142&lt;&gt;"Cancelado"),D142*IF(N(E142)&gt;0,E142,IFERROR(VLOOKUP(C142,Produtos!$A$4:$O$53,15,0),0))+N(G142),"")</f>
        <v/>
      </c>
      <c r="L142" s="9">
        <f>IF(K142="","",K142*IFERROR(VLOOKUP(H142,Config!$B$15:$C$19,2,0),0))</f>
        <v/>
      </c>
      <c r="M142" s="9">
        <f>IF(K142="","",D142*IFERROR(VLOOKUP(C142,Produtos!$A$4:$I$53,9,0),0))</f>
        <v/>
      </c>
      <c r="N142" s="9">
        <f>IF(K142="","",D142*IFERROR(VLOOKUP(C142,Produtos!$A$4:$J$53,10,0),0))</f>
        <v/>
      </c>
      <c r="O142" s="9">
        <f>IF(OR(K142="",F142=""),IF(K142="","",0),IFERROR(VLOOKUP(F142,Entrega!$A$4:$E$43,5,0),0))</f>
        <v/>
      </c>
      <c r="P142" s="9">
        <f>IF(K142="","",K142-L142-M142-N142-O142)</f>
        <v/>
      </c>
      <c r="Q142" s="9">
        <f>IF(K142="","",IF(I142="Entregue",0,K142-N(J142)))</f>
        <v/>
      </c>
      <c r="R142" s="12">
        <f>IF(ISNUMBER(A142),MONTH(A142),"")</f>
        <v/>
      </c>
      <c r="S142" s="12">
        <f>IF(ISNUMBER(A142),YEAR(A142),"")</f>
        <v/>
      </c>
    </row>
    <row r="143">
      <c r="A143" s="23" t="n"/>
      <c r="B143" s="19" t="n"/>
      <c r="C143" s="19" t="n"/>
      <c r="D143" s="7" t="n"/>
      <c r="E143" s="13" t="n"/>
      <c r="F143" s="19" t="n"/>
      <c r="G143" s="13" t="n"/>
      <c r="H143" s="19" t="n"/>
      <c r="I143" s="19" t="n"/>
      <c r="J143" s="13" t="n"/>
      <c r="K143" s="9">
        <f>IF(AND(C143&lt;&gt;"",N(D143)&gt;0,I143&lt;&gt;"Cancelado"),D143*IF(N(E143)&gt;0,E143,IFERROR(VLOOKUP(C143,Produtos!$A$4:$O$53,15,0),0))+N(G143),"")</f>
        <v/>
      </c>
      <c r="L143" s="9">
        <f>IF(K143="","",K143*IFERROR(VLOOKUP(H143,Config!$B$15:$C$19,2,0),0))</f>
        <v/>
      </c>
      <c r="M143" s="9">
        <f>IF(K143="","",D143*IFERROR(VLOOKUP(C143,Produtos!$A$4:$I$53,9,0),0))</f>
        <v/>
      </c>
      <c r="N143" s="9">
        <f>IF(K143="","",D143*IFERROR(VLOOKUP(C143,Produtos!$A$4:$J$53,10,0),0))</f>
        <v/>
      </c>
      <c r="O143" s="9">
        <f>IF(OR(K143="",F143=""),IF(K143="","",0),IFERROR(VLOOKUP(F143,Entrega!$A$4:$E$43,5,0),0))</f>
        <v/>
      </c>
      <c r="P143" s="9">
        <f>IF(K143="","",K143-L143-M143-N143-O143)</f>
        <v/>
      </c>
      <c r="Q143" s="9">
        <f>IF(K143="","",IF(I143="Entregue",0,K143-N(J143)))</f>
        <v/>
      </c>
      <c r="R143" s="12">
        <f>IF(ISNUMBER(A143),MONTH(A143),"")</f>
        <v/>
      </c>
      <c r="S143" s="12">
        <f>IF(ISNUMBER(A143),YEAR(A143),"")</f>
        <v/>
      </c>
    </row>
    <row r="144">
      <c r="A144" s="23" t="n"/>
      <c r="B144" s="19" t="n"/>
      <c r="C144" s="19" t="n"/>
      <c r="D144" s="7" t="n"/>
      <c r="E144" s="13" t="n"/>
      <c r="F144" s="19" t="n"/>
      <c r="G144" s="13" t="n"/>
      <c r="H144" s="19" t="n"/>
      <c r="I144" s="19" t="n"/>
      <c r="J144" s="13" t="n"/>
      <c r="K144" s="9">
        <f>IF(AND(C144&lt;&gt;"",N(D144)&gt;0,I144&lt;&gt;"Cancelado"),D144*IF(N(E144)&gt;0,E144,IFERROR(VLOOKUP(C144,Produtos!$A$4:$O$53,15,0),0))+N(G144),"")</f>
        <v/>
      </c>
      <c r="L144" s="9">
        <f>IF(K144="","",K144*IFERROR(VLOOKUP(H144,Config!$B$15:$C$19,2,0),0))</f>
        <v/>
      </c>
      <c r="M144" s="9">
        <f>IF(K144="","",D144*IFERROR(VLOOKUP(C144,Produtos!$A$4:$I$53,9,0),0))</f>
        <v/>
      </c>
      <c r="N144" s="9">
        <f>IF(K144="","",D144*IFERROR(VLOOKUP(C144,Produtos!$A$4:$J$53,10,0),0))</f>
        <v/>
      </c>
      <c r="O144" s="9">
        <f>IF(OR(K144="",F144=""),IF(K144="","",0),IFERROR(VLOOKUP(F144,Entrega!$A$4:$E$43,5,0),0))</f>
        <v/>
      </c>
      <c r="P144" s="9">
        <f>IF(K144="","",K144-L144-M144-N144-O144)</f>
        <v/>
      </c>
      <c r="Q144" s="9">
        <f>IF(K144="","",IF(I144="Entregue",0,K144-N(J144)))</f>
        <v/>
      </c>
      <c r="R144" s="12">
        <f>IF(ISNUMBER(A144),MONTH(A144),"")</f>
        <v/>
      </c>
      <c r="S144" s="12">
        <f>IF(ISNUMBER(A144),YEAR(A144),"")</f>
        <v/>
      </c>
    </row>
    <row r="145">
      <c r="A145" s="23" t="n"/>
      <c r="B145" s="19" t="n"/>
      <c r="C145" s="19" t="n"/>
      <c r="D145" s="7" t="n"/>
      <c r="E145" s="13" t="n"/>
      <c r="F145" s="19" t="n"/>
      <c r="G145" s="13" t="n"/>
      <c r="H145" s="19" t="n"/>
      <c r="I145" s="19" t="n"/>
      <c r="J145" s="13" t="n"/>
      <c r="K145" s="9">
        <f>IF(AND(C145&lt;&gt;"",N(D145)&gt;0,I145&lt;&gt;"Cancelado"),D145*IF(N(E145)&gt;0,E145,IFERROR(VLOOKUP(C145,Produtos!$A$4:$O$53,15,0),0))+N(G145),"")</f>
        <v/>
      </c>
      <c r="L145" s="9">
        <f>IF(K145="","",K145*IFERROR(VLOOKUP(H145,Config!$B$15:$C$19,2,0),0))</f>
        <v/>
      </c>
      <c r="M145" s="9">
        <f>IF(K145="","",D145*IFERROR(VLOOKUP(C145,Produtos!$A$4:$I$53,9,0),0))</f>
        <v/>
      </c>
      <c r="N145" s="9">
        <f>IF(K145="","",D145*IFERROR(VLOOKUP(C145,Produtos!$A$4:$J$53,10,0),0))</f>
        <v/>
      </c>
      <c r="O145" s="9">
        <f>IF(OR(K145="",F145=""),IF(K145="","",0),IFERROR(VLOOKUP(F145,Entrega!$A$4:$E$43,5,0),0))</f>
        <v/>
      </c>
      <c r="P145" s="9">
        <f>IF(K145="","",K145-L145-M145-N145-O145)</f>
        <v/>
      </c>
      <c r="Q145" s="9">
        <f>IF(K145="","",IF(I145="Entregue",0,K145-N(J145)))</f>
        <v/>
      </c>
      <c r="R145" s="12">
        <f>IF(ISNUMBER(A145),MONTH(A145),"")</f>
        <v/>
      </c>
      <c r="S145" s="12">
        <f>IF(ISNUMBER(A145),YEAR(A145),"")</f>
        <v/>
      </c>
    </row>
    <row r="146">
      <c r="A146" s="23" t="n"/>
      <c r="B146" s="19" t="n"/>
      <c r="C146" s="19" t="n"/>
      <c r="D146" s="7" t="n"/>
      <c r="E146" s="13" t="n"/>
      <c r="F146" s="19" t="n"/>
      <c r="G146" s="13" t="n"/>
      <c r="H146" s="19" t="n"/>
      <c r="I146" s="19" t="n"/>
      <c r="J146" s="13" t="n"/>
      <c r="K146" s="9">
        <f>IF(AND(C146&lt;&gt;"",N(D146)&gt;0,I146&lt;&gt;"Cancelado"),D146*IF(N(E146)&gt;0,E146,IFERROR(VLOOKUP(C146,Produtos!$A$4:$O$53,15,0),0))+N(G146),"")</f>
        <v/>
      </c>
      <c r="L146" s="9">
        <f>IF(K146="","",K146*IFERROR(VLOOKUP(H146,Config!$B$15:$C$19,2,0),0))</f>
        <v/>
      </c>
      <c r="M146" s="9">
        <f>IF(K146="","",D146*IFERROR(VLOOKUP(C146,Produtos!$A$4:$I$53,9,0),0))</f>
        <v/>
      </c>
      <c r="N146" s="9">
        <f>IF(K146="","",D146*IFERROR(VLOOKUP(C146,Produtos!$A$4:$J$53,10,0),0))</f>
        <v/>
      </c>
      <c r="O146" s="9">
        <f>IF(OR(K146="",F146=""),IF(K146="","",0),IFERROR(VLOOKUP(F146,Entrega!$A$4:$E$43,5,0),0))</f>
        <v/>
      </c>
      <c r="P146" s="9">
        <f>IF(K146="","",K146-L146-M146-N146-O146)</f>
        <v/>
      </c>
      <c r="Q146" s="9">
        <f>IF(K146="","",IF(I146="Entregue",0,K146-N(J146)))</f>
        <v/>
      </c>
      <c r="R146" s="12">
        <f>IF(ISNUMBER(A146),MONTH(A146),"")</f>
        <v/>
      </c>
      <c r="S146" s="12">
        <f>IF(ISNUMBER(A146),YEAR(A146),"")</f>
        <v/>
      </c>
    </row>
    <row r="147">
      <c r="A147" s="23" t="n"/>
      <c r="B147" s="19" t="n"/>
      <c r="C147" s="19" t="n"/>
      <c r="D147" s="7" t="n"/>
      <c r="E147" s="13" t="n"/>
      <c r="F147" s="19" t="n"/>
      <c r="G147" s="13" t="n"/>
      <c r="H147" s="19" t="n"/>
      <c r="I147" s="19" t="n"/>
      <c r="J147" s="13" t="n"/>
      <c r="K147" s="9">
        <f>IF(AND(C147&lt;&gt;"",N(D147)&gt;0,I147&lt;&gt;"Cancelado"),D147*IF(N(E147)&gt;0,E147,IFERROR(VLOOKUP(C147,Produtos!$A$4:$O$53,15,0),0))+N(G147),"")</f>
        <v/>
      </c>
      <c r="L147" s="9">
        <f>IF(K147="","",K147*IFERROR(VLOOKUP(H147,Config!$B$15:$C$19,2,0),0))</f>
        <v/>
      </c>
      <c r="M147" s="9">
        <f>IF(K147="","",D147*IFERROR(VLOOKUP(C147,Produtos!$A$4:$I$53,9,0),0))</f>
        <v/>
      </c>
      <c r="N147" s="9">
        <f>IF(K147="","",D147*IFERROR(VLOOKUP(C147,Produtos!$A$4:$J$53,10,0),0))</f>
        <v/>
      </c>
      <c r="O147" s="9">
        <f>IF(OR(K147="",F147=""),IF(K147="","",0),IFERROR(VLOOKUP(F147,Entrega!$A$4:$E$43,5,0),0))</f>
        <v/>
      </c>
      <c r="P147" s="9">
        <f>IF(K147="","",K147-L147-M147-N147-O147)</f>
        <v/>
      </c>
      <c r="Q147" s="9">
        <f>IF(K147="","",IF(I147="Entregue",0,K147-N(J147)))</f>
        <v/>
      </c>
      <c r="R147" s="12">
        <f>IF(ISNUMBER(A147),MONTH(A147),"")</f>
        <v/>
      </c>
      <c r="S147" s="12">
        <f>IF(ISNUMBER(A147),YEAR(A147),"")</f>
        <v/>
      </c>
    </row>
    <row r="148">
      <c r="A148" s="23" t="n"/>
      <c r="B148" s="19" t="n"/>
      <c r="C148" s="19" t="n"/>
      <c r="D148" s="7" t="n"/>
      <c r="E148" s="13" t="n"/>
      <c r="F148" s="19" t="n"/>
      <c r="G148" s="13" t="n"/>
      <c r="H148" s="19" t="n"/>
      <c r="I148" s="19" t="n"/>
      <c r="J148" s="13" t="n"/>
      <c r="K148" s="9">
        <f>IF(AND(C148&lt;&gt;"",N(D148)&gt;0,I148&lt;&gt;"Cancelado"),D148*IF(N(E148)&gt;0,E148,IFERROR(VLOOKUP(C148,Produtos!$A$4:$O$53,15,0),0))+N(G148),"")</f>
        <v/>
      </c>
      <c r="L148" s="9">
        <f>IF(K148="","",K148*IFERROR(VLOOKUP(H148,Config!$B$15:$C$19,2,0),0))</f>
        <v/>
      </c>
      <c r="M148" s="9">
        <f>IF(K148="","",D148*IFERROR(VLOOKUP(C148,Produtos!$A$4:$I$53,9,0),0))</f>
        <v/>
      </c>
      <c r="N148" s="9">
        <f>IF(K148="","",D148*IFERROR(VLOOKUP(C148,Produtos!$A$4:$J$53,10,0),0))</f>
        <v/>
      </c>
      <c r="O148" s="9">
        <f>IF(OR(K148="",F148=""),IF(K148="","",0),IFERROR(VLOOKUP(F148,Entrega!$A$4:$E$43,5,0),0))</f>
        <v/>
      </c>
      <c r="P148" s="9">
        <f>IF(K148="","",K148-L148-M148-N148-O148)</f>
        <v/>
      </c>
      <c r="Q148" s="9">
        <f>IF(K148="","",IF(I148="Entregue",0,K148-N(J148)))</f>
        <v/>
      </c>
      <c r="R148" s="12">
        <f>IF(ISNUMBER(A148),MONTH(A148),"")</f>
        <v/>
      </c>
      <c r="S148" s="12">
        <f>IF(ISNUMBER(A148),YEAR(A148),"")</f>
        <v/>
      </c>
    </row>
    <row r="149">
      <c r="A149" s="23" t="n"/>
      <c r="B149" s="19" t="n"/>
      <c r="C149" s="19" t="n"/>
      <c r="D149" s="7" t="n"/>
      <c r="E149" s="13" t="n"/>
      <c r="F149" s="19" t="n"/>
      <c r="G149" s="13" t="n"/>
      <c r="H149" s="19" t="n"/>
      <c r="I149" s="19" t="n"/>
      <c r="J149" s="13" t="n"/>
      <c r="K149" s="9">
        <f>IF(AND(C149&lt;&gt;"",N(D149)&gt;0,I149&lt;&gt;"Cancelado"),D149*IF(N(E149)&gt;0,E149,IFERROR(VLOOKUP(C149,Produtos!$A$4:$O$53,15,0),0))+N(G149),"")</f>
        <v/>
      </c>
      <c r="L149" s="9">
        <f>IF(K149="","",K149*IFERROR(VLOOKUP(H149,Config!$B$15:$C$19,2,0),0))</f>
        <v/>
      </c>
      <c r="M149" s="9">
        <f>IF(K149="","",D149*IFERROR(VLOOKUP(C149,Produtos!$A$4:$I$53,9,0),0))</f>
        <v/>
      </c>
      <c r="N149" s="9">
        <f>IF(K149="","",D149*IFERROR(VLOOKUP(C149,Produtos!$A$4:$J$53,10,0),0))</f>
        <v/>
      </c>
      <c r="O149" s="9">
        <f>IF(OR(K149="",F149=""),IF(K149="","",0),IFERROR(VLOOKUP(F149,Entrega!$A$4:$E$43,5,0),0))</f>
        <v/>
      </c>
      <c r="P149" s="9">
        <f>IF(K149="","",K149-L149-M149-N149-O149)</f>
        <v/>
      </c>
      <c r="Q149" s="9">
        <f>IF(K149="","",IF(I149="Entregue",0,K149-N(J149)))</f>
        <v/>
      </c>
      <c r="R149" s="12">
        <f>IF(ISNUMBER(A149),MONTH(A149),"")</f>
        <v/>
      </c>
      <c r="S149" s="12">
        <f>IF(ISNUMBER(A149),YEAR(A149),"")</f>
        <v/>
      </c>
    </row>
    <row r="150">
      <c r="A150" s="23" t="n"/>
      <c r="B150" s="19" t="n"/>
      <c r="C150" s="19" t="n"/>
      <c r="D150" s="7" t="n"/>
      <c r="E150" s="13" t="n"/>
      <c r="F150" s="19" t="n"/>
      <c r="G150" s="13" t="n"/>
      <c r="H150" s="19" t="n"/>
      <c r="I150" s="19" t="n"/>
      <c r="J150" s="13" t="n"/>
      <c r="K150" s="9">
        <f>IF(AND(C150&lt;&gt;"",N(D150)&gt;0,I150&lt;&gt;"Cancelado"),D150*IF(N(E150)&gt;0,E150,IFERROR(VLOOKUP(C150,Produtos!$A$4:$O$53,15,0),0))+N(G150),"")</f>
        <v/>
      </c>
      <c r="L150" s="9">
        <f>IF(K150="","",K150*IFERROR(VLOOKUP(H150,Config!$B$15:$C$19,2,0),0))</f>
        <v/>
      </c>
      <c r="M150" s="9">
        <f>IF(K150="","",D150*IFERROR(VLOOKUP(C150,Produtos!$A$4:$I$53,9,0),0))</f>
        <v/>
      </c>
      <c r="N150" s="9">
        <f>IF(K150="","",D150*IFERROR(VLOOKUP(C150,Produtos!$A$4:$J$53,10,0),0))</f>
        <v/>
      </c>
      <c r="O150" s="9">
        <f>IF(OR(K150="",F150=""),IF(K150="","",0),IFERROR(VLOOKUP(F150,Entrega!$A$4:$E$43,5,0),0))</f>
        <v/>
      </c>
      <c r="P150" s="9">
        <f>IF(K150="","",K150-L150-M150-N150-O150)</f>
        <v/>
      </c>
      <c r="Q150" s="9">
        <f>IF(K150="","",IF(I150="Entregue",0,K150-N(J150)))</f>
        <v/>
      </c>
      <c r="R150" s="12">
        <f>IF(ISNUMBER(A150),MONTH(A150),"")</f>
        <v/>
      </c>
      <c r="S150" s="12">
        <f>IF(ISNUMBER(A150),YEAR(A150),"")</f>
        <v/>
      </c>
    </row>
    <row r="151">
      <c r="A151" s="23" t="n"/>
      <c r="B151" s="19" t="n"/>
      <c r="C151" s="19" t="n"/>
      <c r="D151" s="7" t="n"/>
      <c r="E151" s="13" t="n"/>
      <c r="F151" s="19" t="n"/>
      <c r="G151" s="13" t="n"/>
      <c r="H151" s="19" t="n"/>
      <c r="I151" s="19" t="n"/>
      <c r="J151" s="13" t="n"/>
      <c r="K151" s="9">
        <f>IF(AND(C151&lt;&gt;"",N(D151)&gt;0,I151&lt;&gt;"Cancelado"),D151*IF(N(E151)&gt;0,E151,IFERROR(VLOOKUP(C151,Produtos!$A$4:$O$53,15,0),0))+N(G151),"")</f>
        <v/>
      </c>
      <c r="L151" s="9">
        <f>IF(K151="","",K151*IFERROR(VLOOKUP(H151,Config!$B$15:$C$19,2,0),0))</f>
        <v/>
      </c>
      <c r="M151" s="9">
        <f>IF(K151="","",D151*IFERROR(VLOOKUP(C151,Produtos!$A$4:$I$53,9,0),0))</f>
        <v/>
      </c>
      <c r="N151" s="9">
        <f>IF(K151="","",D151*IFERROR(VLOOKUP(C151,Produtos!$A$4:$J$53,10,0),0))</f>
        <v/>
      </c>
      <c r="O151" s="9">
        <f>IF(OR(K151="",F151=""),IF(K151="","",0),IFERROR(VLOOKUP(F151,Entrega!$A$4:$E$43,5,0),0))</f>
        <v/>
      </c>
      <c r="P151" s="9">
        <f>IF(K151="","",K151-L151-M151-N151-O151)</f>
        <v/>
      </c>
      <c r="Q151" s="9">
        <f>IF(K151="","",IF(I151="Entregue",0,K151-N(J151)))</f>
        <v/>
      </c>
      <c r="R151" s="12">
        <f>IF(ISNUMBER(A151),MONTH(A151),"")</f>
        <v/>
      </c>
      <c r="S151" s="12">
        <f>IF(ISNUMBER(A151),YEAR(A151),"")</f>
        <v/>
      </c>
    </row>
    <row r="152">
      <c r="A152" s="23" t="n"/>
      <c r="B152" s="19" t="n"/>
      <c r="C152" s="19" t="n"/>
      <c r="D152" s="7" t="n"/>
      <c r="E152" s="13" t="n"/>
      <c r="F152" s="19" t="n"/>
      <c r="G152" s="13" t="n"/>
      <c r="H152" s="19" t="n"/>
      <c r="I152" s="19" t="n"/>
      <c r="J152" s="13" t="n"/>
      <c r="K152" s="9">
        <f>IF(AND(C152&lt;&gt;"",N(D152)&gt;0,I152&lt;&gt;"Cancelado"),D152*IF(N(E152)&gt;0,E152,IFERROR(VLOOKUP(C152,Produtos!$A$4:$O$53,15,0),0))+N(G152),"")</f>
        <v/>
      </c>
      <c r="L152" s="9">
        <f>IF(K152="","",K152*IFERROR(VLOOKUP(H152,Config!$B$15:$C$19,2,0),0))</f>
        <v/>
      </c>
      <c r="M152" s="9">
        <f>IF(K152="","",D152*IFERROR(VLOOKUP(C152,Produtos!$A$4:$I$53,9,0),0))</f>
        <v/>
      </c>
      <c r="N152" s="9">
        <f>IF(K152="","",D152*IFERROR(VLOOKUP(C152,Produtos!$A$4:$J$53,10,0),0))</f>
        <v/>
      </c>
      <c r="O152" s="9">
        <f>IF(OR(K152="",F152=""),IF(K152="","",0),IFERROR(VLOOKUP(F152,Entrega!$A$4:$E$43,5,0),0))</f>
        <v/>
      </c>
      <c r="P152" s="9">
        <f>IF(K152="","",K152-L152-M152-N152-O152)</f>
        <v/>
      </c>
      <c r="Q152" s="9">
        <f>IF(K152="","",IF(I152="Entregue",0,K152-N(J152)))</f>
        <v/>
      </c>
      <c r="R152" s="12">
        <f>IF(ISNUMBER(A152),MONTH(A152),"")</f>
        <v/>
      </c>
      <c r="S152" s="12">
        <f>IF(ISNUMBER(A152),YEAR(A152),"")</f>
        <v/>
      </c>
    </row>
    <row r="153">
      <c r="A153" s="23" t="n"/>
      <c r="B153" s="19" t="n"/>
      <c r="C153" s="19" t="n"/>
      <c r="D153" s="7" t="n"/>
      <c r="E153" s="13" t="n"/>
      <c r="F153" s="19" t="n"/>
      <c r="G153" s="13" t="n"/>
      <c r="H153" s="19" t="n"/>
      <c r="I153" s="19" t="n"/>
      <c r="J153" s="13" t="n"/>
      <c r="K153" s="9">
        <f>IF(AND(C153&lt;&gt;"",N(D153)&gt;0,I153&lt;&gt;"Cancelado"),D153*IF(N(E153)&gt;0,E153,IFERROR(VLOOKUP(C153,Produtos!$A$4:$O$53,15,0),0))+N(G153),"")</f>
        <v/>
      </c>
      <c r="L153" s="9">
        <f>IF(K153="","",K153*IFERROR(VLOOKUP(H153,Config!$B$15:$C$19,2,0),0))</f>
        <v/>
      </c>
      <c r="M153" s="9">
        <f>IF(K153="","",D153*IFERROR(VLOOKUP(C153,Produtos!$A$4:$I$53,9,0),0))</f>
        <v/>
      </c>
      <c r="N153" s="9">
        <f>IF(K153="","",D153*IFERROR(VLOOKUP(C153,Produtos!$A$4:$J$53,10,0),0))</f>
        <v/>
      </c>
      <c r="O153" s="9">
        <f>IF(OR(K153="",F153=""),IF(K153="","",0),IFERROR(VLOOKUP(F153,Entrega!$A$4:$E$43,5,0),0))</f>
        <v/>
      </c>
      <c r="P153" s="9">
        <f>IF(K153="","",K153-L153-M153-N153-O153)</f>
        <v/>
      </c>
      <c r="Q153" s="9">
        <f>IF(K153="","",IF(I153="Entregue",0,K153-N(J153)))</f>
        <v/>
      </c>
      <c r="R153" s="12">
        <f>IF(ISNUMBER(A153),MONTH(A153),"")</f>
        <v/>
      </c>
      <c r="S153" s="12">
        <f>IF(ISNUMBER(A153),YEAR(A153),"")</f>
        <v/>
      </c>
    </row>
    <row r="154">
      <c r="A154" s="23" t="n"/>
      <c r="B154" s="19" t="n"/>
      <c r="C154" s="19" t="n"/>
      <c r="D154" s="7" t="n"/>
      <c r="E154" s="13" t="n"/>
      <c r="F154" s="19" t="n"/>
      <c r="G154" s="13" t="n"/>
      <c r="H154" s="19" t="n"/>
      <c r="I154" s="19" t="n"/>
      <c r="J154" s="13" t="n"/>
      <c r="K154" s="9">
        <f>IF(AND(C154&lt;&gt;"",N(D154)&gt;0,I154&lt;&gt;"Cancelado"),D154*IF(N(E154)&gt;0,E154,IFERROR(VLOOKUP(C154,Produtos!$A$4:$O$53,15,0),0))+N(G154),"")</f>
        <v/>
      </c>
      <c r="L154" s="9">
        <f>IF(K154="","",K154*IFERROR(VLOOKUP(H154,Config!$B$15:$C$19,2,0),0))</f>
        <v/>
      </c>
      <c r="M154" s="9">
        <f>IF(K154="","",D154*IFERROR(VLOOKUP(C154,Produtos!$A$4:$I$53,9,0),0))</f>
        <v/>
      </c>
      <c r="N154" s="9">
        <f>IF(K154="","",D154*IFERROR(VLOOKUP(C154,Produtos!$A$4:$J$53,10,0),0))</f>
        <v/>
      </c>
      <c r="O154" s="9">
        <f>IF(OR(K154="",F154=""),IF(K154="","",0),IFERROR(VLOOKUP(F154,Entrega!$A$4:$E$43,5,0),0))</f>
        <v/>
      </c>
      <c r="P154" s="9">
        <f>IF(K154="","",K154-L154-M154-N154-O154)</f>
        <v/>
      </c>
      <c r="Q154" s="9">
        <f>IF(K154="","",IF(I154="Entregue",0,K154-N(J154)))</f>
        <v/>
      </c>
      <c r="R154" s="12">
        <f>IF(ISNUMBER(A154),MONTH(A154),"")</f>
        <v/>
      </c>
      <c r="S154" s="12">
        <f>IF(ISNUMBER(A154),YEAR(A154),"")</f>
        <v/>
      </c>
    </row>
    <row r="155">
      <c r="A155" s="23" t="n"/>
      <c r="B155" s="19" t="n"/>
      <c r="C155" s="19" t="n"/>
      <c r="D155" s="7" t="n"/>
      <c r="E155" s="13" t="n"/>
      <c r="F155" s="19" t="n"/>
      <c r="G155" s="13" t="n"/>
      <c r="H155" s="19" t="n"/>
      <c r="I155" s="19" t="n"/>
      <c r="J155" s="13" t="n"/>
      <c r="K155" s="9">
        <f>IF(AND(C155&lt;&gt;"",N(D155)&gt;0,I155&lt;&gt;"Cancelado"),D155*IF(N(E155)&gt;0,E155,IFERROR(VLOOKUP(C155,Produtos!$A$4:$O$53,15,0),0))+N(G155),"")</f>
        <v/>
      </c>
      <c r="L155" s="9">
        <f>IF(K155="","",K155*IFERROR(VLOOKUP(H155,Config!$B$15:$C$19,2,0),0))</f>
        <v/>
      </c>
      <c r="M155" s="9">
        <f>IF(K155="","",D155*IFERROR(VLOOKUP(C155,Produtos!$A$4:$I$53,9,0),0))</f>
        <v/>
      </c>
      <c r="N155" s="9">
        <f>IF(K155="","",D155*IFERROR(VLOOKUP(C155,Produtos!$A$4:$J$53,10,0),0))</f>
        <v/>
      </c>
      <c r="O155" s="9">
        <f>IF(OR(K155="",F155=""),IF(K155="","",0),IFERROR(VLOOKUP(F155,Entrega!$A$4:$E$43,5,0),0))</f>
        <v/>
      </c>
      <c r="P155" s="9">
        <f>IF(K155="","",K155-L155-M155-N155-O155)</f>
        <v/>
      </c>
      <c r="Q155" s="9">
        <f>IF(K155="","",IF(I155="Entregue",0,K155-N(J155)))</f>
        <v/>
      </c>
      <c r="R155" s="12">
        <f>IF(ISNUMBER(A155),MONTH(A155),"")</f>
        <v/>
      </c>
      <c r="S155" s="12">
        <f>IF(ISNUMBER(A155),YEAR(A155),"")</f>
        <v/>
      </c>
    </row>
    <row r="156">
      <c r="A156" s="23" t="n"/>
      <c r="B156" s="19" t="n"/>
      <c r="C156" s="19" t="n"/>
      <c r="D156" s="7" t="n"/>
      <c r="E156" s="13" t="n"/>
      <c r="F156" s="19" t="n"/>
      <c r="G156" s="13" t="n"/>
      <c r="H156" s="19" t="n"/>
      <c r="I156" s="19" t="n"/>
      <c r="J156" s="13" t="n"/>
      <c r="K156" s="9">
        <f>IF(AND(C156&lt;&gt;"",N(D156)&gt;0,I156&lt;&gt;"Cancelado"),D156*IF(N(E156)&gt;0,E156,IFERROR(VLOOKUP(C156,Produtos!$A$4:$O$53,15,0),0))+N(G156),"")</f>
        <v/>
      </c>
      <c r="L156" s="9">
        <f>IF(K156="","",K156*IFERROR(VLOOKUP(H156,Config!$B$15:$C$19,2,0),0))</f>
        <v/>
      </c>
      <c r="M156" s="9">
        <f>IF(K156="","",D156*IFERROR(VLOOKUP(C156,Produtos!$A$4:$I$53,9,0),0))</f>
        <v/>
      </c>
      <c r="N156" s="9">
        <f>IF(K156="","",D156*IFERROR(VLOOKUP(C156,Produtos!$A$4:$J$53,10,0),0))</f>
        <v/>
      </c>
      <c r="O156" s="9">
        <f>IF(OR(K156="",F156=""),IF(K156="","",0),IFERROR(VLOOKUP(F156,Entrega!$A$4:$E$43,5,0),0))</f>
        <v/>
      </c>
      <c r="P156" s="9">
        <f>IF(K156="","",K156-L156-M156-N156-O156)</f>
        <v/>
      </c>
      <c r="Q156" s="9">
        <f>IF(K156="","",IF(I156="Entregue",0,K156-N(J156)))</f>
        <v/>
      </c>
      <c r="R156" s="12">
        <f>IF(ISNUMBER(A156),MONTH(A156),"")</f>
        <v/>
      </c>
      <c r="S156" s="12">
        <f>IF(ISNUMBER(A156),YEAR(A156),"")</f>
        <v/>
      </c>
    </row>
    <row r="157">
      <c r="A157" s="23" t="n"/>
      <c r="B157" s="19" t="n"/>
      <c r="C157" s="19" t="n"/>
      <c r="D157" s="7" t="n"/>
      <c r="E157" s="13" t="n"/>
      <c r="F157" s="19" t="n"/>
      <c r="G157" s="13" t="n"/>
      <c r="H157" s="19" t="n"/>
      <c r="I157" s="19" t="n"/>
      <c r="J157" s="13" t="n"/>
      <c r="K157" s="9">
        <f>IF(AND(C157&lt;&gt;"",N(D157)&gt;0,I157&lt;&gt;"Cancelado"),D157*IF(N(E157)&gt;0,E157,IFERROR(VLOOKUP(C157,Produtos!$A$4:$O$53,15,0),0))+N(G157),"")</f>
        <v/>
      </c>
      <c r="L157" s="9">
        <f>IF(K157="","",K157*IFERROR(VLOOKUP(H157,Config!$B$15:$C$19,2,0),0))</f>
        <v/>
      </c>
      <c r="M157" s="9">
        <f>IF(K157="","",D157*IFERROR(VLOOKUP(C157,Produtos!$A$4:$I$53,9,0),0))</f>
        <v/>
      </c>
      <c r="N157" s="9">
        <f>IF(K157="","",D157*IFERROR(VLOOKUP(C157,Produtos!$A$4:$J$53,10,0),0))</f>
        <v/>
      </c>
      <c r="O157" s="9">
        <f>IF(OR(K157="",F157=""),IF(K157="","",0),IFERROR(VLOOKUP(F157,Entrega!$A$4:$E$43,5,0),0))</f>
        <v/>
      </c>
      <c r="P157" s="9">
        <f>IF(K157="","",K157-L157-M157-N157-O157)</f>
        <v/>
      </c>
      <c r="Q157" s="9">
        <f>IF(K157="","",IF(I157="Entregue",0,K157-N(J157)))</f>
        <v/>
      </c>
      <c r="R157" s="12">
        <f>IF(ISNUMBER(A157),MONTH(A157),"")</f>
        <v/>
      </c>
      <c r="S157" s="12">
        <f>IF(ISNUMBER(A157),YEAR(A157),"")</f>
        <v/>
      </c>
    </row>
    <row r="158">
      <c r="A158" s="23" t="n"/>
      <c r="B158" s="19" t="n"/>
      <c r="C158" s="19" t="n"/>
      <c r="D158" s="7" t="n"/>
      <c r="E158" s="13" t="n"/>
      <c r="F158" s="19" t="n"/>
      <c r="G158" s="13" t="n"/>
      <c r="H158" s="19" t="n"/>
      <c r="I158" s="19" t="n"/>
      <c r="J158" s="13" t="n"/>
      <c r="K158" s="9">
        <f>IF(AND(C158&lt;&gt;"",N(D158)&gt;0,I158&lt;&gt;"Cancelado"),D158*IF(N(E158)&gt;0,E158,IFERROR(VLOOKUP(C158,Produtos!$A$4:$O$53,15,0),0))+N(G158),"")</f>
        <v/>
      </c>
      <c r="L158" s="9">
        <f>IF(K158="","",K158*IFERROR(VLOOKUP(H158,Config!$B$15:$C$19,2,0),0))</f>
        <v/>
      </c>
      <c r="M158" s="9">
        <f>IF(K158="","",D158*IFERROR(VLOOKUP(C158,Produtos!$A$4:$I$53,9,0),0))</f>
        <v/>
      </c>
      <c r="N158" s="9">
        <f>IF(K158="","",D158*IFERROR(VLOOKUP(C158,Produtos!$A$4:$J$53,10,0),0))</f>
        <v/>
      </c>
      <c r="O158" s="9">
        <f>IF(OR(K158="",F158=""),IF(K158="","",0),IFERROR(VLOOKUP(F158,Entrega!$A$4:$E$43,5,0),0))</f>
        <v/>
      </c>
      <c r="P158" s="9">
        <f>IF(K158="","",K158-L158-M158-N158-O158)</f>
        <v/>
      </c>
      <c r="Q158" s="9">
        <f>IF(K158="","",IF(I158="Entregue",0,K158-N(J158)))</f>
        <v/>
      </c>
      <c r="R158" s="12">
        <f>IF(ISNUMBER(A158),MONTH(A158),"")</f>
        <v/>
      </c>
      <c r="S158" s="12">
        <f>IF(ISNUMBER(A158),YEAR(A158),"")</f>
        <v/>
      </c>
    </row>
    <row r="159">
      <c r="A159" s="23" t="n"/>
      <c r="B159" s="19" t="n"/>
      <c r="C159" s="19" t="n"/>
      <c r="D159" s="7" t="n"/>
      <c r="E159" s="13" t="n"/>
      <c r="F159" s="19" t="n"/>
      <c r="G159" s="13" t="n"/>
      <c r="H159" s="19" t="n"/>
      <c r="I159" s="19" t="n"/>
      <c r="J159" s="13" t="n"/>
      <c r="K159" s="9">
        <f>IF(AND(C159&lt;&gt;"",N(D159)&gt;0,I159&lt;&gt;"Cancelado"),D159*IF(N(E159)&gt;0,E159,IFERROR(VLOOKUP(C159,Produtos!$A$4:$O$53,15,0),0))+N(G159),"")</f>
        <v/>
      </c>
      <c r="L159" s="9">
        <f>IF(K159="","",K159*IFERROR(VLOOKUP(H159,Config!$B$15:$C$19,2,0),0))</f>
        <v/>
      </c>
      <c r="M159" s="9">
        <f>IF(K159="","",D159*IFERROR(VLOOKUP(C159,Produtos!$A$4:$I$53,9,0),0))</f>
        <v/>
      </c>
      <c r="N159" s="9">
        <f>IF(K159="","",D159*IFERROR(VLOOKUP(C159,Produtos!$A$4:$J$53,10,0),0))</f>
        <v/>
      </c>
      <c r="O159" s="9">
        <f>IF(OR(K159="",F159=""),IF(K159="","",0),IFERROR(VLOOKUP(F159,Entrega!$A$4:$E$43,5,0),0))</f>
        <v/>
      </c>
      <c r="P159" s="9">
        <f>IF(K159="","",K159-L159-M159-N159-O159)</f>
        <v/>
      </c>
      <c r="Q159" s="9">
        <f>IF(K159="","",IF(I159="Entregue",0,K159-N(J159)))</f>
        <v/>
      </c>
      <c r="R159" s="12">
        <f>IF(ISNUMBER(A159),MONTH(A159),"")</f>
        <v/>
      </c>
      <c r="S159" s="12">
        <f>IF(ISNUMBER(A159),YEAR(A159),"")</f>
        <v/>
      </c>
    </row>
    <row r="160">
      <c r="A160" s="23" t="n"/>
      <c r="B160" s="19" t="n"/>
      <c r="C160" s="19" t="n"/>
      <c r="D160" s="7" t="n"/>
      <c r="E160" s="13" t="n"/>
      <c r="F160" s="19" t="n"/>
      <c r="G160" s="13" t="n"/>
      <c r="H160" s="19" t="n"/>
      <c r="I160" s="19" t="n"/>
      <c r="J160" s="13" t="n"/>
      <c r="K160" s="9">
        <f>IF(AND(C160&lt;&gt;"",N(D160)&gt;0,I160&lt;&gt;"Cancelado"),D160*IF(N(E160)&gt;0,E160,IFERROR(VLOOKUP(C160,Produtos!$A$4:$O$53,15,0),0))+N(G160),"")</f>
        <v/>
      </c>
      <c r="L160" s="9">
        <f>IF(K160="","",K160*IFERROR(VLOOKUP(H160,Config!$B$15:$C$19,2,0),0))</f>
        <v/>
      </c>
      <c r="M160" s="9">
        <f>IF(K160="","",D160*IFERROR(VLOOKUP(C160,Produtos!$A$4:$I$53,9,0),0))</f>
        <v/>
      </c>
      <c r="N160" s="9">
        <f>IF(K160="","",D160*IFERROR(VLOOKUP(C160,Produtos!$A$4:$J$53,10,0),0))</f>
        <v/>
      </c>
      <c r="O160" s="9">
        <f>IF(OR(K160="",F160=""),IF(K160="","",0),IFERROR(VLOOKUP(F160,Entrega!$A$4:$E$43,5,0),0))</f>
        <v/>
      </c>
      <c r="P160" s="9">
        <f>IF(K160="","",K160-L160-M160-N160-O160)</f>
        <v/>
      </c>
      <c r="Q160" s="9">
        <f>IF(K160="","",IF(I160="Entregue",0,K160-N(J160)))</f>
        <v/>
      </c>
      <c r="R160" s="12">
        <f>IF(ISNUMBER(A160),MONTH(A160),"")</f>
        <v/>
      </c>
      <c r="S160" s="12">
        <f>IF(ISNUMBER(A160),YEAR(A160),"")</f>
        <v/>
      </c>
    </row>
    <row r="161">
      <c r="A161" s="23" t="n"/>
      <c r="B161" s="19" t="n"/>
      <c r="C161" s="19" t="n"/>
      <c r="D161" s="7" t="n"/>
      <c r="E161" s="13" t="n"/>
      <c r="F161" s="19" t="n"/>
      <c r="G161" s="13" t="n"/>
      <c r="H161" s="19" t="n"/>
      <c r="I161" s="19" t="n"/>
      <c r="J161" s="13" t="n"/>
      <c r="K161" s="9">
        <f>IF(AND(C161&lt;&gt;"",N(D161)&gt;0,I161&lt;&gt;"Cancelado"),D161*IF(N(E161)&gt;0,E161,IFERROR(VLOOKUP(C161,Produtos!$A$4:$O$53,15,0),0))+N(G161),"")</f>
        <v/>
      </c>
      <c r="L161" s="9">
        <f>IF(K161="","",K161*IFERROR(VLOOKUP(H161,Config!$B$15:$C$19,2,0),0))</f>
        <v/>
      </c>
      <c r="M161" s="9">
        <f>IF(K161="","",D161*IFERROR(VLOOKUP(C161,Produtos!$A$4:$I$53,9,0),0))</f>
        <v/>
      </c>
      <c r="N161" s="9">
        <f>IF(K161="","",D161*IFERROR(VLOOKUP(C161,Produtos!$A$4:$J$53,10,0),0))</f>
        <v/>
      </c>
      <c r="O161" s="9">
        <f>IF(OR(K161="",F161=""),IF(K161="","",0),IFERROR(VLOOKUP(F161,Entrega!$A$4:$E$43,5,0),0))</f>
        <v/>
      </c>
      <c r="P161" s="9">
        <f>IF(K161="","",K161-L161-M161-N161-O161)</f>
        <v/>
      </c>
      <c r="Q161" s="9">
        <f>IF(K161="","",IF(I161="Entregue",0,K161-N(J161)))</f>
        <v/>
      </c>
      <c r="R161" s="12">
        <f>IF(ISNUMBER(A161),MONTH(A161),"")</f>
        <v/>
      </c>
      <c r="S161" s="12">
        <f>IF(ISNUMBER(A161),YEAR(A161),"")</f>
        <v/>
      </c>
    </row>
    <row r="162">
      <c r="A162" s="23" t="n"/>
      <c r="B162" s="19" t="n"/>
      <c r="C162" s="19" t="n"/>
      <c r="D162" s="7" t="n"/>
      <c r="E162" s="13" t="n"/>
      <c r="F162" s="19" t="n"/>
      <c r="G162" s="13" t="n"/>
      <c r="H162" s="19" t="n"/>
      <c r="I162" s="19" t="n"/>
      <c r="J162" s="13" t="n"/>
      <c r="K162" s="9">
        <f>IF(AND(C162&lt;&gt;"",N(D162)&gt;0,I162&lt;&gt;"Cancelado"),D162*IF(N(E162)&gt;0,E162,IFERROR(VLOOKUP(C162,Produtos!$A$4:$O$53,15,0),0))+N(G162),"")</f>
        <v/>
      </c>
      <c r="L162" s="9">
        <f>IF(K162="","",K162*IFERROR(VLOOKUP(H162,Config!$B$15:$C$19,2,0),0))</f>
        <v/>
      </c>
      <c r="M162" s="9">
        <f>IF(K162="","",D162*IFERROR(VLOOKUP(C162,Produtos!$A$4:$I$53,9,0),0))</f>
        <v/>
      </c>
      <c r="N162" s="9">
        <f>IF(K162="","",D162*IFERROR(VLOOKUP(C162,Produtos!$A$4:$J$53,10,0),0))</f>
        <v/>
      </c>
      <c r="O162" s="9">
        <f>IF(OR(K162="",F162=""),IF(K162="","",0),IFERROR(VLOOKUP(F162,Entrega!$A$4:$E$43,5,0),0))</f>
        <v/>
      </c>
      <c r="P162" s="9">
        <f>IF(K162="","",K162-L162-M162-N162-O162)</f>
        <v/>
      </c>
      <c r="Q162" s="9">
        <f>IF(K162="","",IF(I162="Entregue",0,K162-N(J162)))</f>
        <v/>
      </c>
      <c r="R162" s="12">
        <f>IF(ISNUMBER(A162),MONTH(A162),"")</f>
        <v/>
      </c>
      <c r="S162" s="12">
        <f>IF(ISNUMBER(A162),YEAR(A162),"")</f>
        <v/>
      </c>
    </row>
    <row r="163">
      <c r="A163" s="23" t="n"/>
      <c r="B163" s="19" t="n"/>
      <c r="C163" s="19" t="n"/>
      <c r="D163" s="7" t="n"/>
      <c r="E163" s="13" t="n"/>
      <c r="F163" s="19" t="n"/>
      <c r="G163" s="13" t="n"/>
      <c r="H163" s="19" t="n"/>
      <c r="I163" s="19" t="n"/>
      <c r="J163" s="13" t="n"/>
      <c r="K163" s="9">
        <f>IF(AND(C163&lt;&gt;"",N(D163)&gt;0,I163&lt;&gt;"Cancelado"),D163*IF(N(E163)&gt;0,E163,IFERROR(VLOOKUP(C163,Produtos!$A$4:$O$53,15,0),0))+N(G163),"")</f>
        <v/>
      </c>
      <c r="L163" s="9">
        <f>IF(K163="","",K163*IFERROR(VLOOKUP(H163,Config!$B$15:$C$19,2,0),0))</f>
        <v/>
      </c>
      <c r="M163" s="9">
        <f>IF(K163="","",D163*IFERROR(VLOOKUP(C163,Produtos!$A$4:$I$53,9,0),0))</f>
        <v/>
      </c>
      <c r="N163" s="9">
        <f>IF(K163="","",D163*IFERROR(VLOOKUP(C163,Produtos!$A$4:$J$53,10,0),0))</f>
        <v/>
      </c>
      <c r="O163" s="9">
        <f>IF(OR(K163="",F163=""),IF(K163="","",0),IFERROR(VLOOKUP(F163,Entrega!$A$4:$E$43,5,0),0))</f>
        <v/>
      </c>
      <c r="P163" s="9">
        <f>IF(K163="","",K163-L163-M163-N163-O163)</f>
        <v/>
      </c>
      <c r="Q163" s="9">
        <f>IF(K163="","",IF(I163="Entregue",0,K163-N(J163)))</f>
        <v/>
      </c>
      <c r="R163" s="12">
        <f>IF(ISNUMBER(A163),MONTH(A163),"")</f>
        <v/>
      </c>
      <c r="S163" s="12">
        <f>IF(ISNUMBER(A163),YEAR(A163),"")</f>
        <v/>
      </c>
    </row>
    <row r="164">
      <c r="A164" s="23" t="n"/>
      <c r="B164" s="19" t="n"/>
      <c r="C164" s="19" t="n"/>
      <c r="D164" s="7" t="n"/>
      <c r="E164" s="13" t="n"/>
      <c r="F164" s="19" t="n"/>
      <c r="G164" s="13" t="n"/>
      <c r="H164" s="19" t="n"/>
      <c r="I164" s="19" t="n"/>
      <c r="J164" s="13" t="n"/>
      <c r="K164" s="9">
        <f>IF(AND(C164&lt;&gt;"",N(D164)&gt;0,I164&lt;&gt;"Cancelado"),D164*IF(N(E164)&gt;0,E164,IFERROR(VLOOKUP(C164,Produtos!$A$4:$O$53,15,0),0))+N(G164),"")</f>
        <v/>
      </c>
      <c r="L164" s="9">
        <f>IF(K164="","",K164*IFERROR(VLOOKUP(H164,Config!$B$15:$C$19,2,0),0))</f>
        <v/>
      </c>
      <c r="M164" s="9">
        <f>IF(K164="","",D164*IFERROR(VLOOKUP(C164,Produtos!$A$4:$I$53,9,0),0))</f>
        <v/>
      </c>
      <c r="N164" s="9">
        <f>IF(K164="","",D164*IFERROR(VLOOKUP(C164,Produtos!$A$4:$J$53,10,0),0))</f>
        <v/>
      </c>
      <c r="O164" s="9">
        <f>IF(OR(K164="",F164=""),IF(K164="","",0),IFERROR(VLOOKUP(F164,Entrega!$A$4:$E$43,5,0),0))</f>
        <v/>
      </c>
      <c r="P164" s="9">
        <f>IF(K164="","",K164-L164-M164-N164-O164)</f>
        <v/>
      </c>
      <c r="Q164" s="9">
        <f>IF(K164="","",IF(I164="Entregue",0,K164-N(J164)))</f>
        <v/>
      </c>
      <c r="R164" s="12">
        <f>IF(ISNUMBER(A164),MONTH(A164),"")</f>
        <v/>
      </c>
      <c r="S164" s="12">
        <f>IF(ISNUMBER(A164),YEAR(A164),"")</f>
        <v/>
      </c>
    </row>
    <row r="165">
      <c r="A165" s="23" t="n"/>
      <c r="B165" s="19" t="n"/>
      <c r="C165" s="19" t="n"/>
      <c r="D165" s="7" t="n"/>
      <c r="E165" s="13" t="n"/>
      <c r="F165" s="19" t="n"/>
      <c r="G165" s="13" t="n"/>
      <c r="H165" s="19" t="n"/>
      <c r="I165" s="19" t="n"/>
      <c r="J165" s="13" t="n"/>
      <c r="K165" s="9">
        <f>IF(AND(C165&lt;&gt;"",N(D165)&gt;0,I165&lt;&gt;"Cancelado"),D165*IF(N(E165)&gt;0,E165,IFERROR(VLOOKUP(C165,Produtos!$A$4:$O$53,15,0),0))+N(G165),"")</f>
        <v/>
      </c>
      <c r="L165" s="9">
        <f>IF(K165="","",K165*IFERROR(VLOOKUP(H165,Config!$B$15:$C$19,2,0),0))</f>
        <v/>
      </c>
      <c r="M165" s="9">
        <f>IF(K165="","",D165*IFERROR(VLOOKUP(C165,Produtos!$A$4:$I$53,9,0),0))</f>
        <v/>
      </c>
      <c r="N165" s="9">
        <f>IF(K165="","",D165*IFERROR(VLOOKUP(C165,Produtos!$A$4:$J$53,10,0),0))</f>
        <v/>
      </c>
      <c r="O165" s="9">
        <f>IF(OR(K165="",F165=""),IF(K165="","",0),IFERROR(VLOOKUP(F165,Entrega!$A$4:$E$43,5,0),0))</f>
        <v/>
      </c>
      <c r="P165" s="9">
        <f>IF(K165="","",K165-L165-M165-N165-O165)</f>
        <v/>
      </c>
      <c r="Q165" s="9">
        <f>IF(K165="","",IF(I165="Entregue",0,K165-N(J165)))</f>
        <v/>
      </c>
      <c r="R165" s="12">
        <f>IF(ISNUMBER(A165),MONTH(A165),"")</f>
        <v/>
      </c>
      <c r="S165" s="12">
        <f>IF(ISNUMBER(A165),YEAR(A165),"")</f>
        <v/>
      </c>
    </row>
    <row r="166">
      <c r="A166" s="23" t="n"/>
      <c r="B166" s="19" t="n"/>
      <c r="C166" s="19" t="n"/>
      <c r="D166" s="7" t="n"/>
      <c r="E166" s="13" t="n"/>
      <c r="F166" s="19" t="n"/>
      <c r="G166" s="13" t="n"/>
      <c r="H166" s="19" t="n"/>
      <c r="I166" s="19" t="n"/>
      <c r="J166" s="13" t="n"/>
      <c r="K166" s="9">
        <f>IF(AND(C166&lt;&gt;"",N(D166)&gt;0,I166&lt;&gt;"Cancelado"),D166*IF(N(E166)&gt;0,E166,IFERROR(VLOOKUP(C166,Produtos!$A$4:$O$53,15,0),0))+N(G166),"")</f>
        <v/>
      </c>
      <c r="L166" s="9">
        <f>IF(K166="","",K166*IFERROR(VLOOKUP(H166,Config!$B$15:$C$19,2,0),0))</f>
        <v/>
      </c>
      <c r="M166" s="9">
        <f>IF(K166="","",D166*IFERROR(VLOOKUP(C166,Produtos!$A$4:$I$53,9,0),0))</f>
        <v/>
      </c>
      <c r="N166" s="9">
        <f>IF(K166="","",D166*IFERROR(VLOOKUP(C166,Produtos!$A$4:$J$53,10,0),0))</f>
        <v/>
      </c>
      <c r="O166" s="9">
        <f>IF(OR(K166="",F166=""),IF(K166="","",0),IFERROR(VLOOKUP(F166,Entrega!$A$4:$E$43,5,0),0))</f>
        <v/>
      </c>
      <c r="P166" s="9">
        <f>IF(K166="","",K166-L166-M166-N166-O166)</f>
        <v/>
      </c>
      <c r="Q166" s="9">
        <f>IF(K166="","",IF(I166="Entregue",0,K166-N(J166)))</f>
        <v/>
      </c>
      <c r="R166" s="12">
        <f>IF(ISNUMBER(A166),MONTH(A166),"")</f>
        <v/>
      </c>
      <c r="S166" s="12">
        <f>IF(ISNUMBER(A166),YEAR(A166),"")</f>
        <v/>
      </c>
    </row>
    <row r="167">
      <c r="A167" s="23" t="n"/>
      <c r="B167" s="19" t="n"/>
      <c r="C167" s="19" t="n"/>
      <c r="D167" s="7" t="n"/>
      <c r="E167" s="13" t="n"/>
      <c r="F167" s="19" t="n"/>
      <c r="G167" s="13" t="n"/>
      <c r="H167" s="19" t="n"/>
      <c r="I167" s="19" t="n"/>
      <c r="J167" s="13" t="n"/>
      <c r="K167" s="9">
        <f>IF(AND(C167&lt;&gt;"",N(D167)&gt;0,I167&lt;&gt;"Cancelado"),D167*IF(N(E167)&gt;0,E167,IFERROR(VLOOKUP(C167,Produtos!$A$4:$O$53,15,0),0))+N(G167),"")</f>
        <v/>
      </c>
      <c r="L167" s="9">
        <f>IF(K167="","",K167*IFERROR(VLOOKUP(H167,Config!$B$15:$C$19,2,0),0))</f>
        <v/>
      </c>
      <c r="M167" s="9">
        <f>IF(K167="","",D167*IFERROR(VLOOKUP(C167,Produtos!$A$4:$I$53,9,0),0))</f>
        <v/>
      </c>
      <c r="N167" s="9">
        <f>IF(K167="","",D167*IFERROR(VLOOKUP(C167,Produtos!$A$4:$J$53,10,0),0))</f>
        <v/>
      </c>
      <c r="O167" s="9">
        <f>IF(OR(K167="",F167=""),IF(K167="","",0),IFERROR(VLOOKUP(F167,Entrega!$A$4:$E$43,5,0),0))</f>
        <v/>
      </c>
      <c r="P167" s="9">
        <f>IF(K167="","",K167-L167-M167-N167-O167)</f>
        <v/>
      </c>
      <c r="Q167" s="9">
        <f>IF(K167="","",IF(I167="Entregue",0,K167-N(J167)))</f>
        <v/>
      </c>
      <c r="R167" s="12">
        <f>IF(ISNUMBER(A167),MONTH(A167),"")</f>
        <v/>
      </c>
      <c r="S167" s="12">
        <f>IF(ISNUMBER(A167),YEAR(A167),"")</f>
        <v/>
      </c>
    </row>
    <row r="168">
      <c r="A168" s="23" t="n"/>
      <c r="B168" s="19" t="n"/>
      <c r="C168" s="19" t="n"/>
      <c r="D168" s="7" t="n"/>
      <c r="E168" s="13" t="n"/>
      <c r="F168" s="19" t="n"/>
      <c r="G168" s="13" t="n"/>
      <c r="H168" s="19" t="n"/>
      <c r="I168" s="19" t="n"/>
      <c r="J168" s="13" t="n"/>
      <c r="K168" s="9">
        <f>IF(AND(C168&lt;&gt;"",N(D168)&gt;0,I168&lt;&gt;"Cancelado"),D168*IF(N(E168)&gt;0,E168,IFERROR(VLOOKUP(C168,Produtos!$A$4:$O$53,15,0),0))+N(G168),"")</f>
        <v/>
      </c>
      <c r="L168" s="9">
        <f>IF(K168="","",K168*IFERROR(VLOOKUP(H168,Config!$B$15:$C$19,2,0),0))</f>
        <v/>
      </c>
      <c r="M168" s="9">
        <f>IF(K168="","",D168*IFERROR(VLOOKUP(C168,Produtos!$A$4:$I$53,9,0),0))</f>
        <v/>
      </c>
      <c r="N168" s="9">
        <f>IF(K168="","",D168*IFERROR(VLOOKUP(C168,Produtos!$A$4:$J$53,10,0),0))</f>
        <v/>
      </c>
      <c r="O168" s="9">
        <f>IF(OR(K168="",F168=""),IF(K168="","",0),IFERROR(VLOOKUP(F168,Entrega!$A$4:$E$43,5,0),0))</f>
        <v/>
      </c>
      <c r="P168" s="9">
        <f>IF(K168="","",K168-L168-M168-N168-O168)</f>
        <v/>
      </c>
      <c r="Q168" s="9">
        <f>IF(K168="","",IF(I168="Entregue",0,K168-N(J168)))</f>
        <v/>
      </c>
      <c r="R168" s="12">
        <f>IF(ISNUMBER(A168),MONTH(A168),"")</f>
        <v/>
      </c>
      <c r="S168" s="12">
        <f>IF(ISNUMBER(A168),YEAR(A168),"")</f>
        <v/>
      </c>
    </row>
    <row r="169">
      <c r="A169" s="23" t="n"/>
      <c r="B169" s="19" t="n"/>
      <c r="C169" s="19" t="n"/>
      <c r="D169" s="7" t="n"/>
      <c r="E169" s="13" t="n"/>
      <c r="F169" s="19" t="n"/>
      <c r="G169" s="13" t="n"/>
      <c r="H169" s="19" t="n"/>
      <c r="I169" s="19" t="n"/>
      <c r="J169" s="13" t="n"/>
      <c r="K169" s="9">
        <f>IF(AND(C169&lt;&gt;"",N(D169)&gt;0,I169&lt;&gt;"Cancelado"),D169*IF(N(E169)&gt;0,E169,IFERROR(VLOOKUP(C169,Produtos!$A$4:$O$53,15,0),0))+N(G169),"")</f>
        <v/>
      </c>
      <c r="L169" s="9">
        <f>IF(K169="","",K169*IFERROR(VLOOKUP(H169,Config!$B$15:$C$19,2,0),0))</f>
        <v/>
      </c>
      <c r="M169" s="9">
        <f>IF(K169="","",D169*IFERROR(VLOOKUP(C169,Produtos!$A$4:$I$53,9,0),0))</f>
        <v/>
      </c>
      <c r="N169" s="9">
        <f>IF(K169="","",D169*IFERROR(VLOOKUP(C169,Produtos!$A$4:$J$53,10,0),0))</f>
        <v/>
      </c>
      <c r="O169" s="9">
        <f>IF(OR(K169="",F169=""),IF(K169="","",0),IFERROR(VLOOKUP(F169,Entrega!$A$4:$E$43,5,0),0))</f>
        <v/>
      </c>
      <c r="P169" s="9">
        <f>IF(K169="","",K169-L169-M169-N169-O169)</f>
        <v/>
      </c>
      <c r="Q169" s="9">
        <f>IF(K169="","",IF(I169="Entregue",0,K169-N(J169)))</f>
        <v/>
      </c>
      <c r="R169" s="12">
        <f>IF(ISNUMBER(A169),MONTH(A169),"")</f>
        <v/>
      </c>
      <c r="S169" s="12">
        <f>IF(ISNUMBER(A169),YEAR(A169),"")</f>
        <v/>
      </c>
    </row>
    <row r="170">
      <c r="A170" s="23" t="n"/>
      <c r="B170" s="19" t="n"/>
      <c r="C170" s="19" t="n"/>
      <c r="D170" s="7" t="n"/>
      <c r="E170" s="13" t="n"/>
      <c r="F170" s="19" t="n"/>
      <c r="G170" s="13" t="n"/>
      <c r="H170" s="19" t="n"/>
      <c r="I170" s="19" t="n"/>
      <c r="J170" s="13" t="n"/>
      <c r="K170" s="9">
        <f>IF(AND(C170&lt;&gt;"",N(D170)&gt;0,I170&lt;&gt;"Cancelado"),D170*IF(N(E170)&gt;0,E170,IFERROR(VLOOKUP(C170,Produtos!$A$4:$O$53,15,0),0))+N(G170),"")</f>
        <v/>
      </c>
      <c r="L170" s="9">
        <f>IF(K170="","",K170*IFERROR(VLOOKUP(H170,Config!$B$15:$C$19,2,0),0))</f>
        <v/>
      </c>
      <c r="M170" s="9">
        <f>IF(K170="","",D170*IFERROR(VLOOKUP(C170,Produtos!$A$4:$I$53,9,0),0))</f>
        <v/>
      </c>
      <c r="N170" s="9">
        <f>IF(K170="","",D170*IFERROR(VLOOKUP(C170,Produtos!$A$4:$J$53,10,0),0))</f>
        <v/>
      </c>
      <c r="O170" s="9">
        <f>IF(OR(K170="",F170=""),IF(K170="","",0),IFERROR(VLOOKUP(F170,Entrega!$A$4:$E$43,5,0),0))</f>
        <v/>
      </c>
      <c r="P170" s="9">
        <f>IF(K170="","",K170-L170-M170-N170-O170)</f>
        <v/>
      </c>
      <c r="Q170" s="9">
        <f>IF(K170="","",IF(I170="Entregue",0,K170-N(J170)))</f>
        <v/>
      </c>
      <c r="R170" s="12">
        <f>IF(ISNUMBER(A170),MONTH(A170),"")</f>
        <v/>
      </c>
      <c r="S170" s="12">
        <f>IF(ISNUMBER(A170),YEAR(A170),"")</f>
        <v/>
      </c>
    </row>
    <row r="171">
      <c r="A171" s="23" t="n"/>
      <c r="B171" s="19" t="n"/>
      <c r="C171" s="19" t="n"/>
      <c r="D171" s="7" t="n"/>
      <c r="E171" s="13" t="n"/>
      <c r="F171" s="19" t="n"/>
      <c r="G171" s="13" t="n"/>
      <c r="H171" s="19" t="n"/>
      <c r="I171" s="19" t="n"/>
      <c r="J171" s="13" t="n"/>
      <c r="K171" s="9">
        <f>IF(AND(C171&lt;&gt;"",N(D171)&gt;0,I171&lt;&gt;"Cancelado"),D171*IF(N(E171)&gt;0,E171,IFERROR(VLOOKUP(C171,Produtos!$A$4:$O$53,15,0),0))+N(G171),"")</f>
        <v/>
      </c>
      <c r="L171" s="9">
        <f>IF(K171="","",K171*IFERROR(VLOOKUP(H171,Config!$B$15:$C$19,2,0),0))</f>
        <v/>
      </c>
      <c r="M171" s="9">
        <f>IF(K171="","",D171*IFERROR(VLOOKUP(C171,Produtos!$A$4:$I$53,9,0),0))</f>
        <v/>
      </c>
      <c r="N171" s="9">
        <f>IF(K171="","",D171*IFERROR(VLOOKUP(C171,Produtos!$A$4:$J$53,10,0),0))</f>
        <v/>
      </c>
      <c r="O171" s="9">
        <f>IF(OR(K171="",F171=""),IF(K171="","",0),IFERROR(VLOOKUP(F171,Entrega!$A$4:$E$43,5,0),0))</f>
        <v/>
      </c>
      <c r="P171" s="9">
        <f>IF(K171="","",K171-L171-M171-N171-O171)</f>
        <v/>
      </c>
      <c r="Q171" s="9">
        <f>IF(K171="","",IF(I171="Entregue",0,K171-N(J171)))</f>
        <v/>
      </c>
      <c r="R171" s="12">
        <f>IF(ISNUMBER(A171),MONTH(A171),"")</f>
        <v/>
      </c>
      <c r="S171" s="12">
        <f>IF(ISNUMBER(A171),YEAR(A171),"")</f>
        <v/>
      </c>
    </row>
    <row r="172">
      <c r="A172" s="23" t="n"/>
      <c r="B172" s="19" t="n"/>
      <c r="C172" s="19" t="n"/>
      <c r="D172" s="7" t="n"/>
      <c r="E172" s="13" t="n"/>
      <c r="F172" s="19" t="n"/>
      <c r="G172" s="13" t="n"/>
      <c r="H172" s="19" t="n"/>
      <c r="I172" s="19" t="n"/>
      <c r="J172" s="13" t="n"/>
      <c r="K172" s="9">
        <f>IF(AND(C172&lt;&gt;"",N(D172)&gt;0,I172&lt;&gt;"Cancelado"),D172*IF(N(E172)&gt;0,E172,IFERROR(VLOOKUP(C172,Produtos!$A$4:$O$53,15,0),0))+N(G172),"")</f>
        <v/>
      </c>
      <c r="L172" s="9">
        <f>IF(K172="","",K172*IFERROR(VLOOKUP(H172,Config!$B$15:$C$19,2,0),0))</f>
        <v/>
      </c>
      <c r="M172" s="9">
        <f>IF(K172="","",D172*IFERROR(VLOOKUP(C172,Produtos!$A$4:$I$53,9,0),0))</f>
        <v/>
      </c>
      <c r="N172" s="9">
        <f>IF(K172="","",D172*IFERROR(VLOOKUP(C172,Produtos!$A$4:$J$53,10,0),0))</f>
        <v/>
      </c>
      <c r="O172" s="9">
        <f>IF(OR(K172="",F172=""),IF(K172="","",0),IFERROR(VLOOKUP(F172,Entrega!$A$4:$E$43,5,0),0))</f>
        <v/>
      </c>
      <c r="P172" s="9">
        <f>IF(K172="","",K172-L172-M172-N172-O172)</f>
        <v/>
      </c>
      <c r="Q172" s="9">
        <f>IF(K172="","",IF(I172="Entregue",0,K172-N(J172)))</f>
        <v/>
      </c>
      <c r="R172" s="12">
        <f>IF(ISNUMBER(A172),MONTH(A172),"")</f>
        <v/>
      </c>
      <c r="S172" s="12">
        <f>IF(ISNUMBER(A172),YEAR(A172),"")</f>
        <v/>
      </c>
    </row>
    <row r="173">
      <c r="A173" s="23" t="n"/>
      <c r="B173" s="19" t="n"/>
      <c r="C173" s="19" t="n"/>
      <c r="D173" s="7" t="n"/>
      <c r="E173" s="13" t="n"/>
      <c r="F173" s="19" t="n"/>
      <c r="G173" s="13" t="n"/>
      <c r="H173" s="19" t="n"/>
      <c r="I173" s="19" t="n"/>
      <c r="J173" s="13" t="n"/>
      <c r="K173" s="9">
        <f>IF(AND(C173&lt;&gt;"",N(D173)&gt;0,I173&lt;&gt;"Cancelado"),D173*IF(N(E173)&gt;0,E173,IFERROR(VLOOKUP(C173,Produtos!$A$4:$O$53,15,0),0))+N(G173),"")</f>
        <v/>
      </c>
      <c r="L173" s="9">
        <f>IF(K173="","",K173*IFERROR(VLOOKUP(H173,Config!$B$15:$C$19,2,0),0))</f>
        <v/>
      </c>
      <c r="M173" s="9">
        <f>IF(K173="","",D173*IFERROR(VLOOKUP(C173,Produtos!$A$4:$I$53,9,0),0))</f>
        <v/>
      </c>
      <c r="N173" s="9">
        <f>IF(K173="","",D173*IFERROR(VLOOKUP(C173,Produtos!$A$4:$J$53,10,0),0))</f>
        <v/>
      </c>
      <c r="O173" s="9">
        <f>IF(OR(K173="",F173=""),IF(K173="","",0),IFERROR(VLOOKUP(F173,Entrega!$A$4:$E$43,5,0),0))</f>
        <v/>
      </c>
      <c r="P173" s="9">
        <f>IF(K173="","",K173-L173-M173-N173-O173)</f>
        <v/>
      </c>
      <c r="Q173" s="9">
        <f>IF(K173="","",IF(I173="Entregue",0,K173-N(J173)))</f>
        <v/>
      </c>
      <c r="R173" s="12">
        <f>IF(ISNUMBER(A173),MONTH(A173),"")</f>
        <v/>
      </c>
      <c r="S173" s="12">
        <f>IF(ISNUMBER(A173),YEAR(A173),"")</f>
        <v/>
      </c>
    </row>
    <row r="174">
      <c r="A174" s="23" t="n"/>
      <c r="B174" s="19" t="n"/>
      <c r="C174" s="19" t="n"/>
      <c r="D174" s="7" t="n"/>
      <c r="E174" s="13" t="n"/>
      <c r="F174" s="19" t="n"/>
      <c r="G174" s="13" t="n"/>
      <c r="H174" s="19" t="n"/>
      <c r="I174" s="19" t="n"/>
      <c r="J174" s="13" t="n"/>
      <c r="K174" s="9">
        <f>IF(AND(C174&lt;&gt;"",N(D174)&gt;0,I174&lt;&gt;"Cancelado"),D174*IF(N(E174)&gt;0,E174,IFERROR(VLOOKUP(C174,Produtos!$A$4:$O$53,15,0),0))+N(G174),"")</f>
        <v/>
      </c>
      <c r="L174" s="9">
        <f>IF(K174="","",K174*IFERROR(VLOOKUP(H174,Config!$B$15:$C$19,2,0),0))</f>
        <v/>
      </c>
      <c r="M174" s="9">
        <f>IF(K174="","",D174*IFERROR(VLOOKUP(C174,Produtos!$A$4:$I$53,9,0),0))</f>
        <v/>
      </c>
      <c r="N174" s="9">
        <f>IF(K174="","",D174*IFERROR(VLOOKUP(C174,Produtos!$A$4:$J$53,10,0),0))</f>
        <v/>
      </c>
      <c r="O174" s="9">
        <f>IF(OR(K174="",F174=""),IF(K174="","",0),IFERROR(VLOOKUP(F174,Entrega!$A$4:$E$43,5,0),0))</f>
        <v/>
      </c>
      <c r="P174" s="9">
        <f>IF(K174="","",K174-L174-M174-N174-O174)</f>
        <v/>
      </c>
      <c r="Q174" s="9">
        <f>IF(K174="","",IF(I174="Entregue",0,K174-N(J174)))</f>
        <v/>
      </c>
      <c r="R174" s="12">
        <f>IF(ISNUMBER(A174),MONTH(A174),"")</f>
        <v/>
      </c>
      <c r="S174" s="12">
        <f>IF(ISNUMBER(A174),YEAR(A174),"")</f>
        <v/>
      </c>
    </row>
    <row r="175">
      <c r="A175" s="23" t="n"/>
      <c r="B175" s="19" t="n"/>
      <c r="C175" s="19" t="n"/>
      <c r="D175" s="7" t="n"/>
      <c r="E175" s="13" t="n"/>
      <c r="F175" s="19" t="n"/>
      <c r="G175" s="13" t="n"/>
      <c r="H175" s="19" t="n"/>
      <c r="I175" s="19" t="n"/>
      <c r="J175" s="13" t="n"/>
      <c r="K175" s="9">
        <f>IF(AND(C175&lt;&gt;"",N(D175)&gt;0,I175&lt;&gt;"Cancelado"),D175*IF(N(E175)&gt;0,E175,IFERROR(VLOOKUP(C175,Produtos!$A$4:$O$53,15,0),0))+N(G175),"")</f>
        <v/>
      </c>
      <c r="L175" s="9">
        <f>IF(K175="","",K175*IFERROR(VLOOKUP(H175,Config!$B$15:$C$19,2,0),0))</f>
        <v/>
      </c>
      <c r="M175" s="9">
        <f>IF(K175="","",D175*IFERROR(VLOOKUP(C175,Produtos!$A$4:$I$53,9,0),0))</f>
        <v/>
      </c>
      <c r="N175" s="9">
        <f>IF(K175="","",D175*IFERROR(VLOOKUP(C175,Produtos!$A$4:$J$53,10,0),0))</f>
        <v/>
      </c>
      <c r="O175" s="9">
        <f>IF(OR(K175="",F175=""),IF(K175="","",0),IFERROR(VLOOKUP(F175,Entrega!$A$4:$E$43,5,0),0))</f>
        <v/>
      </c>
      <c r="P175" s="9">
        <f>IF(K175="","",K175-L175-M175-N175-O175)</f>
        <v/>
      </c>
      <c r="Q175" s="9">
        <f>IF(K175="","",IF(I175="Entregue",0,K175-N(J175)))</f>
        <v/>
      </c>
      <c r="R175" s="12">
        <f>IF(ISNUMBER(A175),MONTH(A175),"")</f>
        <v/>
      </c>
      <c r="S175" s="12">
        <f>IF(ISNUMBER(A175),YEAR(A175),"")</f>
        <v/>
      </c>
    </row>
    <row r="176">
      <c r="A176" s="23" t="n"/>
      <c r="B176" s="19" t="n"/>
      <c r="C176" s="19" t="n"/>
      <c r="D176" s="7" t="n"/>
      <c r="E176" s="13" t="n"/>
      <c r="F176" s="19" t="n"/>
      <c r="G176" s="13" t="n"/>
      <c r="H176" s="19" t="n"/>
      <c r="I176" s="19" t="n"/>
      <c r="J176" s="13" t="n"/>
      <c r="K176" s="9">
        <f>IF(AND(C176&lt;&gt;"",N(D176)&gt;0,I176&lt;&gt;"Cancelado"),D176*IF(N(E176)&gt;0,E176,IFERROR(VLOOKUP(C176,Produtos!$A$4:$O$53,15,0),0))+N(G176),"")</f>
        <v/>
      </c>
      <c r="L176" s="9">
        <f>IF(K176="","",K176*IFERROR(VLOOKUP(H176,Config!$B$15:$C$19,2,0),0))</f>
        <v/>
      </c>
      <c r="M176" s="9">
        <f>IF(K176="","",D176*IFERROR(VLOOKUP(C176,Produtos!$A$4:$I$53,9,0),0))</f>
        <v/>
      </c>
      <c r="N176" s="9">
        <f>IF(K176="","",D176*IFERROR(VLOOKUP(C176,Produtos!$A$4:$J$53,10,0),0))</f>
        <v/>
      </c>
      <c r="O176" s="9">
        <f>IF(OR(K176="",F176=""),IF(K176="","",0),IFERROR(VLOOKUP(F176,Entrega!$A$4:$E$43,5,0),0))</f>
        <v/>
      </c>
      <c r="P176" s="9">
        <f>IF(K176="","",K176-L176-M176-N176-O176)</f>
        <v/>
      </c>
      <c r="Q176" s="9">
        <f>IF(K176="","",IF(I176="Entregue",0,K176-N(J176)))</f>
        <v/>
      </c>
      <c r="R176" s="12">
        <f>IF(ISNUMBER(A176),MONTH(A176),"")</f>
        <v/>
      </c>
      <c r="S176" s="12">
        <f>IF(ISNUMBER(A176),YEAR(A176),"")</f>
        <v/>
      </c>
    </row>
    <row r="177">
      <c r="A177" s="23" t="n"/>
      <c r="B177" s="19" t="n"/>
      <c r="C177" s="19" t="n"/>
      <c r="D177" s="7" t="n"/>
      <c r="E177" s="13" t="n"/>
      <c r="F177" s="19" t="n"/>
      <c r="G177" s="13" t="n"/>
      <c r="H177" s="19" t="n"/>
      <c r="I177" s="19" t="n"/>
      <c r="J177" s="13" t="n"/>
      <c r="K177" s="9">
        <f>IF(AND(C177&lt;&gt;"",N(D177)&gt;0,I177&lt;&gt;"Cancelado"),D177*IF(N(E177)&gt;0,E177,IFERROR(VLOOKUP(C177,Produtos!$A$4:$O$53,15,0),0))+N(G177),"")</f>
        <v/>
      </c>
      <c r="L177" s="9">
        <f>IF(K177="","",K177*IFERROR(VLOOKUP(H177,Config!$B$15:$C$19,2,0),0))</f>
        <v/>
      </c>
      <c r="M177" s="9">
        <f>IF(K177="","",D177*IFERROR(VLOOKUP(C177,Produtos!$A$4:$I$53,9,0),0))</f>
        <v/>
      </c>
      <c r="N177" s="9">
        <f>IF(K177="","",D177*IFERROR(VLOOKUP(C177,Produtos!$A$4:$J$53,10,0),0))</f>
        <v/>
      </c>
      <c r="O177" s="9">
        <f>IF(OR(K177="",F177=""),IF(K177="","",0),IFERROR(VLOOKUP(F177,Entrega!$A$4:$E$43,5,0),0))</f>
        <v/>
      </c>
      <c r="P177" s="9">
        <f>IF(K177="","",K177-L177-M177-N177-O177)</f>
        <v/>
      </c>
      <c r="Q177" s="9">
        <f>IF(K177="","",IF(I177="Entregue",0,K177-N(J177)))</f>
        <v/>
      </c>
      <c r="R177" s="12">
        <f>IF(ISNUMBER(A177),MONTH(A177),"")</f>
        <v/>
      </c>
      <c r="S177" s="12">
        <f>IF(ISNUMBER(A177),YEAR(A177),"")</f>
        <v/>
      </c>
    </row>
    <row r="178">
      <c r="A178" s="23" t="n"/>
      <c r="B178" s="19" t="n"/>
      <c r="C178" s="19" t="n"/>
      <c r="D178" s="7" t="n"/>
      <c r="E178" s="13" t="n"/>
      <c r="F178" s="19" t="n"/>
      <c r="G178" s="13" t="n"/>
      <c r="H178" s="19" t="n"/>
      <c r="I178" s="19" t="n"/>
      <c r="J178" s="13" t="n"/>
      <c r="K178" s="9">
        <f>IF(AND(C178&lt;&gt;"",N(D178)&gt;0,I178&lt;&gt;"Cancelado"),D178*IF(N(E178)&gt;0,E178,IFERROR(VLOOKUP(C178,Produtos!$A$4:$O$53,15,0),0))+N(G178),"")</f>
        <v/>
      </c>
      <c r="L178" s="9">
        <f>IF(K178="","",K178*IFERROR(VLOOKUP(H178,Config!$B$15:$C$19,2,0),0))</f>
        <v/>
      </c>
      <c r="M178" s="9">
        <f>IF(K178="","",D178*IFERROR(VLOOKUP(C178,Produtos!$A$4:$I$53,9,0),0))</f>
        <v/>
      </c>
      <c r="N178" s="9">
        <f>IF(K178="","",D178*IFERROR(VLOOKUP(C178,Produtos!$A$4:$J$53,10,0),0))</f>
        <v/>
      </c>
      <c r="O178" s="9">
        <f>IF(OR(K178="",F178=""),IF(K178="","",0),IFERROR(VLOOKUP(F178,Entrega!$A$4:$E$43,5,0),0))</f>
        <v/>
      </c>
      <c r="P178" s="9">
        <f>IF(K178="","",K178-L178-M178-N178-O178)</f>
        <v/>
      </c>
      <c r="Q178" s="9">
        <f>IF(K178="","",IF(I178="Entregue",0,K178-N(J178)))</f>
        <v/>
      </c>
      <c r="R178" s="12">
        <f>IF(ISNUMBER(A178),MONTH(A178),"")</f>
        <v/>
      </c>
      <c r="S178" s="12">
        <f>IF(ISNUMBER(A178),YEAR(A178),"")</f>
        <v/>
      </c>
    </row>
    <row r="179">
      <c r="A179" s="23" t="n"/>
      <c r="B179" s="19" t="n"/>
      <c r="C179" s="19" t="n"/>
      <c r="D179" s="7" t="n"/>
      <c r="E179" s="13" t="n"/>
      <c r="F179" s="19" t="n"/>
      <c r="G179" s="13" t="n"/>
      <c r="H179" s="19" t="n"/>
      <c r="I179" s="19" t="n"/>
      <c r="J179" s="13" t="n"/>
      <c r="K179" s="9">
        <f>IF(AND(C179&lt;&gt;"",N(D179)&gt;0,I179&lt;&gt;"Cancelado"),D179*IF(N(E179)&gt;0,E179,IFERROR(VLOOKUP(C179,Produtos!$A$4:$O$53,15,0),0))+N(G179),"")</f>
        <v/>
      </c>
      <c r="L179" s="9">
        <f>IF(K179="","",K179*IFERROR(VLOOKUP(H179,Config!$B$15:$C$19,2,0),0))</f>
        <v/>
      </c>
      <c r="M179" s="9">
        <f>IF(K179="","",D179*IFERROR(VLOOKUP(C179,Produtos!$A$4:$I$53,9,0),0))</f>
        <v/>
      </c>
      <c r="N179" s="9">
        <f>IF(K179="","",D179*IFERROR(VLOOKUP(C179,Produtos!$A$4:$J$53,10,0),0))</f>
        <v/>
      </c>
      <c r="O179" s="9">
        <f>IF(OR(K179="",F179=""),IF(K179="","",0),IFERROR(VLOOKUP(F179,Entrega!$A$4:$E$43,5,0),0))</f>
        <v/>
      </c>
      <c r="P179" s="9">
        <f>IF(K179="","",K179-L179-M179-N179-O179)</f>
        <v/>
      </c>
      <c r="Q179" s="9">
        <f>IF(K179="","",IF(I179="Entregue",0,K179-N(J179)))</f>
        <v/>
      </c>
      <c r="R179" s="12">
        <f>IF(ISNUMBER(A179),MONTH(A179),"")</f>
        <v/>
      </c>
      <c r="S179" s="12">
        <f>IF(ISNUMBER(A179),YEAR(A179),"")</f>
        <v/>
      </c>
    </row>
    <row r="180">
      <c r="A180" s="23" t="n"/>
      <c r="B180" s="19" t="n"/>
      <c r="C180" s="19" t="n"/>
      <c r="D180" s="7" t="n"/>
      <c r="E180" s="13" t="n"/>
      <c r="F180" s="19" t="n"/>
      <c r="G180" s="13" t="n"/>
      <c r="H180" s="19" t="n"/>
      <c r="I180" s="19" t="n"/>
      <c r="J180" s="13" t="n"/>
      <c r="K180" s="9">
        <f>IF(AND(C180&lt;&gt;"",N(D180)&gt;0,I180&lt;&gt;"Cancelado"),D180*IF(N(E180)&gt;0,E180,IFERROR(VLOOKUP(C180,Produtos!$A$4:$O$53,15,0),0))+N(G180),"")</f>
        <v/>
      </c>
      <c r="L180" s="9">
        <f>IF(K180="","",K180*IFERROR(VLOOKUP(H180,Config!$B$15:$C$19,2,0),0))</f>
        <v/>
      </c>
      <c r="M180" s="9">
        <f>IF(K180="","",D180*IFERROR(VLOOKUP(C180,Produtos!$A$4:$I$53,9,0),0))</f>
        <v/>
      </c>
      <c r="N180" s="9">
        <f>IF(K180="","",D180*IFERROR(VLOOKUP(C180,Produtos!$A$4:$J$53,10,0),0))</f>
        <v/>
      </c>
      <c r="O180" s="9">
        <f>IF(OR(K180="",F180=""),IF(K180="","",0),IFERROR(VLOOKUP(F180,Entrega!$A$4:$E$43,5,0),0))</f>
        <v/>
      </c>
      <c r="P180" s="9">
        <f>IF(K180="","",K180-L180-M180-N180-O180)</f>
        <v/>
      </c>
      <c r="Q180" s="9">
        <f>IF(K180="","",IF(I180="Entregue",0,K180-N(J180)))</f>
        <v/>
      </c>
      <c r="R180" s="12">
        <f>IF(ISNUMBER(A180),MONTH(A180),"")</f>
        <v/>
      </c>
      <c r="S180" s="12">
        <f>IF(ISNUMBER(A180),YEAR(A180),"")</f>
        <v/>
      </c>
    </row>
    <row r="181">
      <c r="A181" s="23" t="n"/>
      <c r="B181" s="19" t="n"/>
      <c r="C181" s="19" t="n"/>
      <c r="D181" s="7" t="n"/>
      <c r="E181" s="13" t="n"/>
      <c r="F181" s="19" t="n"/>
      <c r="G181" s="13" t="n"/>
      <c r="H181" s="19" t="n"/>
      <c r="I181" s="19" t="n"/>
      <c r="J181" s="13" t="n"/>
      <c r="K181" s="9">
        <f>IF(AND(C181&lt;&gt;"",N(D181)&gt;0,I181&lt;&gt;"Cancelado"),D181*IF(N(E181)&gt;0,E181,IFERROR(VLOOKUP(C181,Produtos!$A$4:$O$53,15,0),0))+N(G181),"")</f>
        <v/>
      </c>
      <c r="L181" s="9">
        <f>IF(K181="","",K181*IFERROR(VLOOKUP(H181,Config!$B$15:$C$19,2,0),0))</f>
        <v/>
      </c>
      <c r="M181" s="9">
        <f>IF(K181="","",D181*IFERROR(VLOOKUP(C181,Produtos!$A$4:$I$53,9,0),0))</f>
        <v/>
      </c>
      <c r="N181" s="9">
        <f>IF(K181="","",D181*IFERROR(VLOOKUP(C181,Produtos!$A$4:$J$53,10,0),0))</f>
        <v/>
      </c>
      <c r="O181" s="9">
        <f>IF(OR(K181="",F181=""),IF(K181="","",0),IFERROR(VLOOKUP(F181,Entrega!$A$4:$E$43,5,0),0))</f>
        <v/>
      </c>
      <c r="P181" s="9">
        <f>IF(K181="","",K181-L181-M181-N181-O181)</f>
        <v/>
      </c>
      <c r="Q181" s="9">
        <f>IF(K181="","",IF(I181="Entregue",0,K181-N(J181)))</f>
        <v/>
      </c>
      <c r="R181" s="12">
        <f>IF(ISNUMBER(A181),MONTH(A181),"")</f>
        <v/>
      </c>
      <c r="S181" s="12">
        <f>IF(ISNUMBER(A181),YEAR(A181),"")</f>
        <v/>
      </c>
    </row>
    <row r="182">
      <c r="A182" s="23" t="n"/>
      <c r="B182" s="19" t="n"/>
      <c r="C182" s="19" t="n"/>
      <c r="D182" s="7" t="n"/>
      <c r="E182" s="13" t="n"/>
      <c r="F182" s="19" t="n"/>
      <c r="G182" s="13" t="n"/>
      <c r="H182" s="19" t="n"/>
      <c r="I182" s="19" t="n"/>
      <c r="J182" s="13" t="n"/>
      <c r="K182" s="9">
        <f>IF(AND(C182&lt;&gt;"",N(D182)&gt;0,I182&lt;&gt;"Cancelado"),D182*IF(N(E182)&gt;0,E182,IFERROR(VLOOKUP(C182,Produtos!$A$4:$O$53,15,0),0))+N(G182),"")</f>
        <v/>
      </c>
      <c r="L182" s="9">
        <f>IF(K182="","",K182*IFERROR(VLOOKUP(H182,Config!$B$15:$C$19,2,0),0))</f>
        <v/>
      </c>
      <c r="M182" s="9">
        <f>IF(K182="","",D182*IFERROR(VLOOKUP(C182,Produtos!$A$4:$I$53,9,0),0))</f>
        <v/>
      </c>
      <c r="N182" s="9">
        <f>IF(K182="","",D182*IFERROR(VLOOKUP(C182,Produtos!$A$4:$J$53,10,0),0))</f>
        <v/>
      </c>
      <c r="O182" s="9">
        <f>IF(OR(K182="",F182=""),IF(K182="","",0),IFERROR(VLOOKUP(F182,Entrega!$A$4:$E$43,5,0),0))</f>
        <v/>
      </c>
      <c r="P182" s="9">
        <f>IF(K182="","",K182-L182-M182-N182-O182)</f>
        <v/>
      </c>
      <c r="Q182" s="9">
        <f>IF(K182="","",IF(I182="Entregue",0,K182-N(J182)))</f>
        <v/>
      </c>
      <c r="R182" s="12">
        <f>IF(ISNUMBER(A182),MONTH(A182),"")</f>
        <v/>
      </c>
      <c r="S182" s="12">
        <f>IF(ISNUMBER(A182),YEAR(A182),"")</f>
        <v/>
      </c>
    </row>
    <row r="183">
      <c r="A183" s="23" t="n"/>
      <c r="B183" s="19" t="n"/>
      <c r="C183" s="19" t="n"/>
      <c r="D183" s="7" t="n"/>
      <c r="E183" s="13" t="n"/>
      <c r="F183" s="19" t="n"/>
      <c r="G183" s="13" t="n"/>
      <c r="H183" s="19" t="n"/>
      <c r="I183" s="19" t="n"/>
      <c r="J183" s="13" t="n"/>
      <c r="K183" s="9">
        <f>IF(AND(C183&lt;&gt;"",N(D183)&gt;0,I183&lt;&gt;"Cancelado"),D183*IF(N(E183)&gt;0,E183,IFERROR(VLOOKUP(C183,Produtos!$A$4:$O$53,15,0),0))+N(G183),"")</f>
        <v/>
      </c>
      <c r="L183" s="9">
        <f>IF(K183="","",K183*IFERROR(VLOOKUP(H183,Config!$B$15:$C$19,2,0),0))</f>
        <v/>
      </c>
      <c r="M183" s="9">
        <f>IF(K183="","",D183*IFERROR(VLOOKUP(C183,Produtos!$A$4:$I$53,9,0),0))</f>
        <v/>
      </c>
      <c r="N183" s="9">
        <f>IF(K183="","",D183*IFERROR(VLOOKUP(C183,Produtos!$A$4:$J$53,10,0),0))</f>
        <v/>
      </c>
      <c r="O183" s="9">
        <f>IF(OR(K183="",F183=""),IF(K183="","",0),IFERROR(VLOOKUP(F183,Entrega!$A$4:$E$43,5,0),0))</f>
        <v/>
      </c>
      <c r="P183" s="9">
        <f>IF(K183="","",K183-L183-M183-N183-O183)</f>
        <v/>
      </c>
      <c r="Q183" s="9">
        <f>IF(K183="","",IF(I183="Entregue",0,K183-N(J183)))</f>
        <v/>
      </c>
      <c r="R183" s="12">
        <f>IF(ISNUMBER(A183),MONTH(A183),"")</f>
        <v/>
      </c>
      <c r="S183" s="12">
        <f>IF(ISNUMBER(A183),YEAR(A183),"")</f>
        <v/>
      </c>
    </row>
    <row r="184">
      <c r="A184" s="23" t="n"/>
      <c r="B184" s="19" t="n"/>
      <c r="C184" s="19" t="n"/>
      <c r="D184" s="7" t="n"/>
      <c r="E184" s="13" t="n"/>
      <c r="F184" s="19" t="n"/>
      <c r="G184" s="13" t="n"/>
      <c r="H184" s="19" t="n"/>
      <c r="I184" s="19" t="n"/>
      <c r="J184" s="13" t="n"/>
      <c r="K184" s="9">
        <f>IF(AND(C184&lt;&gt;"",N(D184)&gt;0,I184&lt;&gt;"Cancelado"),D184*IF(N(E184)&gt;0,E184,IFERROR(VLOOKUP(C184,Produtos!$A$4:$O$53,15,0),0))+N(G184),"")</f>
        <v/>
      </c>
      <c r="L184" s="9">
        <f>IF(K184="","",K184*IFERROR(VLOOKUP(H184,Config!$B$15:$C$19,2,0),0))</f>
        <v/>
      </c>
      <c r="M184" s="9">
        <f>IF(K184="","",D184*IFERROR(VLOOKUP(C184,Produtos!$A$4:$I$53,9,0),0))</f>
        <v/>
      </c>
      <c r="N184" s="9">
        <f>IF(K184="","",D184*IFERROR(VLOOKUP(C184,Produtos!$A$4:$J$53,10,0),0))</f>
        <v/>
      </c>
      <c r="O184" s="9">
        <f>IF(OR(K184="",F184=""),IF(K184="","",0),IFERROR(VLOOKUP(F184,Entrega!$A$4:$E$43,5,0),0))</f>
        <v/>
      </c>
      <c r="P184" s="9">
        <f>IF(K184="","",K184-L184-M184-N184-O184)</f>
        <v/>
      </c>
      <c r="Q184" s="9">
        <f>IF(K184="","",IF(I184="Entregue",0,K184-N(J184)))</f>
        <v/>
      </c>
      <c r="R184" s="12">
        <f>IF(ISNUMBER(A184),MONTH(A184),"")</f>
        <v/>
      </c>
      <c r="S184" s="12">
        <f>IF(ISNUMBER(A184),YEAR(A184),"")</f>
        <v/>
      </c>
    </row>
    <row r="185">
      <c r="A185" s="23" t="n"/>
      <c r="B185" s="19" t="n"/>
      <c r="C185" s="19" t="n"/>
      <c r="D185" s="7" t="n"/>
      <c r="E185" s="13" t="n"/>
      <c r="F185" s="19" t="n"/>
      <c r="G185" s="13" t="n"/>
      <c r="H185" s="19" t="n"/>
      <c r="I185" s="19" t="n"/>
      <c r="J185" s="13" t="n"/>
      <c r="K185" s="9">
        <f>IF(AND(C185&lt;&gt;"",N(D185)&gt;0,I185&lt;&gt;"Cancelado"),D185*IF(N(E185)&gt;0,E185,IFERROR(VLOOKUP(C185,Produtos!$A$4:$O$53,15,0),0))+N(G185),"")</f>
        <v/>
      </c>
      <c r="L185" s="9">
        <f>IF(K185="","",K185*IFERROR(VLOOKUP(H185,Config!$B$15:$C$19,2,0),0))</f>
        <v/>
      </c>
      <c r="M185" s="9">
        <f>IF(K185="","",D185*IFERROR(VLOOKUP(C185,Produtos!$A$4:$I$53,9,0),0))</f>
        <v/>
      </c>
      <c r="N185" s="9">
        <f>IF(K185="","",D185*IFERROR(VLOOKUP(C185,Produtos!$A$4:$J$53,10,0),0))</f>
        <v/>
      </c>
      <c r="O185" s="9">
        <f>IF(OR(K185="",F185=""),IF(K185="","",0),IFERROR(VLOOKUP(F185,Entrega!$A$4:$E$43,5,0),0))</f>
        <v/>
      </c>
      <c r="P185" s="9">
        <f>IF(K185="","",K185-L185-M185-N185-O185)</f>
        <v/>
      </c>
      <c r="Q185" s="9">
        <f>IF(K185="","",IF(I185="Entregue",0,K185-N(J185)))</f>
        <v/>
      </c>
      <c r="R185" s="12">
        <f>IF(ISNUMBER(A185),MONTH(A185),"")</f>
        <v/>
      </c>
      <c r="S185" s="12">
        <f>IF(ISNUMBER(A185),YEAR(A185),"")</f>
        <v/>
      </c>
    </row>
    <row r="186">
      <c r="A186" s="23" t="n"/>
      <c r="B186" s="19" t="n"/>
      <c r="C186" s="19" t="n"/>
      <c r="D186" s="7" t="n"/>
      <c r="E186" s="13" t="n"/>
      <c r="F186" s="19" t="n"/>
      <c r="G186" s="13" t="n"/>
      <c r="H186" s="19" t="n"/>
      <c r="I186" s="19" t="n"/>
      <c r="J186" s="13" t="n"/>
      <c r="K186" s="9">
        <f>IF(AND(C186&lt;&gt;"",N(D186)&gt;0,I186&lt;&gt;"Cancelado"),D186*IF(N(E186)&gt;0,E186,IFERROR(VLOOKUP(C186,Produtos!$A$4:$O$53,15,0),0))+N(G186),"")</f>
        <v/>
      </c>
      <c r="L186" s="9">
        <f>IF(K186="","",K186*IFERROR(VLOOKUP(H186,Config!$B$15:$C$19,2,0),0))</f>
        <v/>
      </c>
      <c r="M186" s="9">
        <f>IF(K186="","",D186*IFERROR(VLOOKUP(C186,Produtos!$A$4:$I$53,9,0),0))</f>
        <v/>
      </c>
      <c r="N186" s="9">
        <f>IF(K186="","",D186*IFERROR(VLOOKUP(C186,Produtos!$A$4:$J$53,10,0),0))</f>
        <v/>
      </c>
      <c r="O186" s="9">
        <f>IF(OR(K186="",F186=""),IF(K186="","",0),IFERROR(VLOOKUP(F186,Entrega!$A$4:$E$43,5,0),0))</f>
        <v/>
      </c>
      <c r="P186" s="9">
        <f>IF(K186="","",K186-L186-M186-N186-O186)</f>
        <v/>
      </c>
      <c r="Q186" s="9">
        <f>IF(K186="","",IF(I186="Entregue",0,K186-N(J186)))</f>
        <v/>
      </c>
      <c r="R186" s="12">
        <f>IF(ISNUMBER(A186),MONTH(A186),"")</f>
        <v/>
      </c>
      <c r="S186" s="12">
        <f>IF(ISNUMBER(A186),YEAR(A186),"")</f>
        <v/>
      </c>
    </row>
    <row r="187">
      <c r="A187" s="23" t="n"/>
      <c r="B187" s="19" t="n"/>
      <c r="C187" s="19" t="n"/>
      <c r="D187" s="7" t="n"/>
      <c r="E187" s="13" t="n"/>
      <c r="F187" s="19" t="n"/>
      <c r="G187" s="13" t="n"/>
      <c r="H187" s="19" t="n"/>
      <c r="I187" s="19" t="n"/>
      <c r="J187" s="13" t="n"/>
      <c r="K187" s="9">
        <f>IF(AND(C187&lt;&gt;"",N(D187)&gt;0,I187&lt;&gt;"Cancelado"),D187*IF(N(E187)&gt;0,E187,IFERROR(VLOOKUP(C187,Produtos!$A$4:$O$53,15,0),0))+N(G187),"")</f>
        <v/>
      </c>
      <c r="L187" s="9">
        <f>IF(K187="","",K187*IFERROR(VLOOKUP(H187,Config!$B$15:$C$19,2,0),0))</f>
        <v/>
      </c>
      <c r="M187" s="9">
        <f>IF(K187="","",D187*IFERROR(VLOOKUP(C187,Produtos!$A$4:$I$53,9,0),0))</f>
        <v/>
      </c>
      <c r="N187" s="9">
        <f>IF(K187="","",D187*IFERROR(VLOOKUP(C187,Produtos!$A$4:$J$53,10,0),0))</f>
        <v/>
      </c>
      <c r="O187" s="9">
        <f>IF(OR(K187="",F187=""),IF(K187="","",0),IFERROR(VLOOKUP(F187,Entrega!$A$4:$E$43,5,0),0))</f>
        <v/>
      </c>
      <c r="P187" s="9">
        <f>IF(K187="","",K187-L187-M187-N187-O187)</f>
        <v/>
      </c>
      <c r="Q187" s="9">
        <f>IF(K187="","",IF(I187="Entregue",0,K187-N(J187)))</f>
        <v/>
      </c>
      <c r="R187" s="12">
        <f>IF(ISNUMBER(A187),MONTH(A187),"")</f>
        <v/>
      </c>
      <c r="S187" s="12">
        <f>IF(ISNUMBER(A187),YEAR(A187),"")</f>
        <v/>
      </c>
    </row>
    <row r="188">
      <c r="A188" s="23" t="n"/>
      <c r="B188" s="19" t="n"/>
      <c r="C188" s="19" t="n"/>
      <c r="D188" s="7" t="n"/>
      <c r="E188" s="13" t="n"/>
      <c r="F188" s="19" t="n"/>
      <c r="G188" s="13" t="n"/>
      <c r="H188" s="19" t="n"/>
      <c r="I188" s="19" t="n"/>
      <c r="J188" s="13" t="n"/>
      <c r="K188" s="9">
        <f>IF(AND(C188&lt;&gt;"",N(D188)&gt;0,I188&lt;&gt;"Cancelado"),D188*IF(N(E188)&gt;0,E188,IFERROR(VLOOKUP(C188,Produtos!$A$4:$O$53,15,0),0))+N(G188),"")</f>
        <v/>
      </c>
      <c r="L188" s="9">
        <f>IF(K188="","",K188*IFERROR(VLOOKUP(H188,Config!$B$15:$C$19,2,0),0))</f>
        <v/>
      </c>
      <c r="M188" s="9">
        <f>IF(K188="","",D188*IFERROR(VLOOKUP(C188,Produtos!$A$4:$I$53,9,0),0))</f>
        <v/>
      </c>
      <c r="N188" s="9">
        <f>IF(K188="","",D188*IFERROR(VLOOKUP(C188,Produtos!$A$4:$J$53,10,0),0))</f>
        <v/>
      </c>
      <c r="O188" s="9">
        <f>IF(OR(K188="",F188=""),IF(K188="","",0),IFERROR(VLOOKUP(F188,Entrega!$A$4:$E$43,5,0),0))</f>
        <v/>
      </c>
      <c r="P188" s="9">
        <f>IF(K188="","",K188-L188-M188-N188-O188)</f>
        <v/>
      </c>
      <c r="Q188" s="9">
        <f>IF(K188="","",IF(I188="Entregue",0,K188-N(J188)))</f>
        <v/>
      </c>
      <c r="R188" s="12">
        <f>IF(ISNUMBER(A188),MONTH(A188),"")</f>
        <v/>
      </c>
      <c r="S188" s="12">
        <f>IF(ISNUMBER(A188),YEAR(A188),"")</f>
        <v/>
      </c>
    </row>
    <row r="189">
      <c r="A189" s="23" t="n"/>
      <c r="B189" s="19" t="n"/>
      <c r="C189" s="19" t="n"/>
      <c r="D189" s="7" t="n"/>
      <c r="E189" s="13" t="n"/>
      <c r="F189" s="19" t="n"/>
      <c r="G189" s="13" t="n"/>
      <c r="H189" s="19" t="n"/>
      <c r="I189" s="19" t="n"/>
      <c r="J189" s="13" t="n"/>
      <c r="K189" s="9">
        <f>IF(AND(C189&lt;&gt;"",N(D189)&gt;0,I189&lt;&gt;"Cancelado"),D189*IF(N(E189)&gt;0,E189,IFERROR(VLOOKUP(C189,Produtos!$A$4:$O$53,15,0),0))+N(G189),"")</f>
        <v/>
      </c>
      <c r="L189" s="9">
        <f>IF(K189="","",K189*IFERROR(VLOOKUP(H189,Config!$B$15:$C$19,2,0),0))</f>
        <v/>
      </c>
      <c r="M189" s="9">
        <f>IF(K189="","",D189*IFERROR(VLOOKUP(C189,Produtos!$A$4:$I$53,9,0),0))</f>
        <v/>
      </c>
      <c r="N189" s="9">
        <f>IF(K189="","",D189*IFERROR(VLOOKUP(C189,Produtos!$A$4:$J$53,10,0),0))</f>
        <v/>
      </c>
      <c r="O189" s="9">
        <f>IF(OR(K189="",F189=""),IF(K189="","",0),IFERROR(VLOOKUP(F189,Entrega!$A$4:$E$43,5,0),0))</f>
        <v/>
      </c>
      <c r="P189" s="9">
        <f>IF(K189="","",K189-L189-M189-N189-O189)</f>
        <v/>
      </c>
      <c r="Q189" s="9">
        <f>IF(K189="","",IF(I189="Entregue",0,K189-N(J189)))</f>
        <v/>
      </c>
      <c r="R189" s="12">
        <f>IF(ISNUMBER(A189),MONTH(A189),"")</f>
        <v/>
      </c>
      <c r="S189" s="12">
        <f>IF(ISNUMBER(A189),YEAR(A189),"")</f>
        <v/>
      </c>
    </row>
    <row r="190">
      <c r="A190" s="23" t="n"/>
      <c r="B190" s="19" t="n"/>
      <c r="C190" s="19" t="n"/>
      <c r="D190" s="7" t="n"/>
      <c r="E190" s="13" t="n"/>
      <c r="F190" s="19" t="n"/>
      <c r="G190" s="13" t="n"/>
      <c r="H190" s="19" t="n"/>
      <c r="I190" s="19" t="n"/>
      <c r="J190" s="13" t="n"/>
      <c r="K190" s="9">
        <f>IF(AND(C190&lt;&gt;"",N(D190)&gt;0,I190&lt;&gt;"Cancelado"),D190*IF(N(E190)&gt;0,E190,IFERROR(VLOOKUP(C190,Produtos!$A$4:$O$53,15,0),0))+N(G190),"")</f>
        <v/>
      </c>
      <c r="L190" s="9">
        <f>IF(K190="","",K190*IFERROR(VLOOKUP(H190,Config!$B$15:$C$19,2,0),0))</f>
        <v/>
      </c>
      <c r="M190" s="9">
        <f>IF(K190="","",D190*IFERROR(VLOOKUP(C190,Produtos!$A$4:$I$53,9,0),0))</f>
        <v/>
      </c>
      <c r="N190" s="9">
        <f>IF(K190="","",D190*IFERROR(VLOOKUP(C190,Produtos!$A$4:$J$53,10,0),0))</f>
        <v/>
      </c>
      <c r="O190" s="9">
        <f>IF(OR(K190="",F190=""),IF(K190="","",0),IFERROR(VLOOKUP(F190,Entrega!$A$4:$E$43,5,0),0))</f>
        <v/>
      </c>
      <c r="P190" s="9">
        <f>IF(K190="","",K190-L190-M190-N190-O190)</f>
        <v/>
      </c>
      <c r="Q190" s="9">
        <f>IF(K190="","",IF(I190="Entregue",0,K190-N(J190)))</f>
        <v/>
      </c>
      <c r="R190" s="12">
        <f>IF(ISNUMBER(A190),MONTH(A190),"")</f>
        <v/>
      </c>
      <c r="S190" s="12">
        <f>IF(ISNUMBER(A190),YEAR(A190),"")</f>
        <v/>
      </c>
    </row>
    <row r="191">
      <c r="A191" s="23" t="n"/>
      <c r="B191" s="19" t="n"/>
      <c r="C191" s="19" t="n"/>
      <c r="D191" s="7" t="n"/>
      <c r="E191" s="13" t="n"/>
      <c r="F191" s="19" t="n"/>
      <c r="G191" s="13" t="n"/>
      <c r="H191" s="19" t="n"/>
      <c r="I191" s="19" t="n"/>
      <c r="J191" s="13" t="n"/>
      <c r="K191" s="9">
        <f>IF(AND(C191&lt;&gt;"",N(D191)&gt;0,I191&lt;&gt;"Cancelado"),D191*IF(N(E191)&gt;0,E191,IFERROR(VLOOKUP(C191,Produtos!$A$4:$O$53,15,0),0))+N(G191),"")</f>
        <v/>
      </c>
      <c r="L191" s="9">
        <f>IF(K191="","",K191*IFERROR(VLOOKUP(H191,Config!$B$15:$C$19,2,0),0))</f>
        <v/>
      </c>
      <c r="M191" s="9">
        <f>IF(K191="","",D191*IFERROR(VLOOKUP(C191,Produtos!$A$4:$I$53,9,0),0))</f>
        <v/>
      </c>
      <c r="N191" s="9">
        <f>IF(K191="","",D191*IFERROR(VLOOKUP(C191,Produtos!$A$4:$J$53,10,0),0))</f>
        <v/>
      </c>
      <c r="O191" s="9">
        <f>IF(OR(K191="",F191=""),IF(K191="","",0),IFERROR(VLOOKUP(F191,Entrega!$A$4:$E$43,5,0),0))</f>
        <v/>
      </c>
      <c r="P191" s="9">
        <f>IF(K191="","",K191-L191-M191-N191-O191)</f>
        <v/>
      </c>
      <c r="Q191" s="9">
        <f>IF(K191="","",IF(I191="Entregue",0,K191-N(J191)))</f>
        <v/>
      </c>
      <c r="R191" s="12">
        <f>IF(ISNUMBER(A191),MONTH(A191),"")</f>
        <v/>
      </c>
      <c r="S191" s="12">
        <f>IF(ISNUMBER(A191),YEAR(A191),"")</f>
        <v/>
      </c>
    </row>
    <row r="192">
      <c r="A192" s="23" t="n"/>
      <c r="B192" s="19" t="n"/>
      <c r="C192" s="19" t="n"/>
      <c r="D192" s="7" t="n"/>
      <c r="E192" s="13" t="n"/>
      <c r="F192" s="19" t="n"/>
      <c r="G192" s="13" t="n"/>
      <c r="H192" s="19" t="n"/>
      <c r="I192" s="19" t="n"/>
      <c r="J192" s="13" t="n"/>
      <c r="K192" s="9">
        <f>IF(AND(C192&lt;&gt;"",N(D192)&gt;0,I192&lt;&gt;"Cancelado"),D192*IF(N(E192)&gt;0,E192,IFERROR(VLOOKUP(C192,Produtos!$A$4:$O$53,15,0),0))+N(G192),"")</f>
        <v/>
      </c>
      <c r="L192" s="9">
        <f>IF(K192="","",K192*IFERROR(VLOOKUP(H192,Config!$B$15:$C$19,2,0),0))</f>
        <v/>
      </c>
      <c r="M192" s="9">
        <f>IF(K192="","",D192*IFERROR(VLOOKUP(C192,Produtos!$A$4:$I$53,9,0),0))</f>
        <v/>
      </c>
      <c r="N192" s="9">
        <f>IF(K192="","",D192*IFERROR(VLOOKUP(C192,Produtos!$A$4:$J$53,10,0),0))</f>
        <v/>
      </c>
      <c r="O192" s="9">
        <f>IF(OR(K192="",F192=""),IF(K192="","",0),IFERROR(VLOOKUP(F192,Entrega!$A$4:$E$43,5,0),0))</f>
        <v/>
      </c>
      <c r="P192" s="9">
        <f>IF(K192="","",K192-L192-M192-N192-O192)</f>
        <v/>
      </c>
      <c r="Q192" s="9">
        <f>IF(K192="","",IF(I192="Entregue",0,K192-N(J192)))</f>
        <v/>
      </c>
      <c r="R192" s="12">
        <f>IF(ISNUMBER(A192),MONTH(A192),"")</f>
        <v/>
      </c>
      <c r="S192" s="12">
        <f>IF(ISNUMBER(A192),YEAR(A192),"")</f>
        <v/>
      </c>
    </row>
    <row r="193">
      <c r="A193" s="23" t="n"/>
      <c r="B193" s="19" t="n"/>
      <c r="C193" s="19" t="n"/>
      <c r="D193" s="7" t="n"/>
      <c r="E193" s="13" t="n"/>
      <c r="F193" s="19" t="n"/>
      <c r="G193" s="13" t="n"/>
      <c r="H193" s="19" t="n"/>
      <c r="I193" s="19" t="n"/>
      <c r="J193" s="13" t="n"/>
      <c r="K193" s="9">
        <f>IF(AND(C193&lt;&gt;"",N(D193)&gt;0,I193&lt;&gt;"Cancelado"),D193*IF(N(E193)&gt;0,E193,IFERROR(VLOOKUP(C193,Produtos!$A$4:$O$53,15,0),0))+N(G193),"")</f>
        <v/>
      </c>
      <c r="L193" s="9">
        <f>IF(K193="","",K193*IFERROR(VLOOKUP(H193,Config!$B$15:$C$19,2,0),0))</f>
        <v/>
      </c>
      <c r="M193" s="9">
        <f>IF(K193="","",D193*IFERROR(VLOOKUP(C193,Produtos!$A$4:$I$53,9,0),0))</f>
        <v/>
      </c>
      <c r="N193" s="9">
        <f>IF(K193="","",D193*IFERROR(VLOOKUP(C193,Produtos!$A$4:$J$53,10,0),0))</f>
        <v/>
      </c>
      <c r="O193" s="9">
        <f>IF(OR(K193="",F193=""),IF(K193="","",0),IFERROR(VLOOKUP(F193,Entrega!$A$4:$E$43,5,0),0))</f>
        <v/>
      </c>
      <c r="P193" s="9">
        <f>IF(K193="","",K193-L193-M193-N193-O193)</f>
        <v/>
      </c>
      <c r="Q193" s="9">
        <f>IF(K193="","",IF(I193="Entregue",0,K193-N(J193)))</f>
        <v/>
      </c>
      <c r="R193" s="12">
        <f>IF(ISNUMBER(A193),MONTH(A193),"")</f>
        <v/>
      </c>
      <c r="S193" s="12">
        <f>IF(ISNUMBER(A193),YEAR(A193),"")</f>
        <v/>
      </c>
    </row>
    <row r="194">
      <c r="A194" s="23" t="n"/>
      <c r="B194" s="19" t="n"/>
      <c r="C194" s="19" t="n"/>
      <c r="D194" s="7" t="n"/>
      <c r="E194" s="13" t="n"/>
      <c r="F194" s="19" t="n"/>
      <c r="G194" s="13" t="n"/>
      <c r="H194" s="19" t="n"/>
      <c r="I194" s="19" t="n"/>
      <c r="J194" s="13" t="n"/>
      <c r="K194" s="9">
        <f>IF(AND(C194&lt;&gt;"",N(D194)&gt;0,I194&lt;&gt;"Cancelado"),D194*IF(N(E194)&gt;0,E194,IFERROR(VLOOKUP(C194,Produtos!$A$4:$O$53,15,0),0))+N(G194),"")</f>
        <v/>
      </c>
      <c r="L194" s="9">
        <f>IF(K194="","",K194*IFERROR(VLOOKUP(H194,Config!$B$15:$C$19,2,0),0))</f>
        <v/>
      </c>
      <c r="M194" s="9">
        <f>IF(K194="","",D194*IFERROR(VLOOKUP(C194,Produtos!$A$4:$I$53,9,0),0))</f>
        <v/>
      </c>
      <c r="N194" s="9">
        <f>IF(K194="","",D194*IFERROR(VLOOKUP(C194,Produtos!$A$4:$J$53,10,0),0))</f>
        <v/>
      </c>
      <c r="O194" s="9">
        <f>IF(OR(K194="",F194=""),IF(K194="","",0),IFERROR(VLOOKUP(F194,Entrega!$A$4:$E$43,5,0),0))</f>
        <v/>
      </c>
      <c r="P194" s="9">
        <f>IF(K194="","",K194-L194-M194-N194-O194)</f>
        <v/>
      </c>
      <c r="Q194" s="9">
        <f>IF(K194="","",IF(I194="Entregue",0,K194-N(J194)))</f>
        <v/>
      </c>
      <c r="R194" s="12">
        <f>IF(ISNUMBER(A194),MONTH(A194),"")</f>
        <v/>
      </c>
      <c r="S194" s="12">
        <f>IF(ISNUMBER(A194),YEAR(A194),"")</f>
        <v/>
      </c>
    </row>
    <row r="195">
      <c r="A195" s="23" t="n"/>
      <c r="B195" s="19" t="n"/>
      <c r="C195" s="19" t="n"/>
      <c r="D195" s="7" t="n"/>
      <c r="E195" s="13" t="n"/>
      <c r="F195" s="19" t="n"/>
      <c r="G195" s="13" t="n"/>
      <c r="H195" s="19" t="n"/>
      <c r="I195" s="19" t="n"/>
      <c r="J195" s="13" t="n"/>
      <c r="K195" s="9">
        <f>IF(AND(C195&lt;&gt;"",N(D195)&gt;0,I195&lt;&gt;"Cancelado"),D195*IF(N(E195)&gt;0,E195,IFERROR(VLOOKUP(C195,Produtos!$A$4:$O$53,15,0),0))+N(G195),"")</f>
        <v/>
      </c>
      <c r="L195" s="9">
        <f>IF(K195="","",K195*IFERROR(VLOOKUP(H195,Config!$B$15:$C$19,2,0),0))</f>
        <v/>
      </c>
      <c r="M195" s="9">
        <f>IF(K195="","",D195*IFERROR(VLOOKUP(C195,Produtos!$A$4:$I$53,9,0),0))</f>
        <v/>
      </c>
      <c r="N195" s="9">
        <f>IF(K195="","",D195*IFERROR(VLOOKUP(C195,Produtos!$A$4:$J$53,10,0),0))</f>
        <v/>
      </c>
      <c r="O195" s="9">
        <f>IF(OR(K195="",F195=""),IF(K195="","",0),IFERROR(VLOOKUP(F195,Entrega!$A$4:$E$43,5,0),0))</f>
        <v/>
      </c>
      <c r="P195" s="9">
        <f>IF(K195="","",K195-L195-M195-N195-O195)</f>
        <v/>
      </c>
      <c r="Q195" s="9">
        <f>IF(K195="","",IF(I195="Entregue",0,K195-N(J195)))</f>
        <v/>
      </c>
      <c r="R195" s="12">
        <f>IF(ISNUMBER(A195),MONTH(A195),"")</f>
        <v/>
      </c>
      <c r="S195" s="12">
        <f>IF(ISNUMBER(A195),YEAR(A195),"")</f>
        <v/>
      </c>
    </row>
    <row r="196">
      <c r="A196" s="23" t="n"/>
      <c r="B196" s="19" t="n"/>
      <c r="C196" s="19" t="n"/>
      <c r="D196" s="7" t="n"/>
      <c r="E196" s="13" t="n"/>
      <c r="F196" s="19" t="n"/>
      <c r="G196" s="13" t="n"/>
      <c r="H196" s="19" t="n"/>
      <c r="I196" s="19" t="n"/>
      <c r="J196" s="13" t="n"/>
      <c r="K196" s="9">
        <f>IF(AND(C196&lt;&gt;"",N(D196)&gt;0,I196&lt;&gt;"Cancelado"),D196*IF(N(E196)&gt;0,E196,IFERROR(VLOOKUP(C196,Produtos!$A$4:$O$53,15,0),0))+N(G196),"")</f>
        <v/>
      </c>
      <c r="L196" s="9">
        <f>IF(K196="","",K196*IFERROR(VLOOKUP(H196,Config!$B$15:$C$19,2,0),0))</f>
        <v/>
      </c>
      <c r="M196" s="9">
        <f>IF(K196="","",D196*IFERROR(VLOOKUP(C196,Produtos!$A$4:$I$53,9,0),0))</f>
        <v/>
      </c>
      <c r="N196" s="9">
        <f>IF(K196="","",D196*IFERROR(VLOOKUP(C196,Produtos!$A$4:$J$53,10,0),0))</f>
        <v/>
      </c>
      <c r="O196" s="9">
        <f>IF(OR(K196="",F196=""),IF(K196="","",0),IFERROR(VLOOKUP(F196,Entrega!$A$4:$E$43,5,0),0))</f>
        <v/>
      </c>
      <c r="P196" s="9">
        <f>IF(K196="","",K196-L196-M196-N196-O196)</f>
        <v/>
      </c>
      <c r="Q196" s="9">
        <f>IF(K196="","",IF(I196="Entregue",0,K196-N(J196)))</f>
        <v/>
      </c>
      <c r="R196" s="12">
        <f>IF(ISNUMBER(A196),MONTH(A196),"")</f>
        <v/>
      </c>
      <c r="S196" s="12">
        <f>IF(ISNUMBER(A196),YEAR(A196),"")</f>
        <v/>
      </c>
    </row>
    <row r="197">
      <c r="A197" s="23" t="n"/>
      <c r="B197" s="19" t="n"/>
      <c r="C197" s="19" t="n"/>
      <c r="D197" s="7" t="n"/>
      <c r="E197" s="13" t="n"/>
      <c r="F197" s="19" t="n"/>
      <c r="G197" s="13" t="n"/>
      <c r="H197" s="19" t="n"/>
      <c r="I197" s="19" t="n"/>
      <c r="J197" s="13" t="n"/>
      <c r="K197" s="9">
        <f>IF(AND(C197&lt;&gt;"",N(D197)&gt;0,I197&lt;&gt;"Cancelado"),D197*IF(N(E197)&gt;0,E197,IFERROR(VLOOKUP(C197,Produtos!$A$4:$O$53,15,0),0))+N(G197),"")</f>
        <v/>
      </c>
      <c r="L197" s="9">
        <f>IF(K197="","",K197*IFERROR(VLOOKUP(H197,Config!$B$15:$C$19,2,0),0))</f>
        <v/>
      </c>
      <c r="M197" s="9">
        <f>IF(K197="","",D197*IFERROR(VLOOKUP(C197,Produtos!$A$4:$I$53,9,0),0))</f>
        <v/>
      </c>
      <c r="N197" s="9">
        <f>IF(K197="","",D197*IFERROR(VLOOKUP(C197,Produtos!$A$4:$J$53,10,0),0))</f>
        <v/>
      </c>
      <c r="O197" s="9">
        <f>IF(OR(K197="",F197=""),IF(K197="","",0),IFERROR(VLOOKUP(F197,Entrega!$A$4:$E$43,5,0),0))</f>
        <v/>
      </c>
      <c r="P197" s="9">
        <f>IF(K197="","",K197-L197-M197-N197-O197)</f>
        <v/>
      </c>
      <c r="Q197" s="9">
        <f>IF(K197="","",IF(I197="Entregue",0,K197-N(J197)))</f>
        <v/>
      </c>
      <c r="R197" s="12">
        <f>IF(ISNUMBER(A197),MONTH(A197),"")</f>
        <v/>
      </c>
      <c r="S197" s="12">
        <f>IF(ISNUMBER(A197),YEAR(A197),"")</f>
        <v/>
      </c>
    </row>
    <row r="198">
      <c r="A198" s="23" t="n"/>
      <c r="B198" s="19" t="n"/>
      <c r="C198" s="19" t="n"/>
      <c r="D198" s="7" t="n"/>
      <c r="E198" s="13" t="n"/>
      <c r="F198" s="19" t="n"/>
      <c r="G198" s="13" t="n"/>
      <c r="H198" s="19" t="n"/>
      <c r="I198" s="19" t="n"/>
      <c r="J198" s="13" t="n"/>
      <c r="K198" s="9">
        <f>IF(AND(C198&lt;&gt;"",N(D198)&gt;0,I198&lt;&gt;"Cancelado"),D198*IF(N(E198)&gt;0,E198,IFERROR(VLOOKUP(C198,Produtos!$A$4:$O$53,15,0),0))+N(G198),"")</f>
        <v/>
      </c>
      <c r="L198" s="9">
        <f>IF(K198="","",K198*IFERROR(VLOOKUP(H198,Config!$B$15:$C$19,2,0),0))</f>
        <v/>
      </c>
      <c r="M198" s="9">
        <f>IF(K198="","",D198*IFERROR(VLOOKUP(C198,Produtos!$A$4:$I$53,9,0),0))</f>
        <v/>
      </c>
      <c r="N198" s="9">
        <f>IF(K198="","",D198*IFERROR(VLOOKUP(C198,Produtos!$A$4:$J$53,10,0),0))</f>
        <v/>
      </c>
      <c r="O198" s="9">
        <f>IF(OR(K198="",F198=""),IF(K198="","",0),IFERROR(VLOOKUP(F198,Entrega!$A$4:$E$43,5,0),0))</f>
        <v/>
      </c>
      <c r="P198" s="9">
        <f>IF(K198="","",K198-L198-M198-N198-O198)</f>
        <v/>
      </c>
      <c r="Q198" s="9">
        <f>IF(K198="","",IF(I198="Entregue",0,K198-N(J198)))</f>
        <v/>
      </c>
      <c r="R198" s="12">
        <f>IF(ISNUMBER(A198),MONTH(A198),"")</f>
        <v/>
      </c>
      <c r="S198" s="12">
        <f>IF(ISNUMBER(A198),YEAR(A198),"")</f>
        <v/>
      </c>
    </row>
    <row r="199">
      <c r="A199" s="23" t="n"/>
      <c r="B199" s="19" t="n"/>
      <c r="C199" s="19" t="n"/>
      <c r="D199" s="7" t="n"/>
      <c r="E199" s="13" t="n"/>
      <c r="F199" s="19" t="n"/>
      <c r="G199" s="13" t="n"/>
      <c r="H199" s="19" t="n"/>
      <c r="I199" s="19" t="n"/>
      <c r="J199" s="13" t="n"/>
      <c r="K199" s="9">
        <f>IF(AND(C199&lt;&gt;"",N(D199)&gt;0,I199&lt;&gt;"Cancelado"),D199*IF(N(E199)&gt;0,E199,IFERROR(VLOOKUP(C199,Produtos!$A$4:$O$53,15,0),0))+N(G199),"")</f>
        <v/>
      </c>
      <c r="L199" s="9">
        <f>IF(K199="","",K199*IFERROR(VLOOKUP(H199,Config!$B$15:$C$19,2,0),0))</f>
        <v/>
      </c>
      <c r="M199" s="9">
        <f>IF(K199="","",D199*IFERROR(VLOOKUP(C199,Produtos!$A$4:$I$53,9,0),0))</f>
        <v/>
      </c>
      <c r="N199" s="9">
        <f>IF(K199="","",D199*IFERROR(VLOOKUP(C199,Produtos!$A$4:$J$53,10,0),0))</f>
        <v/>
      </c>
      <c r="O199" s="9">
        <f>IF(OR(K199="",F199=""),IF(K199="","",0),IFERROR(VLOOKUP(F199,Entrega!$A$4:$E$43,5,0),0))</f>
        <v/>
      </c>
      <c r="P199" s="9">
        <f>IF(K199="","",K199-L199-M199-N199-O199)</f>
        <v/>
      </c>
      <c r="Q199" s="9">
        <f>IF(K199="","",IF(I199="Entregue",0,K199-N(J199)))</f>
        <v/>
      </c>
      <c r="R199" s="12">
        <f>IF(ISNUMBER(A199),MONTH(A199),"")</f>
        <v/>
      </c>
      <c r="S199" s="12">
        <f>IF(ISNUMBER(A199),YEAR(A199),"")</f>
        <v/>
      </c>
    </row>
    <row r="200">
      <c r="A200" s="23" t="n"/>
      <c r="B200" s="19" t="n"/>
      <c r="C200" s="19" t="n"/>
      <c r="D200" s="7" t="n"/>
      <c r="E200" s="13" t="n"/>
      <c r="F200" s="19" t="n"/>
      <c r="G200" s="13" t="n"/>
      <c r="H200" s="19" t="n"/>
      <c r="I200" s="19" t="n"/>
      <c r="J200" s="13" t="n"/>
      <c r="K200" s="9">
        <f>IF(AND(C200&lt;&gt;"",N(D200)&gt;0,I200&lt;&gt;"Cancelado"),D200*IF(N(E200)&gt;0,E200,IFERROR(VLOOKUP(C200,Produtos!$A$4:$O$53,15,0),0))+N(G200),"")</f>
        <v/>
      </c>
      <c r="L200" s="9">
        <f>IF(K200="","",K200*IFERROR(VLOOKUP(H200,Config!$B$15:$C$19,2,0),0))</f>
        <v/>
      </c>
      <c r="M200" s="9">
        <f>IF(K200="","",D200*IFERROR(VLOOKUP(C200,Produtos!$A$4:$I$53,9,0),0))</f>
        <v/>
      </c>
      <c r="N200" s="9">
        <f>IF(K200="","",D200*IFERROR(VLOOKUP(C200,Produtos!$A$4:$J$53,10,0),0))</f>
        <v/>
      </c>
      <c r="O200" s="9">
        <f>IF(OR(K200="",F200=""),IF(K200="","",0),IFERROR(VLOOKUP(F200,Entrega!$A$4:$E$43,5,0),0))</f>
        <v/>
      </c>
      <c r="P200" s="9">
        <f>IF(K200="","",K200-L200-M200-N200-O200)</f>
        <v/>
      </c>
      <c r="Q200" s="9">
        <f>IF(K200="","",IF(I200="Entregue",0,K200-N(J200)))</f>
        <v/>
      </c>
      <c r="R200" s="12">
        <f>IF(ISNUMBER(A200),MONTH(A200),"")</f>
        <v/>
      </c>
      <c r="S200" s="12">
        <f>IF(ISNUMBER(A200),YEAR(A200),"")</f>
        <v/>
      </c>
    </row>
    <row r="201">
      <c r="A201" s="23" t="n"/>
      <c r="B201" s="19" t="n"/>
      <c r="C201" s="19" t="n"/>
      <c r="D201" s="7" t="n"/>
      <c r="E201" s="13" t="n"/>
      <c r="F201" s="19" t="n"/>
      <c r="G201" s="13" t="n"/>
      <c r="H201" s="19" t="n"/>
      <c r="I201" s="19" t="n"/>
      <c r="J201" s="13" t="n"/>
      <c r="K201" s="9">
        <f>IF(AND(C201&lt;&gt;"",N(D201)&gt;0,I201&lt;&gt;"Cancelado"),D201*IF(N(E201)&gt;0,E201,IFERROR(VLOOKUP(C201,Produtos!$A$4:$O$53,15,0),0))+N(G201),"")</f>
        <v/>
      </c>
      <c r="L201" s="9">
        <f>IF(K201="","",K201*IFERROR(VLOOKUP(H201,Config!$B$15:$C$19,2,0),0))</f>
        <v/>
      </c>
      <c r="M201" s="9">
        <f>IF(K201="","",D201*IFERROR(VLOOKUP(C201,Produtos!$A$4:$I$53,9,0),0))</f>
        <v/>
      </c>
      <c r="N201" s="9">
        <f>IF(K201="","",D201*IFERROR(VLOOKUP(C201,Produtos!$A$4:$J$53,10,0),0))</f>
        <v/>
      </c>
      <c r="O201" s="9">
        <f>IF(OR(K201="",F201=""),IF(K201="","",0),IFERROR(VLOOKUP(F201,Entrega!$A$4:$E$43,5,0),0))</f>
        <v/>
      </c>
      <c r="P201" s="9">
        <f>IF(K201="","",K201-L201-M201-N201-O201)</f>
        <v/>
      </c>
      <c r="Q201" s="9">
        <f>IF(K201="","",IF(I201="Entregue",0,K201-N(J201)))</f>
        <v/>
      </c>
      <c r="R201" s="12">
        <f>IF(ISNUMBER(A201),MONTH(A201),"")</f>
        <v/>
      </c>
      <c r="S201" s="12">
        <f>IF(ISNUMBER(A201),YEAR(A201),"")</f>
        <v/>
      </c>
    </row>
    <row r="202">
      <c r="A202" s="23" t="n"/>
      <c r="B202" s="19" t="n"/>
      <c r="C202" s="19" t="n"/>
      <c r="D202" s="7" t="n"/>
      <c r="E202" s="13" t="n"/>
      <c r="F202" s="19" t="n"/>
      <c r="G202" s="13" t="n"/>
      <c r="H202" s="19" t="n"/>
      <c r="I202" s="19" t="n"/>
      <c r="J202" s="13" t="n"/>
      <c r="K202" s="9">
        <f>IF(AND(C202&lt;&gt;"",N(D202)&gt;0,I202&lt;&gt;"Cancelado"),D202*IF(N(E202)&gt;0,E202,IFERROR(VLOOKUP(C202,Produtos!$A$4:$O$53,15,0),0))+N(G202),"")</f>
        <v/>
      </c>
      <c r="L202" s="9">
        <f>IF(K202="","",K202*IFERROR(VLOOKUP(H202,Config!$B$15:$C$19,2,0),0))</f>
        <v/>
      </c>
      <c r="M202" s="9">
        <f>IF(K202="","",D202*IFERROR(VLOOKUP(C202,Produtos!$A$4:$I$53,9,0),0))</f>
        <v/>
      </c>
      <c r="N202" s="9">
        <f>IF(K202="","",D202*IFERROR(VLOOKUP(C202,Produtos!$A$4:$J$53,10,0),0))</f>
        <v/>
      </c>
      <c r="O202" s="9">
        <f>IF(OR(K202="",F202=""),IF(K202="","",0),IFERROR(VLOOKUP(F202,Entrega!$A$4:$E$43,5,0),0))</f>
        <v/>
      </c>
      <c r="P202" s="9">
        <f>IF(K202="","",K202-L202-M202-N202-O202)</f>
        <v/>
      </c>
      <c r="Q202" s="9">
        <f>IF(K202="","",IF(I202="Entregue",0,K202-N(J202)))</f>
        <v/>
      </c>
      <c r="R202" s="12">
        <f>IF(ISNUMBER(A202),MONTH(A202),"")</f>
        <v/>
      </c>
      <c r="S202" s="12">
        <f>IF(ISNUMBER(A202),YEAR(A202),"")</f>
        <v/>
      </c>
    </row>
    <row r="203">
      <c r="A203" s="23" t="n"/>
      <c r="B203" s="19" t="n"/>
      <c r="C203" s="19" t="n"/>
      <c r="D203" s="7" t="n"/>
      <c r="E203" s="13" t="n"/>
      <c r="F203" s="19" t="n"/>
      <c r="G203" s="13" t="n"/>
      <c r="H203" s="19" t="n"/>
      <c r="I203" s="19" t="n"/>
      <c r="J203" s="13" t="n"/>
      <c r="K203" s="9">
        <f>IF(AND(C203&lt;&gt;"",N(D203)&gt;0,I203&lt;&gt;"Cancelado"),D203*IF(N(E203)&gt;0,E203,IFERROR(VLOOKUP(C203,Produtos!$A$4:$O$53,15,0),0))+N(G203),"")</f>
        <v/>
      </c>
      <c r="L203" s="9">
        <f>IF(K203="","",K203*IFERROR(VLOOKUP(H203,Config!$B$15:$C$19,2,0),0))</f>
        <v/>
      </c>
      <c r="M203" s="9">
        <f>IF(K203="","",D203*IFERROR(VLOOKUP(C203,Produtos!$A$4:$I$53,9,0),0))</f>
        <v/>
      </c>
      <c r="N203" s="9">
        <f>IF(K203="","",D203*IFERROR(VLOOKUP(C203,Produtos!$A$4:$J$53,10,0),0))</f>
        <v/>
      </c>
      <c r="O203" s="9">
        <f>IF(OR(K203="",F203=""),IF(K203="","",0),IFERROR(VLOOKUP(F203,Entrega!$A$4:$E$43,5,0),0))</f>
        <v/>
      </c>
      <c r="P203" s="9">
        <f>IF(K203="","",K203-L203-M203-N203-O203)</f>
        <v/>
      </c>
      <c r="Q203" s="9">
        <f>IF(K203="","",IF(I203="Entregue",0,K203-N(J203)))</f>
        <v/>
      </c>
      <c r="R203" s="12">
        <f>IF(ISNUMBER(A203),MONTH(A203),"")</f>
        <v/>
      </c>
      <c r="S203" s="12">
        <f>IF(ISNUMBER(A203),YEAR(A203),"")</f>
        <v/>
      </c>
    </row>
    <row r="204">
      <c r="A204" s="23" t="n"/>
      <c r="B204" s="19" t="n"/>
      <c r="C204" s="19" t="n"/>
      <c r="D204" s="7" t="n"/>
      <c r="E204" s="13" t="n"/>
      <c r="F204" s="19" t="n"/>
      <c r="G204" s="13" t="n"/>
      <c r="H204" s="19" t="n"/>
      <c r="I204" s="19" t="n"/>
      <c r="J204" s="13" t="n"/>
      <c r="K204" s="9">
        <f>IF(AND(C204&lt;&gt;"",N(D204)&gt;0,I204&lt;&gt;"Cancelado"),D204*IF(N(E204)&gt;0,E204,IFERROR(VLOOKUP(C204,Produtos!$A$4:$O$53,15,0),0))+N(G204),"")</f>
        <v/>
      </c>
      <c r="L204" s="9">
        <f>IF(K204="","",K204*IFERROR(VLOOKUP(H204,Config!$B$15:$C$19,2,0),0))</f>
        <v/>
      </c>
      <c r="M204" s="9">
        <f>IF(K204="","",D204*IFERROR(VLOOKUP(C204,Produtos!$A$4:$I$53,9,0),0))</f>
        <v/>
      </c>
      <c r="N204" s="9">
        <f>IF(K204="","",D204*IFERROR(VLOOKUP(C204,Produtos!$A$4:$J$53,10,0),0))</f>
        <v/>
      </c>
      <c r="O204" s="9">
        <f>IF(OR(K204="",F204=""),IF(K204="","",0),IFERROR(VLOOKUP(F204,Entrega!$A$4:$E$43,5,0),0))</f>
        <v/>
      </c>
      <c r="P204" s="9">
        <f>IF(K204="","",K204-L204-M204-N204-O204)</f>
        <v/>
      </c>
      <c r="Q204" s="9">
        <f>IF(K204="","",IF(I204="Entregue",0,K204-N(J204)))</f>
        <v/>
      </c>
      <c r="R204" s="12">
        <f>IF(ISNUMBER(A204),MONTH(A204),"")</f>
        <v/>
      </c>
      <c r="S204" s="12">
        <f>IF(ISNUMBER(A204),YEAR(A204),"")</f>
        <v/>
      </c>
    </row>
    <row r="205">
      <c r="A205" s="23" t="n"/>
      <c r="B205" s="19" t="n"/>
      <c r="C205" s="19" t="n"/>
      <c r="D205" s="7" t="n"/>
      <c r="E205" s="13" t="n"/>
      <c r="F205" s="19" t="n"/>
      <c r="G205" s="13" t="n"/>
      <c r="H205" s="19" t="n"/>
      <c r="I205" s="19" t="n"/>
      <c r="J205" s="13" t="n"/>
      <c r="K205" s="9">
        <f>IF(AND(C205&lt;&gt;"",N(D205)&gt;0,I205&lt;&gt;"Cancelado"),D205*IF(N(E205)&gt;0,E205,IFERROR(VLOOKUP(C205,Produtos!$A$4:$O$53,15,0),0))+N(G205),"")</f>
        <v/>
      </c>
      <c r="L205" s="9">
        <f>IF(K205="","",K205*IFERROR(VLOOKUP(H205,Config!$B$15:$C$19,2,0),0))</f>
        <v/>
      </c>
      <c r="M205" s="9">
        <f>IF(K205="","",D205*IFERROR(VLOOKUP(C205,Produtos!$A$4:$I$53,9,0),0))</f>
        <v/>
      </c>
      <c r="N205" s="9">
        <f>IF(K205="","",D205*IFERROR(VLOOKUP(C205,Produtos!$A$4:$J$53,10,0),0))</f>
        <v/>
      </c>
      <c r="O205" s="9">
        <f>IF(OR(K205="",F205=""),IF(K205="","",0),IFERROR(VLOOKUP(F205,Entrega!$A$4:$E$43,5,0),0))</f>
        <v/>
      </c>
      <c r="P205" s="9">
        <f>IF(K205="","",K205-L205-M205-N205-O205)</f>
        <v/>
      </c>
      <c r="Q205" s="9">
        <f>IF(K205="","",IF(I205="Entregue",0,K205-N(J205)))</f>
        <v/>
      </c>
      <c r="R205" s="12">
        <f>IF(ISNUMBER(A205),MONTH(A205),"")</f>
        <v/>
      </c>
      <c r="S205" s="12">
        <f>IF(ISNUMBER(A205),YEAR(A205),"")</f>
        <v/>
      </c>
    </row>
    <row r="206">
      <c r="A206" s="23" t="n"/>
      <c r="B206" s="19" t="n"/>
      <c r="C206" s="19" t="n"/>
      <c r="D206" s="7" t="n"/>
      <c r="E206" s="13" t="n"/>
      <c r="F206" s="19" t="n"/>
      <c r="G206" s="13" t="n"/>
      <c r="H206" s="19" t="n"/>
      <c r="I206" s="19" t="n"/>
      <c r="J206" s="13" t="n"/>
      <c r="K206" s="9">
        <f>IF(AND(C206&lt;&gt;"",N(D206)&gt;0,I206&lt;&gt;"Cancelado"),D206*IF(N(E206)&gt;0,E206,IFERROR(VLOOKUP(C206,Produtos!$A$4:$O$53,15,0),0))+N(G206),"")</f>
        <v/>
      </c>
      <c r="L206" s="9">
        <f>IF(K206="","",K206*IFERROR(VLOOKUP(H206,Config!$B$15:$C$19,2,0),0))</f>
        <v/>
      </c>
      <c r="M206" s="9">
        <f>IF(K206="","",D206*IFERROR(VLOOKUP(C206,Produtos!$A$4:$I$53,9,0),0))</f>
        <v/>
      </c>
      <c r="N206" s="9">
        <f>IF(K206="","",D206*IFERROR(VLOOKUP(C206,Produtos!$A$4:$J$53,10,0),0))</f>
        <v/>
      </c>
      <c r="O206" s="9">
        <f>IF(OR(K206="",F206=""),IF(K206="","",0),IFERROR(VLOOKUP(F206,Entrega!$A$4:$E$43,5,0),0))</f>
        <v/>
      </c>
      <c r="P206" s="9">
        <f>IF(K206="","",K206-L206-M206-N206-O206)</f>
        <v/>
      </c>
      <c r="Q206" s="9">
        <f>IF(K206="","",IF(I206="Entregue",0,K206-N(J206)))</f>
        <v/>
      </c>
      <c r="R206" s="12">
        <f>IF(ISNUMBER(A206),MONTH(A206),"")</f>
        <v/>
      </c>
      <c r="S206" s="12">
        <f>IF(ISNUMBER(A206),YEAR(A206),"")</f>
        <v/>
      </c>
    </row>
    <row r="207">
      <c r="A207" s="23" t="n"/>
      <c r="B207" s="19" t="n"/>
      <c r="C207" s="19" t="n"/>
      <c r="D207" s="7" t="n"/>
      <c r="E207" s="13" t="n"/>
      <c r="F207" s="19" t="n"/>
      <c r="G207" s="13" t="n"/>
      <c r="H207" s="19" t="n"/>
      <c r="I207" s="19" t="n"/>
      <c r="J207" s="13" t="n"/>
      <c r="K207" s="9">
        <f>IF(AND(C207&lt;&gt;"",N(D207)&gt;0,I207&lt;&gt;"Cancelado"),D207*IF(N(E207)&gt;0,E207,IFERROR(VLOOKUP(C207,Produtos!$A$4:$O$53,15,0),0))+N(G207),"")</f>
        <v/>
      </c>
      <c r="L207" s="9">
        <f>IF(K207="","",K207*IFERROR(VLOOKUP(H207,Config!$B$15:$C$19,2,0),0))</f>
        <v/>
      </c>
      <c r="M207" s="9">
        <f>IF(K207="","",D207*IFERROR(VLOOKUP(C207,Produtos!$A$4:$I$53,9,0),0))</f>
        <v/>
      </c>
      <c r="N207" s="9">
        <f>IF(K207="","",D207*IFERROR(VLOOKUP(C207,Produtos!$A$4:$J$53,10,0),0))</f>
        <v/>
      </c>
      <c r="O207" s="9">
        <f>IF(OR(K207="",F207=""),IF(K207="","",0),IFERROR(VLOOKUP(F207,Entrega!$A$4:$E$43,5,0),0))</f>
        <v/>
      </c>
      <c r="P207" s="9">
        <f>IF(K207="","",K207-L207-M207-N207-O207)</f>
        <v/>
      </c>
      <c r="Q207" s="9">
        <f>IF(K207="","",IF(I207="Entregue",0,K207-N(J207)))</f>
        <v/>
      </c>
      <c r="R207" s="12">
        <f>IF(ISNUMBER(A207),MONTH(A207),"")</f>
        <v/>
      </c>
      <c r="S207" s="12">
        <f>IF(ISNUMBER(A207),YEAR(A207),"")</f>
        <v/>
      </c>
    </row>
    <row r="208">
      <c r="A208" s="23" t="n"/>
      <c r="B208" s="19" t="n"/>
      <c r="C208" s="19" t="n"/>
      <c r="D208" s="7" t="n"/>
      <c r="E208" s="13" t="n"/>
      <c r="F208" s="19" t="n"/>
      <c r="G208" s="13" t="n"/>
      <c r="H208" s="19" t="n"/>
      <c r="I208" s="19" t="n"/>
      <c r="J208" s="13" t="n"/>
      <c r="K208" s="9">
        <f>IF(AND(C208&lt;&gt;"",N(D208)&gt;0,I208&lt;&gt;"Cancelado"),D208*IF(N(E208)&gt;0,E208,IFERROR(VLOOKUP(C208,Produtos!$A$4:$O$53,15,0),0))+N(G208),"")</f>
        <v/>
      </c>
      <c r="L208" s="9">
        <f>IF(K208="","",K208*IFERROR(VLOOKUP(H208,Config!$B$15:$C$19,2,0),0))</f>
        <v/>
      </c>
      <c r="M208" s="9">
        <f>IF(K208="","",D208*IFERROR(VLOOKUP(C208,Produtos!$A$4:$I$53,9,0),0))</f>
        <v/>
      </c>
      <c r="N208" s="9">
        <f>IF(K208="","",D208*IFERROR(VLOOKUP(C208,Produtos!$A$4:$J$53,10,0),0))</f>
        <v/>
      </c>
      <c r="O208" s="9">
        <f>IF(OR(K208="",F208=""),IF(K208="","",0),IFERROR(VLOOKUP(F208,Entrega!$A$4:$E$43,5,0),0))</f>
        <v/>
      </c>
      <c r="P208" s="9">
        <f>IF(K208="","",K208-L208-M208-N208-O208)</f>
        <v/>
      </c>
      <c r="Q208" s="9">
        <f>IF(K208="","",IF(I208="Entregue",0,K208-N(J208)))</f>
        <v/>
      </c>
      <c r="R208" s="12">
        <f>IF(ISNUMBER(A208),MONTH(A208),"")</f>
        <v/>
      </c>
      <c r="S208" s="12">
        <f>IF(ISNUMBER(A208),YEAR(A208),"")</f>
        <v/>
      </c>
    </row>
    <row r="209">
      <c r="A209" s="23" t="n"/>
      <c r="B209" s="19" t="n"/>
      <c r="C209" s="19" t="n"/>
      <c r="D209" s="7" t="n"/>
      <c r="E209" s="13" t="n"/>
      <c r="F209" s="19" t="n"/>
      <c r="G209" s="13" t="n"/>
      <c r="H209" s="19" t="n"/>
      <c r="I209" s="19" t="n"/>
      <c r="J209" s="13" t="n"/>
      <c r="K209" s="9">
        <f>IF(AND(C209&lt;&gt;"",N(D209)&gt;0,I209&lt;&gt;"Cancelado"),D209*IF(N(E209)&gt;0,E209,IFERROR(VLOOKUP(C209,Produtos!$A$4:$O$53,15,0),0))+N(G209),"")</f>
        <v/>
      </c>
      <c r="L209" s="9">
        <f>IF(K209="","",K209*IFERROR(VLOOKUP(H209,Config!$B$15:$C$19,2,0),0))</f>
        <v/>
      </c>
      <c r="M209" s="9">
        <f>IF(K209="","",D209*IFERROR(VLOOKUP(C209,Produtos!$A$4:$I$53,9,0),0))</f>
        <v/>
      </c>
      <c r="N209" s="9">
        <f>IF(K209="","",D209*IFERROR(VLOOKUP(C209,Produtos!$A$4:$J$53,10,0),0))</f>
        <v/>
      </c>
      <c r="O209" s="9">
        <f>IF(OR(K209="",F209=""),IF(K209="","",0),IFERROR(VLOOKUP(F209,Entrega!$A$4:$E$43,5,0),0))</f>
        <v/>
      </c>
      <c r="P209" s="9">
        <f>IF(K209="","",K209-L209-M209-N209-O209)</f>
        <v/>
      </c>
      <c r="Q209" s="9">
        <f>IF(K209="","",IF(I209="Entregue",0,K209-N(J209)))</f>
        <v/>
      </c>
      <c r="R209" s="12">
        <f>IF(ISNUMBER(A209),MONTH(A209),"")</f>
        <v/>
      </c>
      <c r="S209" s="12">
        <f>IF(ISNUMBER(A209),YEAR(A209),"")</f>
        <v/>
      </c>
    </row>
    <row r="210">
      <c r="A210" s="23" t="n"/>
      <c r="B210" s="19" t="n"/>
      <c r="C210" s="19" t="n"/>
      <c r="D210" s="7" t="n"/>
      <c r="E210" s="13" t="n"/>
      <c r="F210" s="19" t="n"/>
      <c r="G210" s="13" t="n"/>
      <c r="H210" s="19" t="n"/>
      <c r="I210" s="19" t="n"/>
      <c r="J210" s="13" t="n"/>
      <c r="K210" s="9">
        <f>IF(AND(C210&lt;&gt;"",N(D210)&gt;0,I210&lt;&gt;"Cancelado"),D210*IF(N(E210)&gt;0,E210,IFERROR(VLOOKUP(C210,Produtos!$A$4:$O$53,15,0),0))+N(G210),"")</f>
        <v/>
      </c>
      <c r="L210" s="9">
        <f>IF(K210="","",K210*IFERROR(VLOOKUP(H210,Config!$B$15:$C$19,2,0),0))</f>
        <v/>
      </c>
      <c r="M210" s="9">
        <f>IF(K210="","",D210*IFERROR(VLOOKUP(C210,Produtos!$A$4:$I$53,9,0),0))</f>
        <v/>
      </c>
      <c r="N210" s="9">
        <f>IF(K210="","",D210*IFERROR(VLOOKUP(C210,Produtos!$A$4:$J$53,10,0),0))</f>
        <v/>
      </c>
      <c r="O210" s="9">
        <f>IF(OR(K210="",F210=""),IF(K210="","",0),IFERROR(VLOOKUP(F210,Entrega!$A$4:$E$43,5,0),0))</f>
        <v/>
      </c>
      <c r="P210" s="9">
        <f>IF(K210="","",K210-L210-M210-N210-O210)</f>
        <v/>
      </c>
      <c r="Q210" s="9">
        <f>IF(K210="","",IF(I210="Entregue",0,K210-N(J210)))</f>
        <v/>
      </c>
      <c r="R210" s="12">
        <f>IF(ISNUMBER(A210),MONTH(A210),"")</f>
        <v/>
      </c>
      <c r="S210" s="12">
        <f>IF(ISNUMBER(A210),YEAR(A210),"")</f>
        <v/>
      </c>
    </row>
    <row r="211">
      <c r="A211" s="23" t="n"/>
      <c r="B211" s="19" t="n"/>
      <c r="C211" s="19" t="n"/>
      <c r="D211" s="7" t="n"/>
      <c r="E211" s="13" t="n"/>
      <c r="F211" s="19" t="n"/>
      <c r="G211" s="13" t="n"/>
      <c r="H211" s="19" t="n"/>
      <c r="I211" s="19" t="n"/>
      <c r="J211" s="13" t="n"/>
      <c r="K211" s="9">
        <f>IF(AND(C211&lt;&gt;"",N(D211)&gt;0,I211&lt;&gt;"Cancelado"),D211*IF(N(E211)&gt;0,E211,IFERROR(VLOOKUP(C211,Produtos!$A$4:$O$53,15,0),0))+N(G211),"")</f>
        <v/>
      </c>
      <c r="L211" s="9">
        <f>IF(K211="","",K211*IFERROR(VLOOKUP(H211,Config!$B$15:$C$19,2,0),0))</f>
        <v/>
      </c>
      <c r="M211" s="9">
        <f>IF(K211="","",D211*IFERROR(VLOOKUP(C211,Produtos!$A$4:$I$53,9,0),0))</f>
        <v/>
      </c>
      <c r="N211" s="9">
        <f>IF(K211="","",D211*IFERROR(VLOOKUP(C211,Produtos!$A$4:$J$53,10,0),0))</f>
        <v/>
      </c>
      <c r="O211" s="9">
        <f>IF(OR(K211="",F211=""),IF(K211="","",0),IFERROR(VLOOKUP(F211,Entrega!$A$4:$E$43,5,0),0))</f>
        <v/>
      </c>
      <c r="P211" s="9">
        <f>IF(K211="","",K211-L211-M211-N211-O211)</f>
        <v/>
      </c>
      <c r="Q211" s="9">
        <f>IF(K211="","",IF(I211="Entregue",0,K211-N(J211)))</f>
        <v/>
      </c>
      <c r="R211" s="12">
        <f>IF(ISNUMBER(A211),MONTH(A211),"")</f>
        <v/>
      </c>
      <c r="S211" s="12">
        <f>IF(ISNUMBER(A211),YEAR(A211),"")</f>
        <v/>
      </c>
    </row>
    <row r="212">
      <c r="A212" s="23" t="n"/>
      <c r="B212" s="19" t="n"/>
      <c r="C212" s="19" t="n"/>
      <c r="D212" s="7" t="n"/>
      <c r="E212" s="13" t="n"/>
      <c r="F212" s="19" t="n"/>
      <c r="G212" s="13" t="n"/>
      <c r="H212" s="19" t="n"/>
      <c r="I212" s="19" t="n"/>
      <c r="J212" s="13" t="n"/>
      <c r="K212" s="9">
        <f>IF(AND(C212&lt;&gt;"",N(D212)&gt;0,I212&lt;&gt;"Cancelado"),D212*IF(N(E212)&gt;0,E212,IFERROR(VLOOKUP(C212,Produtos!$A$4:$O$53,15,0),0))+N(G212),"")</f>
        <v/>
      </c>
      <c r="L212" s="9">
        <f>IF(K212="","",K212*IFERROR(VLOOKUP(H212,Config!$B$15:$C$19,2,0),0))</f>
        <v/>
      </c>
      <c r="M212" s="9">
        <f>IF(K212="","",D212*IFERROR(VLOOKUP(C212,Produtos!$A$4:$I$53,9,0),0))</f>
        <v/>
      </c>
      <c r="N212" s="9">
        <f>IF(K212="","",D212*IFERROR(VLOOKUP(C212,Produtos!$A$4:$J$53,10,0),0))</f>
        <v/>
      </c>
      <c r="O212" s="9">
        <f>IF(OR(K212="",F212=""),IF(K212="","",0),IFERROR(VLOOKUP(F212,Entrega!$A$4:$E$43,5,0),0))</f>
        <v/>
      </c>
      <c r="P212" s="9">
        <f>IF(K212="","",K212-L212-M212-N212-O212)</f>
        <v/>
      </c>
      <c r="Q212" s="9">
        <f>IF(K212="","",IF(I212="Entregue",0,K212-N(J212)))</f>
        <v/>
      </c>
      <c r="R212" s="12">
        <f>IF(ISNUMBER(A212),MONTH(A212),"")</f>
        <v/>
      </c>
      <c r="S212" s="12">
        <f>IF(ISNUMBER(A212),YEAR(A212),"")</f>
        <v/>
      </c>
    </row>
    <row r="213">
      <c r="A213" s="23" t="n"/>
      <c r="B213" s="19" t="n"/>
      <c r="C213" s="19" t="n"/>
      <c r="D213" s="7" t="n"/>
      <c r="E213" s="13" t="n"/>
      <c r="F213" s="19" t="n"/>
      <c r="G213" s="13" t="n"/>
      <c r="H213" s="19" t="n"/>
      <c r="I213" s="19" t="n"/>
      <c r="J213" s="13" t="n"/>
      <c r="K213" s="9">
        <f>IF(AND(C213&lt;&gt;"",N(D213)&gt;0,I213&lt;&gt;"Cancelado"),D213*IF(N(E213)&gt;0,E213,IFERROR(VLOOKUP(C213,Produtos!$A$4:$O$53,15,0),0))+N(G213),"")</f>
        <v/>
      </c>
      <c r="L213" s="9">
        <f>IF(K213="","",K213*IFERROR(VLOOKUP(H213,Config!$B$15:$C$19,2,0),0))</f>
        <v/>
      </c>
      <c r="M213" s="9">
        <f>IF(K213="","",D213*IFERROR(VLOOKUP(C213,Produtos!$A$4:$I$53,9,0),0))</f>
        <v/>
      </c>
      <c r="N213" s="9">
        <f>IF(K213="","",D213*IFERROR(VLOOKUP(C213,Produtos!$A$4:$J$53,10,0),0))</f>
        <v/>
      </c>
      <c r="O213" s="9">
        <f>IF(OR(K213="",F213=""),IF(K213="","",0),IFERROR(VLOOKUP(F213,Entrega!$A$4:$E$43,5,0),0))</f>
        <v/>
      </c>
      <c r="P213" s="9">
        <f>IF(K213="","",K213-L213-M213-N213-O213)</f>
        <v/>
      </c>
      <c r="Q213" s="9">
        <f>IF(K213="","",IF(I213="Entregue",0,K213-N(J213)))</f>
        <v/>
      </c>
      <c r="R213" s="12">
        <f>IF(ISNUMBER(A213),MONTH(A213),"")</f>
        <v/>
      </c>
      <c r="S213" s="12">
        <f>IF(ISNUMBER(A213),YEAR(A213),"")</f>
        <v/>
      </c>
    </row>
    <row r="214">
      <c r="A214" s="23" t="n"/>
      <c r="B214" s="19" t="n"/>
      <c r="C214" s="19" t="n"/>
      <c r="D214" s="7" t="n"/>
      <c r="E214" s="13" t="n"/>
      <c r="F214" s="19" t="n"/>
      <c r="G214" s="13" t="n"/>
      <c r="H214" s="19" t="n"/>
      <c r="I214" s="19" t="n"/>
      <c r="J214" s="13" t="n"/>
      <c r="K214" s="9">
        <f>IF(AND(C214&lt;&gt;"",N(D214)&gt;0,I214&lt;&gt;"Cancelado"),D214*IF(N(E214)&gt;0,E214,IFERROR(VLOOKUP(C214,Produtos!$A$4:$O$53,15,0),0))+N(G214),"")</f>
        <v/>
      </c>
      <c r="L214" s="9">
        <f>IF(K214="","",K214*IFERROR(VLOOKUP(H214,Config!$B$15:$C$19,2,0),0))</f>
        <v/>
      </c>
      <c r="M214" s="9">
        <f>IF(K214="","",D214*IFERROR(VLOOKUP(C214,Produtos!$A$4:$I$53,9,0),0))</f>
        <v/>
      </c>
      <c r="N214" s="9">
        <f>IF(K214="","",D214*IFERROR(VLOOKUP(C214,Produtos!$A$4:$J$53,10,0),0))</f>
        <v/>
      </c>
      <c r="O214" s="9">
        <f>IF(OR(K214="",F214=""),IF(K214="","",0),IFERROR(VLOOKUP(F214,Entrega!$A$4:$E$43,5,0),0))</f>
        <v/>
      </c>
      <c r="P214" s="9">
        <f>IF(K214="","",K214-L214-M214-N214-O214)</f>
        <v/>
      </c>
      <c r="Q214" s="9">
        <f>IF(K214="","",IF(I214="Entregue",0,K214-N(J214)))</f>
        <v/>
      </c>
      <c r="R214" s="12">
        <f>IF(ISNUMBER(A214),MONTH(A214),"")</f>
        <v/>
      </c>
      <c r="S214" s="12">
        <f>IF(ISNUMBER(A214),YEAR(A214),"")</f>
        <v/>
      </c>
    </row>
    <row r="215">
      <c r="A215" s="23" t="n"/>
      <c r="B215" s="19" t="n"/>
      <c r="C215" s="19" t="n"/>
      <c r="D215" s="7" t="n"/>
      <c r="E215" s="13" t="n"/>
      <c r="F215" s="19" t="n"/>
      <c r="G215" s="13" t="n"/>
      <c r="H215" s="19" t="n"/>
      <c r="I215" s="19" t="n"/>
      <c r="J215" s="13" t="n"/>
      <c r="K215" s="9">
        <f>IF(AND(C215&lt;&gt;"",N(D215)&gt;0,I215&lt;&gt;"Cancelado"),D215*IF(N(E215)&gt;0,E215,IFERROR(VLOOKUP(C215,Produtos!$A$4:$O$53,15,0),0))+N(G215),"")</f>
        <v/>
      </c>
      <c r="L215" s="9">
        <f>IF(K215="","",K215*IFERROR(VLOOKUP(H215,Config!$B$15:$C$19,2,0),0))</f>
        <v/>
      </c>
      <c r="M215" s="9">
        <f>IF(K215="","",D215*IFERROR(VLOOKUP(C215,Produtos!$A$4:$I$53,9,0),0))</f>
        <v/>
      </c>
      <c r="N215" s="9">
        <f>IF(K215="","",D215*IFERROR(VLOOKUP(C215,Produtos!$A$4:$J$53,10,0),0))</f>
        <v/>
      </c>
      <c r="O215" s="9">
        <f>IF(OR(K215="",F215=""),IF(K215="","",0),IFERROR(VLOOKUP(F215,Entrega!$A$4:$E$43,5,0),0))</f>
        <v/>
      </c>
      <c r="P215" s="9">
        <f>IF(K215="","",K215-L215-M215-N215-O215)</f>
        <v/>
      </c>
      <c r="Q215" s="9">
        <f>IF(K215="","",IF(I215="Entregue",0,K215-N(J215)))</f>
        <v/>
      </c>
      <c r="R215" s="12">
        <f>IF(ISNUMBER(A215),MONTH(A215),"")</f>
        <v/>
      </c>
      <c r="S215" s="12">
        <f>IF(ISNUMBER(A215),YEAR(A215),"")</f>
        <v/>
      </c>
    </row>
    <row r="216">
      <c r="A216" s="23" t="n"/>
      <c r="B216" s="19" t="n"/>
      <c r="C216" s="19" t="n"/>
      <c r="D216" s="7" t="n"/>
      <c r="E216" s="13" t="n"/>
      <c r="F216" s="19" t="n"/>
      <c r="G216" s="13" t="n"/>
      <c r="H216" s="19" t="n"/>
      <c r="I216" s="19" t="n"/>
      <c r="J216" s="13" t="n"/>
      <c r="K216" s="9">
        <f>IF(AND(C216&lt;&gt;"",N(D216)&gt;0,I216&lt;&gt;"Cancelado"),D216*IF(N(E216)&gt;0,E216,IFERROR(VLOOKUP(C216,Produtos!$A$4:$O$53,15,0),0))+N(G216),"")</f>
        <v/>
      </c>
      <c r="L216" s="9">
        <f>IF(K216="","",K216*IFERROR(VLOOKUP(H216,Config!$B$15:$C$19,2,0),0))</f>
        <v/>
      </c>
      <c r="M216" s="9">
        <f>IF(K216="","",D216*IFERROR(VLOOKUP(C216,Produtos!$A$4:$I$53,9,0),0))</f>
        <v/>
      </c>
      <c r="N216" s="9">
        <f>IF(K216="","",D216*IFERROR(VLOOKUP(C216,Produtos!$A$4:$J$53,10,0),0))</f>
        <v/>
      </c>
      <c r="O216" s="9">
        <f>IF(OR(K216="",F216=""),IF(K216="","",0),IFERROR(VLOOKUP(F216,Entrega!$A$4:$E$43,5,0),0))</f>
        <v/>
      </c>
      <c r="P216" s="9">
        <f>IF(K216="","",K216-L216-M216-N216-O216)</f>
        <v/>
      </c>
      <c r="Q216" s="9">
        <f>IF(K216="","",IF(I216="Entregue",0,K216-N(J216)))</f>
        <v/>
      </c>
      <c r="R216" s="12">
        <f>IF(ISNUMBER(A216),MONTH(A216),"")</f>
        <v/>
      </c>
      <c r="S216" s="12">
        <f>IF(ISNUMBER(A216),YEAR(A216),"")</f>
        <v/>
      </c>
    </row>
    <row r="217">
      <c r="A217" s="23" t="n"/>
      <c r="B217" s="19" t="n"/>
      <c r="C217" s="19" t="n"/>
      <c r="D217" s="7" t="n"/>
      <c r="E217" s="13" t="n"/>
      <c r="F217" s="19" t="n"/>
      <c r="G217" s="13" t="n"/>
      <c r="H217" s="19" t="n"/>
      <c r="I217" s="19" t="n"/>
      <c r="J217" s="13" t="n"/>
      <c r="K217" s="9">
        <f>IF(AND(C217&lt;&gt;"",N(D217)&gt;0,I217&lt;&gt;"Cancelado"),D217*IF(N(E217)&gt;0,E217,IFERROR(VLOOKUP(C217,Produtos!$A$4:$O$53,15,0),0))+N(G217),"")</f>
        <v/>
      </c>
      <c r="L217" s="9">
        <f>IF(K217="","",K217*IFERROR(VLOOKUP(H217,Config!$B$15:$C$19,2,0),0))</f>
        <v/>
      </c>
      <c r="M217" s="9">
        <f>IF(K217="","",D217*IFERROR(VLOOKUP(C217,Produtos!$A$4:$I$53,9,0),0))</f>
        <v/>
      </c>
      <c r="N217" s="9">
        <f>IF(K217="","",D217*IFERROR(VLOOKUP(C217,Produtos!$A$4:$J$53,10,0),0))</f>
        <v/>
      </c>
      <c r="O217" s="9">
        <f>IF(OR(K217="",F217=""),IF(K217="","",0),IFERROR(VLOOKUP(F217,Entrega!$A$4:$E$43,5,0),0))</f>
        <v/>
      </c>
      <c r="P217" s="9">
        <f>IF(K217="","",K217-L217-M217-N217-O217)</f>
        <v/>
      </c>
      <c r="Q217" s="9">
        <f>IF(K217="","",IF(I217="Entregue",0,K217-N(J217)))</f>
        <v/>
      </c>
      <c r="R217" s="12">
        <f>IF(ISNUMBER(A217),MONTH(A217),"")</f>
        <v/>
      </c>
      <c r="S217" s="12">
        <f>IF(ISNUMBER(A217),YEAR(A217),"")</f>
        <v/>
      </c>
    </row>
    <row r="218">
      <c r="A218" s="23" t="n"/>
      <c r="B218" s="19" t="n"/>
      <c r="C218" s="19" t="n"/>
      <c r="D218" s="7" t="n"/>
      <c r="E218" s="13" t="n"/>
      <c r="F218" s="19" t="n"/>
      <c r="G218" s="13" t="n"/>
      <c r="H218" s="19" t="n"/>
      <c r="I218" s="19" t="n"/>
      <c r="J218" s="13" t="n"/>
      <c r="K218" s="9">
        <f>IF(AND(C218&lt;&gt;"",N(D218)&gt;0,I218&lt;&gt;"Cancelado"),D218*IF(N(E218)&gt;0,E218,IFERROR(VLOOKUP(C218,Produtos!$A$4:$O$53,15,0),0))+N(G218),"")</f>
        <v/>
      </c>
      <c r="L218" s="9">
        <f>IF(K218="","",K218*IFERROR(VLOOKUP(H218,Config!$B$15:$C$19,2,0),0))</f>
        <v/>
      </c>
      <c r="M218" s="9">
        <f>IF(K218="","",D218*IFERROR(VLOOKUP(C218,Produtos!$A$4:$I$53,9,0),0))</f>
        <v/>
      </c>
      <c r="N218" s="9">
        <f>IF(K218="","",D218*IFERROR(VLOOKUP(C218,Produtos!$A$4:$J$53,10,0),0))</f>
        <v/>
      </c>
      <c r="O218" s="9">
        <f>IF(OR(K218="",F218=""),IF(K218="","",0),IFERROR(VLOOKUP(F218,Entrega!$A$4:$E$43,5,0),0))</f>
        <v/>
      </c>
      <c r="P218" s="9">
        <f>IF(K218="","",K218-L218-M218-N218-O218)</f>
        <v/>
      </c>
      <c r="Q218" s="9">
        <f>IF(K218="","",IF(I218="Entregue",0,K218-N(J218)))</f>
        <v/>
      </c>
      <c r="R218" s="12">
        <f>IF(ISNUMBER(A218),MONTH(A218),"")</f>
        <v/>
      </c>
      <c r="S218" s="12">
        <f>IF(ISNUMBER(A218),YEAR(A218),"")</f>
        <v/>
      </c>
    </row>
    <row r="219">
      <c r="A219" s="23" t="n"/>
      <c r="B219" s="19" t="n"/>
      <c r="C219" s="19" t="n"/>
      <c r="D219" s="7" t="n"/>
      <c r="E219" s="13" t="n"/>
      <c r="F219" s="19" t="n"/>
      <c r="G219" s="13" t="n"/>
      <c r="H219" s="19" t="n"/>
      <c r="I219" s="19" t="n"/>
      <c r="J219" s="13" t="n"/>
      <c r="K219" s="9">
        <f>IF(AND(C219&lt;&gt;"",N(D219)&gt;0,I219&lt;&gt;"Cancelado"),D219*IF(N(E219)&gt;0,E219,IFERROR(VLOOKUP(C219,Produtos!$A$4:$O$53,15,0),0))+N(G219),"")</f>
        <v/>
      </c>
      <c r="L219" s="9">
        <f>IF(K219="","",K219*IFERROR(VLOOKUP(H219,Config!$B$15:$C$19,2,0),0))</f>
        <v/>
      </c>
      <c r="M219" s="9">
        <f>IF(K219="","",D219*IFERROR(VLOOKUP(C219,Produtos!$A$4:$I$53,9,0),0))</f>
        <v/>
      </c>
      <c r="N219" s="9">
        <f>IF(K219="","",D219*IFERROR(VLOOKUP(C219,Produtos!$A$4:$J$53,10,0),0))</f>
        <v/>
      </c>
      <c r="O219" s="9">
        <f>IF(OR(K219="",F219=""),IF(K219="","",0),IFERROR(VLOOKUP(F219,Entrega!$A$4:$E$43,5,0),0))</f>
        <v/>
      </c>
      <c r="P219" s="9">
        <f>IF(K219="","",K219-L219-M219-N219-O219)</f>
        <v/>
      </c>
      <c r="Q219" s="9">
        <f>IF(K219="","",IF(I219="Entregue",0,K219-N(J219)))</f>
        <v/>
      </c>
      <c r="R219" s="12">
        <f>IF(ISNUMBER(A219),MONTH(A219),"")</f>
        <v/>
      </c>
      <c r="S219" s="12">
        <f>IF(ISNUMBER(A219),YEAR(A219),"")</f>
        <v/>
      </c>
    </row>
    <row r="220">
      <c r="A220" s="23" t="n"/>
      <c r="B220" s="19" t="n"/>
      <c r="C220" s="19" t="n"/>
      <c r="D220" s="7" t="n"/>
      <c r="E220" s="13" t="n"/>
      <c r="F220" s="19" t="n"/>
      <c r="G220" s="13" t="n"/>
      <c r="H220" s="19" t="n"/>
      <c r="I220" s="19" t="n"/>
      <c r="J220" s="13" t="n"/>
      <c r="K220" s="9">
        <f>IF(AND(C220&lt;&gt;"",N(D220)&gt;0,I220&lt;&gt;"Cancelado"),D220*IF(N(E220)&gt;0,E220,IFERROR(VLOOKUP(C220,Produtos!$A$4:$O$53,15,0),0))+N(G220),"")</f>
        <v/>
      </c>
      <c r="L220" s="9">
        <f>IF(K220="","",K220*IFERROR(VLOOKUP(H220,Config!$B$15:$C$19,2,0),0))</f>
        <v/>
      </c>
      <c r="M220" s="9">
        <f>IF(K220="","",D220*IFERROR(VLOOKUP(C220,Produtos!$A$4:$I$53,9,0),0))</f>
        <v/>
      </c>
      <c r="N220" s="9">
        <f>IF(K220="","",D220*IFERROR(VLOOKUP(C220,Produtos!$A$4:$J$53,10,0),0))</f>
        <v/>
      </c>
      <c r="O220" s="9">
        <f>IF(OR(K220="",F220=""),IF(K220="","",0),IFERROR(VLOOKUP(F220,Entrega!$A$4:$E$43,5,0),0))</f>
        <v/>
      </c>
      <c r="P220" s="9">
        <f>IF(K220="","",K220-L220-M220-N220-O220)</f>
        <v/>
      </c>
      <c r="Q220" s="9">
        <f>IF(K220="","",IF(I220="Entregue",0,K220-N(J220)))</f>
        <v/>
      </c>
      <c r="R220" s="12">
        <f>IF(ISNUMBER(A220),MONTH(A220),"")</f>
        <v/>
      </c>
      <c r="S220" s="12">
        <f>IF(ISNUMBER(A220),YEAR(A220),"")</f>
        <v/>
      </c>
    </row>
    <row r="221">
      <c r="A221" s="23" t="n"/>
      <c r="B221" s="19" t="n"/>
      <c r="C221" s="19" t="n"/>
      <c r="D221" s="7" t="n"/>
      <c r="E221" s="13" t="n"/>
      <c r="F221" s="19" t="n"/>
      <c r="G221" s="13" t="n"/>
      <c r="H221" s="19" t="n"/>
      <c r="I221" s="19" t="n"/>
      <c r="J221" s="13" t="n"/>
      <c r="K221" s="9">
        <f>IF(AND(C221&lt;&gt;"",N(D221)&gt;0,I221&lt;&gt;"Cancelado"),D221*IF(N(E221)&gt;0,E221,IFERROR(VLOOKUP(C221,Produtos!$A$4:$O$53,15,0),0))+N(G221),"")</f>
        <v/>
      </c>
      <c r="L221" s="9">
        <f>IF(K221="","",K221*IFERROR(VLOOKUP(H221,Config!$B$15:$C$19,2,0),0))</f>
        <v/>
      </c>
      <c r="M221" s="9">
        <f>IF(K221="","",D221*IFERROR(VLOOKUP(C221,Produtos!$A$4:$I$53,9,0),0))</f>
        <v/>
      </c>
      <c r="N221" s="9">
        <f>IF(K221="","",D221*IFERROR(VLOOKUP(C221,Produtos!$A$4:$J$53,10,0),0))</f>
        <v/>
      </c>
      <c r="O221" s="9">
        <f>IF(OR(K221="",F221=""),IF(K221="","",0),IFERROR(VLOOKUP(F221,Entrega!$A$4:$E$43,5,0),0))</f>
        <v/>
      </c>
      <c r="P221" s="9">
        <f>IF(K221="","",K221-L221-M221-N221-O221)</f>
        <v/>
      </c>
      <c r="Q221" s="9">
        <f>IF(K221="","",IF(I221="Entregue",0,K221-N(J221)))</f>
        <v/>
      </c>
      <c r="R221" s="12">
        <f>IF(ISNUMBER(A221),MONTH(A221),"")</f>
        <v/>
      </c>
      <c r="S221" s="12">
        <f>IF(ISNUMBER(A221),YEAR(A221),"")</f>
        <v/>
      </c>
    </row>
    <row r="222">
      <c r="A222" s="23" t="n"/>
      <c r="B222" s="19" t="n"/>
      <c r="C222" s="19" t="n"/>
      <c r="D222" s="7" t="n"/>
      <c r="E222" s="13" t="n"/>
      <c r="F222" s="19" t="n"/>
      <c r="G222" s="13" t="n"/>
      <c r="H222" s="19" t="n"/>
      <c r="I222" s="19" t="n"/>
      <c r="J222" s="13" t="n"/>
      <c r="K222" s="9">
        <f>IF(AND(C222&lt;&gt;"",N(D222)&gt;0,I222&lt;&gt;"Cancelado"),D222*IF(N(E222)&gt;0,E222,IFERROR(VLOOKUP(C222,Produtos!$A$4:$O$53,15,0),0))+N(G222),"")</f>
        <v/>
      </c>
      <c r="L222" s="9">
        <f>IF(K222="","",K222*IFERROR(VLOOKUP(H222,Config!$B$15:$C$19,2,0),0))</f>
        <v/>
      </c>
      <c r="M222" s="9">
        <f>IF(K222="","",D222*IFERROR(VLOOKUP(C222,Produtos!$A$4:$I$53,9,0),0))</f>
        <v/>
      </c>
      <c r="N222" s="9">
        <f>IF(K222="","",D222*IFERROR(VLOOKUP(C222,Produtos!$A$4:$J$53,10,0),0))</f>
        <v/>
      </c>
      <c r="O222" s="9">
        <f>IF(OR(K222="",F222=""),IF(K222="","",0),IFERROR(VLOOKUP(F222,Entrega!$A$4:$E$43,5,0),0))</f>
        <v/>
      </c>
      <c r="P222" s="9">
        <f>IF(K222="","",K222-L222-M222-N222-O222)</f>
        <v/>
      </c>
      <c r="Q222" s="9">
        <f>IF(K222="","",IF(I222="Entregue",0,K222-N(J222)))</f>
        <v/>
      </c>
      <c r="R222" s="12">
        <f>IF(ISNUMBER(A222),MONTH(A222),"")</f>
        <v/>
      </c>
      <c r="S222" s="12">
        <f>IF(ISNUMBER(A222),YEAR(A222),"")</f>
        <v/>
      </c>
    </row>
    <row r="223">
      <c r="A223" s="23" t="n"/>
      <c r="B223" s="19" t="n"/>
      <c r="C223" s="19" t="n"/>
      <c r="D223" s="7" t="n"/>
      <c r="E223" s="13" t="n"/>
      <c r="F223" s="19" t="n"/>
      <c r="G223" s="13" t="n"/>
      <c r="H223" s="19" t="n"/>
      <c r="I223" s="19" t="n"/>
      <c r="J223" s="13" t="n"/>
      <c r="K223" s="9">
        <f>IF(AND(C223&lt;&gt;"",N(D223)&gt;0,I223&lt;&gt;"Cancelado"),D223*IF(N(E223)&gt;0,E223,IFERROR(VLOOKUP(C223,Produtos!$A$4:$O$53,15,0),0))+N(G223),"")</f>
        <v/>
      </c>
      <c r="L223" s="9">
        <f>IF(K223="","",K223*IFERROR(VLOOKUP(H223,Config!$B$15:$C$19,2,0),0))</f>
        <v/>
      </c>
      <c r="M223" s="9">
        <f>IF(K223="","",D223*IFERROR(VLOOKUP(C223,Produtos!$A$4:$I$53,9,0),0))</f>
        <v/>
      </c>
      <c r="N223" s="9">
        <f>IF(K223="","",D223*IFERROR(VLOOKUP(C223,Produtos!$A$4:$J$53,10,0),0))</f>
        <v/>
      </c>
      <c r="O223" s="9">
        <f>IF(OR(K223="",F223=""),IF(K223="","",0),IFERROR(VLOOKUP(F223,Entrega!$A$4:$E$43,5,0),0))</f>
        <v/>
      </c>
      <c r="P223" s="9">
        <f>IF(K223="","",K223-L223-M223-N223-O223)</f>
        <v/>
      </c>
      <c r="Q223" s="9">
        <f>IF(K223="","",IF(I223="Entregue",0,K223-N(J223)))</f>
        <v/>
      </c>
      <c r="R223" s="12">
        <f>IF(ISNUMBER(A223),MONTH(A223),"")</f>
        <v/>
      </c>
      <c r="S223" s="12">
        <f>IF(ISNUMBER(A223),YEAR(A223),"")</f>
        <v/>
      </c>
    </row>
    <row r="224">
      <c r="A224" s="23" t="n"/>
      <c r="B224" s="19" t="n"/>
      <c r="C224" s="19" t="n"/>
      <c r="D224" s="7" t="n"/>
      <c r="E224" s="13" t="n"/>
      <c r="F224" s="19" t="n"/>
      <c r="G224" s="13" t="n"/>
      <c r="H224" s="19" t="n"/>
      <c r="I224" s="19" t="n"/>
      <c r="J224" s="13" t="n"/>
      <c r="K224" s="9">
        <f>IF(AND(C224&lt;&gt;"",N(D224)&gt;0,I224&lt;&gt;"Cancelado"),D224*IF(N(E224)&gt;0,E224,IFERROR(VLOOKUP(C224,Produtos!$A$4:$O$53,15,0),0))+N(G224),"")</f>
        <v/>
      </c>
      <c r="L224" s="9">
        <f>IF(K224="","",K224*IFERROR(VLOOKUP(H224,Config!$B$15:$C$19,2,0),0))</f>
        <v/>
      </c>
      <c r="M224" s="9">
        <f>IF(K224="","",D224*IFERROR(VLOOKUP(C224,Produtos!$A$4:$I$53,9,0),0))</f>
        <v/>
      </c>
      <c r="N224" s="9">
        <f>IF(K224="","",D224*IFERROR(VLOOKUP(C224,Produtos!$A$4:$J$53,10,0),0))</f>
        <v/>
      </c>
      <c r="O224" s="9">
        <f>IF(OR(K224="",F224=""),IF(K224="","",0),IFERROR(VLOOKUP(F224,Entrega!$A$4:$E$43,5,0),0))</f>
        <v/>
      </c>
      <c r="P224" s="9">
        <f>IF(K224="","",K224-L224-M224-N224-O224)</f>
        <v/>
      </c>
      <c r="Q224" s="9">
        <f>IF(K224="","",IF(I224="Entregue",0,K224-N(J224)))</f>
        <v/>
      </c>
      <c r="R224" s="12">
        <f>IF(ISNUMBER(A224),MONTH(A224),"")</f>
        <v/>
      </c>
      <c r="S224" s="12">
        <f>IF(ISNUMBER(A224),YEAR(A224),"")</f>
        <v/>
      </c>
    </row>
    <row r="225">
      <c r="A225" s="23" t="n"/>
      <c r="B225" s="19" t="n"/>
      <c r="C225" s="19" t="n"/>
      <c r="D225" s="7" t="n"/>
      <c r="E225" s="13" t="n"/>
      <c r="F225" s="19" t="n"/>
      <c r="G225" s="13" t="n"/>
      <c r="H225" s="19" t="n"/>
      <c r="I225" s="19" t="n"/>
      <c r="J225" s="13" t="n"/>
      <c r="K225" s="9">
        <f>IF(AND(C225&lt;&gt;"",N(D225)&gt;0,I225&lt;&gt;"Cancelado"),D225*IF(N(E225)&gt;0,E225,IFERROR(VLOOKUP(C225,Produtos!$A$4:$O$53,15,0),0))+N(G225),"")</f>
        <v/>
      </c>
      <c r="L225" s="9">
        <f>IF(K225="","",K225*IFERROR(VLOOKUP(H225,Config!$B$15:$C$19,2,0),0))</f>
        <v/>
      </c>
      <c r="M225" s="9">
        <f>IF(K225="","",D225*IFERROR(VLOOKUP(C225,Produtos!$A$4:$I$53,9,0),0))</f>
        <v/>
      </c>
      <c r="N225" s="9">
        <f>IF(K225="","",D225*IFERROR(VLOOKUP(C225,Produtos!$A$4:$J$53,10,0),0))</f>
        <v/>
      </c>
      <c r="O225" s="9">
        <f>IF(OR(K225="",F225=""),IF(K225="","",0),IFERROR(VLOOKUP(F225,Entrega!$A$4:$E$43,5,0),0))</f>
        <v/>
      </c>
      <c r="P225" s="9">
        <f>IF(K225="","",K225-L225-M225-N225-O225)</f>
        <v/>
      </c>
      <c r="Q225" s="9">
        <f>IF(K225="","",IF(I225="Entregue",0,K225-N(J225)))</f>
        <v/>
      </c>
      <c r="R225" s="12">
        <f>IF(ISNUMBER(A225),MONTH(A225),"")</f>
        <v/>
      </c>
      <c r="S225" s="12">
        <f>IF(ISNUMBER(A225),YEAR(A225),"")</f>
        <v/>
      </c>
    </row>
    <row r="226">
      <c r="A226" s="23" t="n"/>
      <c r="B226" s="19" t="n"/>
      <c r="C226" s="19" t="n"/>
      <c r="D226" s="7" t="n"/>
      <c r="E226" s="13" t="n"/>
      <c r="F226" s="19" t="n"/>
      <c r="G226" s="13" t="n"/>
      <c r="H226" s="19" t="n"/>
      <c r="I226" s="19" t="n"/>
      <c r="J226" s="13" t="n"/>
      <c r="K226" s="9">
        <f>IF(AND(C226&lt;&gt;"",N(D226)&gt;0,I226&lt;&gt;"Cancelado"),D226*IF(N(E226)&gt;0,E226,IFERROR(VLOOKUP(C226,Produtos!$A$4:$O$53,15,0),0))+N(G226),"")</f>
        <v/>
      </c>
      <c r="L226" s="9">
        <f>IF(K226="","",K226*IFERROR(VLOOKUP(H226,Config!$B$15:$C$19,2,0),0))</f>
        <v/>
      </c>
      <c r="M226" s="9">
        <f>IF(K226="","",D226*IFERROR(VLOOKUP(C226,Produtos!$A$4:$I$53,9,0),0))</f>
        <v/>
      </c>
      <c r="N226" s="9">
        <f>IF(K226="","",D226*IFERROR(VLOOKUP(C226,Produtos!$A$4:$J$53,10,0),0))</f>
        <v/>
      </c>
      <c r="O226" s="9">
        <f>IF(OR(K226="",F226=""),IF(K226="","",0),IFERROR(VLOOKUP(F226,Entrega!$A$4:$E$43,5,0),0))</f>
        <v/>
      </c>
      <c r="P226" s="9">
        <f>IF(K226="","",K226-L226-M226-N226-O226)</f>
        <v/>
      </c>
      <c r="Q226" s="9">
        <f>IF(K226="","",IF(I226="Entregue",0,K226-N(J226)))</f>
        <v/>
      </c>
      <c r="R226" s="12">
        <f>IF(ISNUMBER(A226),MONTH(A226),"")</f>
        <v/>
      </c>
      <c r="S226" s="12">
        <f>IF(ISNUMBER(A226),YEAR(A226),"")</f>
        <v/>
      </c>
    </row>
    <row r="227">
      <c r="A227" s="23" t="n"/>
      <c r="B227" s="19" t="n"/>
      <c r="C227" s="19" t="n"/>
      <c r="D227" s="7" t="n"/>
      <c r="E227" s="13" t="n"/>
      <c r="F227" s="19" t="n"/>
      <c r="G227" s="13" t="n"/>
      <c r="H227" s="19" t="n"/>
      <c r="I227" s="19" t="n"/>
      <c r="J227" s="13" t="n"/>
      <c r="K227" s="9">
        <f>IF(AND(C227&lt;&gt;"",N(D227)&gt;0,I227&lt;&gt;"Cancelado"),D227*IF(N(E227)&gt;0,E227,IFERROR(VLOOKUP(C227,Produtos!$A$4:$O$53,15,0),0))+N(G227),"")</f>
        <v/>
      </c>
      <c r="L227" s="9">
        <f>IF(K227="","",K227*IFERROR(VLOOKUP(H227,Config!$B$15:$C$19,2,0),0))</f>
        <v/>
      </c>
      <c r="M227" s="9">
        <f>IF(K227="","",D227*IFERROR(VLOOKUP(C227,Produtos!$A$4:$I$53,9,0),0))</f>
        <v/>
      </c>
      <c r="N227" s="9">
        <f>IF(K227="","",D227*IFERROR(VLOOKUP(C227,Produtos!$A$4:$J$53,10,0),0))</f>
        <v/>
      </c>
      <c r="O227" s="9">
        <f>IF(OR(K227="",F227=""),IF(K227="","",0),IFERROR(VLOOKUP(F227,Entrega!$A$4:$E$43,5,0),0))</f>
        <v/>
      </c>
      <c r="P227" s="9">
        <f>IF(K227="","",K227-L227-M227-N227-O227)</f>
        <v/>
      </c>
      <c r="Q227" s="9">
        <f>IF(K227="","",IF(I227="Entregue",0,K227-N(J227)))</f>
        <v/>
      </c>
      <c r="R227" s="12">
        <f>IF(ISNUMBER(A227),MONTH(A227),"")</f>
        <v/>
      </c>
      <c r="S227" s="12">
        <f>IF(ISNUMBER(A227),YEAR(A227),"")</f>
        <v/>
      </c>
    </row>
    <row r="228">
      <c r="A228" s="23" t="n"/>
      <c r="B228" s="19" t="n"/>
      <c r="C228" s="19" t="n"/>
      <c r="D228" s="7" t="n"/>
      <c r="E228" s="13" t="n"/>
      <c r="F228" s="19" t="n"/>
      <c r="G228" s="13" t="n"/>
      <c r="H228" s="19" t="n"/>
      <c r="I228" s="19" t="n"/>
      <c r="J228" s="13" t="n"/>
      <c r="K228" s="9">
        <f>IF(AND(C228&lt;&gt;"",N(D228)&gt;0,I228&lt;&gt;"Cancelado"),D228*IF(N(E228)&gt;0,E228,IFERROR(VLOOKUP(C228,Produtos!$A$4:$O$53,15,0),0))+N(G228),"")</f>
        <v/>
      </c>
      <c r="L228" s="9">
        <f>IF(K228="","",K228*IFERROR(VLOOKUP(H228,Config!$B$15:$C$19,2,0),0))</f>
        <v/>
      </c>
      <c r="M228" s="9">
        <f>IF(K228="","",D228*IFERROR(VLOOKUP(C228,Produtos!$A$4:$I$53,9,0),0))</f>
        <v/>
      </c>
      <c r="N228" s="9">
        <f>IF(K228="","",D228*IFERROR(VLOOKUP(C228,Produtos!$A$4:$J$53,10,0),0))</f>
        <v/>
      </c>
      <c r="O228" s="9">
        <f>IF(OR(K228="",F228=""),IF(K228="","",0),IFERROR(VLOOKUP(F228,Entrega!$A$4:$E$43,5,0),0))</f>
        <v/>
      </c>
      <c r="P228" s="9">
        <f>IF(K228="","",K228-L228-M228-N228-O228)</f>
        <v/>
      </c>
      <c r="Q228" s="9">
        <f>IF(K228="","",IF(I228="Entregue",0,K228-N(J228)))</f>
        <v/>
      </c>
      <c r="R228" s="12">
        <f>IF(ISNUMBER(A228),MONTH(A228),"")</f>
        <v/>
      </c>
      <c r="S228" s="12">
        <f>IF(ISNUMBER(A228),YEAR(A228),"")</f>
        <v/>
      </c>
    </row>
    <row r="229">
      <c r="A229" s="23" t="n"/>
      <c r="B229" s="19" t="n"/>
      <c r="C229" s="19" t="n"/>
      <c r="D229" s="7" t="n"/>
      <c r="E229" s="13" t="n"/>
      <c r="F229" s="19" t="n"/>
      <c r="G229" s="13" t="n"/>
      <c r="H229" s="19" t="n"/>
      <c r="I229" s="19" t="n"/>
      <c r="J229" s="13" t="n"/>
      <c r="K229" s="9">
        <f>IF(AND(C229&lt;&gt;"",N(D229)&gt;0,I229&lt;&gt;"Cancelado"),D229*IF(N(E229)&gt;0,E229,IFERROR(VLOOKUP(C229,Produtos!$A$4:$O$53,15,0),0))+N(G229),"")</f>
        <v/>
      </c>
      <c r="L229" s="9">
        <f>IF(K229="","",K229*IFERROR(VLOOKUP(H229,Config!$B$15:$C$19,2,0),0))</f>
        <v/>
      </c>
      <c r="M229" s="9">
        <f>IF(K229="","",D229*IFERROR(VLOOKUP(C229,Produtos!$A$4:$I$53,9,0),0))</f>
        <v/>
      </c>
      <c r="N229" s="9">
        <f>IF(K229="","",D229*IFERROR(VLOOKUP(C229,Produtos!$A$4:$J$53,10,0),0))</f>
        <v/>
      </c>
      <c r="O229" s="9">
        <f>IF(OR(K229="",F229=""),IF(K229="","",0),IFERROR(VLOOKUP(F229,Entrega!$A$4:$E$43,5,0),0))</f>
        <v/>
      </c>
      <c r="P229" s="9">
        <f>IF(K229="","",K229-L229-M229-N229-O229)</f>
        <v/>
      </c>
      <c r="Q229" s="9">
        <f>IF(K229="","",IF(I229="Entregue",0,K229-N(J229)))</f>
        <v/>
      </c>
      <c r="R229" s="12">
        <f>IF(ISNUMBER(A229),MONTH(A229),"")</f>
        <v/>
      </c>
      <c r="S229" s="12">
        <f>IF(ISNUMBER(A229),YEAR(A229),"")</f>
        <v/>
      </c>
    </row>
    <row r="230">
      <c r="A230" s="23" t="n"/>
      <c r="B230" s="19" t="n"/>
      <c r="C230" s="19" t="n"/>
      <c r="D230" s="7" t="n"/>
      <c r="E230" s="13" t="n"/>
      <c r="F230" s="19" t="n"/>
      <c r="G230" s="13" t="n"/>
      <c r="H230" s="19" t="n"/>
      <c r="I230" s="19" t="n"/>
      <c r="J230" s="13" t="n"/>
      <c r="K230" s="9">
        <f>IF(AND(C230&lt;&gt;"",N(D230)&gt;0,I230&lt;&gt;"Cancelado"),D230*IF(N(E230)&gt;0,E230,IFERROR(VLOOKUP(C230,Produtos!$A$4:$O$53,15,0),0))+N(G230),"")</f>
        <v/>
      </c>
      <c r="L230" s="9">
        <f>IF(K230="","",K230*IFERROR(VLOOKUP(H230,Config!$B$15:$C$19,2,0),0))</f>
        <v/>
      </c>
      <c r="M230" s="9">
        <f>IF(K230="","",D230*IFERROR(VLOOKUP(C230,Produtos!$A$4:$I$53,9,0),0))</f>
        <v/>
      </c>
      <c r="N230" s="9">
        <f>IF(K230="","",D230*IFERROR(VLOOKUP(C230,Produtos!$A$4:$J$53,10,0),0))</f>
        <v/>
      </c>
      <c r="O230" s="9">
        <f>IF(OR(K230="",F230=""),IF(K230="","",0),IFERROR(VLOOKUP(F230,Entrega!$A$4:$E$43,5,0),0))</f>
        <v/>
      </c>
      <c r="P230" s="9">
        <f>IF(K230="","",K230-L230-M230-N230-O230)</f>
        <v/>
      </c>
      <c r="Q230" s="9">
        <f>IF(K230="","",IF(I230="Entregue",0,K230-N(J230)))</f>
        <v/>
      </c>
      <c r="R230" s="12">
        <f>IF(ISNUMBER(A230),MONTH(A230),"")</f>
        <v/>
      </c>
      <c r="S230" s="12">
        <f>IF(ISNUMBER(A230),YEAR(A230),"")</f>
        <v/>
      </c>
    </row>
    <row r="231">
      <c r="A231" s="23" t="n"/>
      <c r="B231" s="19" t="n"/>
      <c r="C231" s="19" t="n"/>
      <c r="D231" s="7" t="n"/>
      <c r="E231" s="13" t="n"/>
      <c r="F231" s="19" t="n"/>
      <c r="G231" s="13" t="n"/>
      <c r="H231" s="19" t="n"/>
      <c r="I231" s="19" t="n"/>
      <c r="J231" s="13" t="n"/>
      <c r="K231" s="9">
        <f>IF(AND(C231&lt;&gt;"",N(D231)&gt;0,I231&lt;&gt;"Cancelado"),D231*IF(N(E231)&gt;0,E231,IFERROR(VLOOKUP(C231,Produtos!$A$4:$O$53,15,0),0))+N(G231),"")</f>
        <v/>
      </c>
      <c r="L231" s="9">
        <f>IF(K231="","",K231*IFERROR(VLOOKUP(H231,Config!$B$15:$C$19,2,0),0))</f>
        <v/>
      </c>
      <c r="M231" s="9">
        <f>IF(K231="","",D231*IFERROR(VLOOKUP(C231,Produtos!$A$4:$I$53,9,0),0))</f>
        <v/>
      </c>
      <c r="N231" s="9">
        <f>IF(K231="","",D231*IFERROR(VLOOKUP(C231,Produtos!$A$4:$J$53,10,0),0))</f>
        <v/>
      </c>
      <c r="O231" s="9">
        <f>IF(OR(K231="",F231=""),IF(K231="","",0),IFERROR(VLOOKUP(F231,Entrega!$A$4:$E$43,5,0),0))</f>
        <v/>
      </c>
      <c r="P231" s="9">
        <f>IF(K231="","",K231-L231-M231-N231-O231)</f>
        <v/>
      </c>
      <c r="Q231" s="9">
        <f>IF(K231="","",IF(I231="Entregue",0,K231-N(J231)))</f>
        <v/>
      </c>
      <c r="R231" s="12">
        <f>IF(ISNUMBER(A231),MONTH(A231),"")</f>
        <v/>
      </c>
      <c r="S231" s="12">
        <f>IF(ISNUMBER(A231),YEAR(A231),"")</f>
        <v/>
      </c>
    </row>
    <row r="232">
      <c r="A232" s="23" t="n"/>
      <c r="B232" s="19" t="n"/>
      <c r="C232" s="19" t="n"/>
      <c r="D232" s="7" t="n"/>
      <c r="E232" s="13" t="n"/>
      <c r="F232" s="19" t="n"/>
      <c r="G232" s="13" t="n"/>
      <c r="H232" s="19" t="n"/>
      <c r="I232" s="19" t="n"/>
      <c r="J232" s="13" t="n"/>
      <c r="K232" s="9">
        <f>IF(AND(C232&lt;&gt;"",N(D232)&gt;0,I232&lt;&gt;"Cancelado"),D232*IF(N(E232)&gt;0,E232,IFERROR(VLOOKUP(C232,Produtos!$A$4:$O$53,15,0),0))+N(G232),"")</f>
        <v/>
      </c>
      <c r="L232" s="9">
        <f>IF(K232="","",K232*IFERROR(VLOOKUP(H232,Config!$B$15:$C$19,2,0),0))</f>
        <v/>
      </c>
      <c r="M232" s="9">
        <f>IF(K232="","",D232*IFERROR(VLOOKUP(C232,Produtos!$A$4:$I$53,9,0),0))</f>
        <v/>
      </c>
      <c r="N232" s="9">
        <f>IF(K232="","",D232*IFERROR(VLOOKUP(C232,Produtos!$A$4:$J$53,10,0),0))</f>
        <v/>
      </c>
      <c r="O232" s="9">
        <f>IF(OR(K232="",F232=""),IF(K232="","",0),IFERROR(VLOOKUP(F232,Entrega!$A$4:$E$43,5,0),0))</f>
        <v/>
      </c>
      <c r="P232" s="9">
        <f>IF(K232="","",K232-L232-M232-N232-O232)</f>
        <v/>
      </c>
      <c r="Q232" s="9">
        <f>IF(K232="","",IF(I232="Entregue",0,K232-N(J232)))</f>
        <v/>
      </c>
      <c r="R232" s="12">
        <f>IF(ISNUMBER(A232),MONTH(A232),"")</f>
        <v/>
      </c>
      <c r="S232" s="12">
        <f>IF(ISNUMBER(A232),YEAR(A232),"")</f>
        <v/>
      </c>
    </row>
    <row r="233">
      <c r="A233" s="23" t="n"/>
      <c r="B233" s="19" t="n"/>
      <c r="C233" s="19" t="n"/>
      <c r="D233" s="7" t="n"/>
      <c r="E233" s="13" t="n"/>
      <c r="F233" s="19" t="n"/>
      <c r="G233" s="13" t="n"/>
      <c r="H233" s="19" t="n"/>
      <c r="I233" s="19" t="n"/>
      <c r="J233" s="13" t="n"/>
      <c r="K233" s="9">
        <f>IF(AND(C233&lt;&gt;"",N(D233)&gt;0,I233&lt;&gt;"Cancelado"),D233*IF(N(E233)&gt;0,E233,IFERROR(VLOOKUP(C233,Produtos!$A$4:$O$53,15,0),0))+N(G233),"")</f>
        <v/>
      </c>
      <c r="L233" s="9">
        <f>IF(K233="","",K233*IFERROR(VLOOKUP(H233,Config!$B$15:$C$19,2,0),0))</f>
        <v/>
      </c>
      <c r="M233" s="9">
        <f>IF(K233="","",D233*IFERROR(VLOOKUP(C233,Produtos!$A$4:$I$53,9,0),0))</f>
        <v/>
      </c>
      <c r="N233" s="9">
        <f>IF(K233="","",D233*IFERROR(VLOOKUP(C233,Produtos!$A$4:$J$53,10,0),0))</f>
        <v/>
      </c>
      <c r="O233" s="9">
        <f>IF(OR(K233="",F233=""),IF(K233="","",0),IFERROR(VLOOKUP(F233,Entrega!$A$4:$E$43,5,0),0))</f>
        <v/>
      </c>
      <c r="P233" s="9">
        <f>IF(K233="","",K233-L233-M233-N233-O233)</f>
        <v/>
      </c>
      <c r="Q233" s="9">
        <f>IF(K233="","",IF(I233="Entregue",0,K233-N(J233)))</f>
        <v/>
      </c>
      <c r="R233" s="12">
        <f>IF(ISNUMBER(A233),MONTH(A233),"")</f>
        <v/>
      </c>
      <c r="S233" s="12">
        <f>IF(ISNUMBER(A233),YEAR(A233),"")</f>
        <v/>
      </c>
    </row>
    <row r="234">
      <c r="A234" s="23" t="n"/>
      <c r="B234" s="19" t="n"/>
      <c r="C234" s="19" t="n"/>
      <c r="D234" s="7" t="n"/>
      <c r="E234" s="13" t="n"/>
      <c r="F234" s="19" t="n"/>
      <c r="G234" s="13" t="n"/>
      <c r="H234" s="19" t="n"/>
      <c r="I234" s="19" t="n"/>
      <c r="J234" s="13" t="n"/>
      <c r="K234" s="9">
        <f>IF(AND(C234&lt;&gt;"",N(D234)&gt;0,I234&lt;&gt;"Cancelado"),D234*IF(N(E234)&gt;0,E234,IFERROR(VLOOKUP(C234,Produtos!$A$4:$O$53,15,0),0))+N(G234),"")</f>
        <v/>
      </c>
      <c r="L234" s="9">
        <f>IF(K234="","",K234*IFERROR(VLOOKUP(H234,Config!$B$15:$C$19,2,0),0))</f>
        <v/>
      </c>
      <c r="M234" s="9">
        <f>IF(K234="","",D234*IFERROR(VLOOKUP(C234,Produtos!$A$4:$I$53,9,0),0))</f>
        <v/>
      </c>
      <c r="N234" s="9">
        <f>IF(K234="","",D234*IFERROR(VLOOKUP(C234,Produtos!$A$4:$J$53,10,0),0))</f>
        <v/>
      </c>
      <c r="O234" s="9">
        <f>IF(OR(K234="",F234=""),IF(K234="","",0),IFERROR(VLOOKUP(F234,Entrega!$A$4:$E$43,5,0),0))</f>
        <v/>
      </c>
      <c r="P234" s="9">
        <f>IF(K234="","",K234-L234-M234-N234-O234)</f>
        <v/>
      </c>
      <c r="Q234" s="9">
        <f>IF(K234="","",IF(I234="Entregue",0,K234-N(J234)))</f>
        <v/>
      </c>
      <c r="R234" s="12">
        <f>IF(ISNUMBER(A234),MONTH(A234),"")</f>
        <v/>
      </c>
      <c r="S234" s="12">
        <f>IF(ISNUMBER(A234),YEAR(A234),"")</f>
        <v/>
      </c>
    </row>
    <row r="235">
      <c r="A235" s="23" t="n"/>
      <c r="B235" s="19" t="n"/>
      <c r="C235" s="19" t="n"/>
      <c r="D235" s="7" t="n"/>
      <c r="E235" s="13" t="n"/>
      <c r="F235" s="19" t="n"/>
      <c r="G235" s="13" t="n"/>
      <c r="H235" s="19" t="n"/>
      <c r="I235" s="19" t="n"/>
      <c r="J235" s="13" t="n"/>
      <c r="K235" s="9">
        <f>IF(AND(C235&lt;&gt;"",N(D235)&gt;0,I235&lt;&gt;"Cancelado"),D235*IF(N(E235)&gt;0,E235,IFERROR(VLOOKUP(C235,Produtos!$A$4:$O$53,15,0),0))+N(G235),"")</f>
        <v/>
      </c>
      <c r="L235" s="9">
        <f>IF(K235="","",K235*IFERROR(VLOOKUP(H235,Config!$B$15:$C$19,2,0),0))</f>
        <v/>
      </c>
      <c r="M235" s="9">
        <f>IF(K235="","",D235*IFERROR(VLOOKUP(C235,Produtos!$A$4:$I$53,9,0),0))</f>
        <v/>
      </c>
      <c r="N235" s="9">
        <f>IF(K235="","",D235*IFERROR(VLOOKUP(C235,Produtos!$A$4:$J$53,10,0),0))</f>
        <v/>
      </c>
      <c r="O235" s="9">
        <f>IF(OR(K235="",F235=""),IF(K235="","",0),IFERROR(VLOOKUP(F235,Entrega!$A$4:$E$43,5,0),0))</f>
        <v/>
      </c>
      <c r="P235" s="9">
        <f>IF(K235="","",K235-L235-M235-N235-O235)</f>
        <v/>
      </c>
      <c r="Q235" s="9">
        <f>IF(K235="","",IF(I235="Entregue",0,K235-N(J235)))</f>
        <v/>
      </c>
      <c r="R235" s="12">
        <f>IF(ISNUMBER(A235),MONTH(A235),"")</f>
        <v/>
      </c>
      <c r="S235" s="12">
        <f>IF(ISNUMBER(A235),YEAR(A235),"")</f>
        <v/>
      </c>
    </row>
    <row r="236">
      <c r="A236" s="23" t="n"/>
      <c r="B236" s="19" t="n"/>
      <c r="C236" s="19" t="n"/>
      <c r="D236" s="7" t="n"/>
      <c r="E236" s="13" t="n"/>
      <c r="F236" s="19" t="n"/>
      <c r="G236" s="13" t="n"/>
      <c r="H236" s="19" t="n"/>
      <c r="I236" s="19" t="n"/>
      <c r="J236" s="13" t="n"/>
      <c r="K236" s="9">
        <f>IF(AND(C236&lt;&gt;"",N(D236)&gt;0,I236&lt;&gt;"Cancelado"),D236*IF(N(E236)&gt;0,E236,IFERROR(VLOOKUP(C236,Produtos!$A$4:$O$53,15,0),0))+N(G236),"")</f>
        <v/>
      </c>
      <c r="L236" s="9">
        <f>IF(K236="","",K236*IFERROR(VLOOKUP(H236,Config!$B$15:$C$19,2,0),0))</f>
        <v/>
      </c>
      <c r="M236" s="9">
        <f>IF(K236="","",D236*IFERROR(VLOOKUP(C236,Produtos!$A$4:$I$53,9,0),0))</f>
        <v/>
      </c>
      <c r="N236" s="9">
        <f>IF(K236="","",D236*IFERROR(VLOOKUP(C236,Produtos!$A$4:$J$53,10,0),0))</f>
        <v/>
      </c>
      <c r="O236" s="9">
        <f>IF(OR(K236="",F236=""),IF(K236="","",0),IFERROR(VLOOKUP(F236,Entrega!$A$4:$E$43,5,0),0))</f>
        <v/>
      </c>
      <c r="P236" s="9">
        <f>IF(K236="","",K236-L236-M236-N236-O236)</f>
        <v/>
      </c>
      <c r="Q236" s="9">
        <f>IF(K236="","",IF(I236="Entregue",0,K236-N(J236)))</f>
        <v/>
      </c>
      <c r="R236" s="12">
        <f>IF(ISNUMBER(A236),MONTH(A236),"")</f>
        <v/>
      </c>
      <c r="S236" s="12">
        <f>IF(ISNUMBER(A236),YEAR(A236),"")</f>
        <v/>
      </c>
    </row>
    <row r="237">
      <c r="A237" s="23" t="n"/>
      <c r="B237" s="19" t="n"/>
      <c r="C237" s="19" t="n"/>
      <c r="D237" s="7" t="n"/>
      <c r="E237" s="13" t="n"/>
      <c r="F237" s="19" t="n"/>
      <c r="G237" s="13" t="n"/>
      <c r="H237" s="19" t="n"/>
      <c r="I237" s="19" t="n"/>
      <c r="J237" s="13" t="n"/>
      <c r="K237" s="9">
        <f>IF(AND(C237&lt;&gt;"",N(D237)&gt;0,I237&lt;&gt;"Cancelado"),D237*IF(N(E237)&gt;0,E237,IFERROR(VLOOKUP(C237,Produtos!$A$4:$O$53,15,0),0))+N(G237),"")</f>
        <v/>
      </c>
      <c r="L237" s="9">
        <f>IF(K237="","",K237*IFERROR(VLOOKUP(H237,Config!$B$15:$C$19,2,0),0))</f>
        <v/>
      </c>
      <c r="M237" s="9">
        <f>IF(K237="","",D237*IFERROR(VLOOKUP(C237,Produtos!$A$4:$I$53,9,0),0))</f>
        <v/>
      </c>
      <c r="N237" s="9">
        <f>IF(K237="","",D237*IFERROR(VLOOKUP(C237,Produtos!$A$4:$J$53,10,0),0))</f>
        <v/>
      </c>
      <c r="O237" s="9">
        <f>IF(OR(K237="",F237=""),IF(K237="","",0),IFERROR(VLOOKUP(F237,Entrega!$A$4:$E$43,5,0),0))</f>
        <v/>
      </c>
      <c r="P237" s="9">
        <f>IF(K237="","",K237-L237-M237-N237-O237)</f>
        <v/>
      </c>
      <c r="Q237" s="9">
        <f>IF(K237="","",IF(I237="Entregue",0,K237-N(J237)))</f>
        <v/>
      </c>
      <c r="R237" s="12">
        <f>IF(ISNUMBER(A237),MONTH(A237),"")</f>
        <v/>
      </c>
      <c r="S237" s="12">
        <f>IF(ISNUMBER(A237),YEAR(A237),"")</f>
        <v/>
      </c>
    </row>
    <row r="238">
      <c r="A238" s="23" t="n"/>
      <c r="B238" s="19" t="n"/>
      <c r="C238" s="19" t="n"/>
      <c r="D238" s="7" t="n"/>
      <c r="E238" s="13" t="n"/>
      <c r="F238" s="19" t="n"/>
      <c r="G238" s="13" t="n"/>
      <c r="H238" s="19" t="n"/>
      <c r="I238" s="19" t="n"/>
      <c r="J238" s="13" t="n"/>
      <c r="K238" s="9">
        <f>IF(AND(C238&lt;&gt;"",N(D238)&gt;0,I238&lt;&gt;"Cancelado"),D238*IF(N(E238)&gt;0,E238,IFERROR(VLOOKUP(C238,Produtos!$A$4:$O$53,15,0),0))+N(G238),"")</f>
        <v/>
      </c>
      <c r="L238" s="9">
        <f>IF(K238="","",K238*IFERROR(VLOOKUP(H238,Config!$B$15:$C$19,2,0),0))</f>
        <v/>
      </c>
      <c r="M238" s="9">
        <f>IF(K238="","",D238*IFERROR(VLOOKUP(C238,Produtos!$A$4:$I$53,9,0),0))</f>
        <v/>
      </c>
      <c r="N238" s="9">
        <f>IF(K238="","",D238*IFERROR(VLOOKUP(C238,Produtos!$A$4:$J$53,10,0),0))</f>
        <v/>
      </c>
      <c r="O238" s="9">
        <f>IF(OR(K238="",F238=""),IF(K238="","",0),IFERROR(VLOOKUP(F238,Entrega!$A$4:$E$43,5,0),0))</f>
        <v/>
      </c>
      <c r="P238" s="9">
        <f>IF(K238="","",K238-L238-M238-N238-O238)</f>
        <v/>
      </c>
      <c r="Q238" s="9">
        <f>IF(K238="","",IF(I238="Entregue",0,K238-N(J238)))</f>
        <v/>
      </c>
      <c r="R238" s="12">
        <f>IF(ISNUMBER(A238),MONTH(A238),"")</f>
        <v/>
      </c>
      <c r="S238" s="12">
        <f>IF(ISNUMBER(A238),YEAR(A238),"")</f>
        <v/>
      </c>
    </row>
    <row r="239">
      <c r="A239" s="23" t="n"/>
      <c r="B239" s="19" t="n"/>
      <c r="C239" s="19" t="n"/>
      <c r="D239" s="7" t="n"/>
      <c r="E239" s="13" t="n"/>
      <c r="F239" s="19" t="n"/>
      <c r="G239" s="13" t="n"/>
      <c r="H239" s="19" t="n"/>
      <c r="I239" s="19" t="n"/>
      <c r="J239" s="13" t="n"/>
      <c r="K239" s="9">
        <f>IF(AND(C239&lt;&gt;"",N(D239)&gt;0,I239&lt;&gt;"Cancelado"),D239*IF(N(E239)&gt;0,E239,IFERROR(VLOOKUP(C239,Produtos!$A$4:$O$53,15,0),0))+N(G239),"")</f>
        <v/>
      </c>
      <c r="L239" s="9">
        <f>IF(K239="","",K239*IFERROR(VLOOKUP(H239,Config!$B$15:$C$19,2,0),0))</f>
        <v/>
      </c>
      <c r="M239" s="9">
        <f>IF(K239="","",D239*IFERROR(VLOOKUP(C239,Produtos!$A$4:$I$53,9,0),0))</f>
        <v/>
      </c>
      <c r="N239" s="9">
        <f>IF(K239="","",D239*IFERROR(VLOOKUP(C239,Produtos!$A$4:$J$53,10,0),0))</f>
        <v/>
      </c>
      <c r="O239" s="9">
        <f>IF(OR(K239="",F239=""),IF(K239="","",0),IFERROR(VLOOKUP(F239,Entrega!$A$4:$E$43,5,0),0))</f>
        <v/>
      </c>
      <c r="P239" s="9">
        <f>IF(K239="","",K239-L239-M239-N239-O239)</f>
        <v/>
      </c>
      <c r="Q239" s="9">
        <f>IF(K239="","",IF(I239="Entregue",0,K239-N(J239)))</f>
        <v/>
      </c>
      <c r="R239" s="12">
        <f>IF(ISNUMBER(A239),MONTH(A239),"")</f>
        <v/>
      </c>
      <c r="S239" s="12">
        <f>IF(ISNUMBER(A239),YEAR(A239),"")</f>
        <v/>
      </c>
    </row>
    <row r="240">
      <c r="A240" s="23" t="n"/>
      <c r="B240" s="19" t="n"/>
      <c r="C240" s="19" t="n"/>
      <c r="D240" s="7" t="n"/>
      <c r="E240" s="13" t="n"/>
      <c r="F240" s="19" t="n"/>
      <c r="G240" s="13" t="n"/>
      <c r="H240" s="19" t="n"/>
      <c r="I240" s="19" t="n"/>
      <c r="J240" s="13" t="n"/>
      <c r="K240" s="9">
        <f>IF(AND(C240&lt;&gt;"",N(D240)&gt;0,I240&lt;&gt;"Cancelado"),D240*IF(N(E240)&gt;0,E240,IFERROR(VLOOKUP(C240,Produtos!$A$4:$O$53,15,0),0))+N(G240),"")</f>
        <v/>
      </c>
      <c r="L240" s="9">
        <f>IF(K240="","",K240*IFERROR(VLOOKUP(H240,Config!$B$15:$C$19,2,0),0))</f>
        <v/>
      </c>
      <c r="M240" s="9">
        <f>IF(K240="","",D240*IFERROR(VLOOKUP(C240,Produtos!$A$4:$I$53,9,0),0))</f>
        <v/>
      </c>
      <c r="N240" s="9">
        <f>IF(K240="","",D240*IFERROR(VLOOKUP(C240,Produtos!$A$4:$J$53,10,0),0))</f>
        <v/>
      </c>
      <c r="O240" s="9">
        <f>IF(OR(K240="",F240=""),IF(K240="","",0),IFERROR(VLOOKUP(F240,Entrega!$A$4:$E$43,5,0),0))</f>
        <v/>
      </c>
      <c r="P240" s="9">
        <f>IF(K240="","",K240-L240-M240-N240-O240)</f>
        <v/>
      </c>
      <c r="Q240" s="9">
        <f>IF(K240="","",IF(I240="Entregue",0,K240-N(J240)))</f>
        <v/>
      </c>
      <c r="R240" s="12">
        <f>IF(ISNUMBER(A240),MONTH(A240),"")</f>
        <v/>
      </c>
      <c r="S240" s="12">
        <f>IF(ISNUMBER(A240),YEAR(A240),"")</f>
        <v/>
      </c>
    </row>
    <row r="241">
      <c r="A241" s="23" t="n"/>
      <c r="B241" s="19" t="n"/>
      <c r="C241" s="19" t="n"/>
      <c r="D241" s="7" t="n"/>
      <c r="E241" s="13" t="n"/>
      <c r="F241" s="19" t="n"/>
      <c r="G241" s="13" t="n"/>
      <c r="H241" s="19" t="n"/>
      <c r="I241" s="19" t="n"/>
      <c r="J241" s="13" t="n"/>
      <c r="K241" s="9">
        <f>IF(AND(C241&lt;&gt;"",N(D241)&gt;0,I241&lt;&gt;"Cancelado"),D241*IF(N(E241)&gt;0,E241,IFERROR(VLOOKUP(C241,Produtos!$A$4:$O$53,15,0),0))+N(G241),"")</f>
        <v/>
      </c>
      <c r="L241" s="9">
        <f>IF(K241="","",K241*IFERROR(VLOOKUP(H241,Config!$B$15:$C$19,2,0),0))</f>
        <v/>
      </c>
      <c r="M241" s="9">
        <f>IF(K241="","",D241*IFERROR(VLOOKUP(C241,Produtos!$A$4:$I$53,9,0),0))</f>
        <v/>
      </c>
      <c r="N241" s="9">
        <f>IF(K241="","",D241*IFERROR(VLOOKUP(C241,Produtos!$A$4:$J$53,10,0),0))</f>
        <v/>
      </c>
      <c r="O241" s="9">
        <f>IF(OR(K241="",F241=""),IF(K241="","",0),IFERROR(VLOOKUP(F241,Entrega!$A$4:$E$43,5,0),0))</f>
        <v/>
      </c>
      <c r="P241" s="9">
        <f>IF(K241="","",K241-L241-M241-N241-O241)</f>
        <v/>
      </c>
      <c r="Q241" s="9">
        <f>IF(K241="","",IF(I241="Entregue",0,K241-N(J241)))</f>
        <v/>
      </c>
      <c r="R241" s="12">
        <f>IF(ISNUMBER(A241),MONTH(A241),"")</f>
        <v/>
      </c>
      <c r="S241" s="12">
        <f>IF(ISNUMBER(A241),YEAR(A241),"")</f>
        <v/>
      </c>
    </row>
    <row r="242">
      <c r="A242" s="23" t="n"/>
      <c r="B242" s="19" t="n"/>
      <c r="C242" s="19" t="n"/>
      <c r="D242" s="7" t="n"/>
      <c r="E242" s="13" t="n"/>
      <c r="F242" s="19" t="n"/>
      <c r="G242" s="13" t="n"/>
      <c r="H242" s="19" t="n"/>
      <c r="I242" s="19" t="n"/>
      <c r="J242" s="13" t="n"/>
      <c r="K242" s="9">
        <f>IF(AND(C242&lt;&gt;"",N(D242)&gt;0,I242&lt;&gt;"Cancelado"),D242*IF(N(E242)&gt;0,E242,IFERROR(VLOOKUP(C242,Produtos!$A$4:$O$53,15,0),0))+N(G242),"")</f>
        <v/>
      </c>
      <c r="L242" s="9">
        <f>IF(K242="","",K242*IFERROR(VLOOKUP(H242,Config!$B$15:$C$19,2,0),0))</f>
        <v/>
      </c>
      <c r="M242" s="9">
        <f>IF(K242="","",D242*IFERROR(VLOOKUP(C242,Produtos!$A$4:$I$53,9,0),0))</f>
        <v/>
      </c>
      <c r="N242" s="9">
        <f>IF(K242="","",D242*IFERROR(VLOOKUP(C242,Produtos!$A$4:$J$53,10,0),0))</f>
        <v/>
      </c>
      <c r="O242" s="9">
        <f>IF(OR(K242="",F242=""),IF(K242="","",0),IFERROR(VLOOKUP(F242,Entrega!$A$4:$E$43,5,0),0))</f>
        <v/>
      </c>
      <c r="P242" s="9">
        <f>IF(K242="","",K242-L242-M242-N242-O242)</f>
        <v/>
      </c>
      <c r="Q242" s="9">
        <f>IF(K242="","",IF(I242="Entregue",0,K242-N(J242)))</f>
        <v/>
      </c>
      <c r="R242" s="12">
        <f>IF(ISNUMBER(A242),MONTH(A242),"")</f>
        <v/>
      </c>
      <c r="S242" s="12">
        <f>IF(ISNUMBER(A242),YEAR(A242),"")</f>
        <v/>
      </c>
    </row>
    <row r="243">
      <c r="A243" s="23" t="n"/>
      <c r="B243" s="19" t="n"/>
      <c r="C243" s="19" t="n"/>
      <c r="D243" s="7" t="n"/>
      <c r="E243" s="13" t="n"/>
      <c r="F243" s="19" t="n"/>
      <c r="G243" s="13" t="n"/>
      <c r="H243" s="19" t="n"/>
      <c r="I243" s="19" t="n"/>
      <c r="J243" s="13" t="n"/>
      <c r="K243" s="9">
        <f>IF(AND(C243&lt;&gt;"",N(D243)&gt;0,I243&lt;&gt;"Cancelado"),D243*IF(N(E243)&gt;0,E243,IFERROR(VLOOKUP(C243,Produtos!$A$4:$O$53,15,0),0))+N(G243),"")</f>
        <v/>
      </c>
      <c r="L243" s="9">
        <f>IF(K243="","",K243*IFERROR(VLOOKUP(H243,Config!$B$15:$C$19,2,0),0))</f>
        <v/>
      </c>
      <c r="M243" s="9">
        <f>IF(K243="","",D243*IFERROR(VLOOKUP(C243,Produtos!$A$4:$I$53,9,0),0))</f>
        <v/>
      </c>
      <c r="N243" s="9">
        <f>IF(K243="","",D243*IFERROR(VLOOKUP(C243,Produtos!$A$4:$J$53,10,0),0))</f>
        <v/>
      </c>
      <c r="O243" s="9">
        <f>IF(OR(K243="",F243=""),IF(K243="","",0),IFERROR(VLOOKUP(F243,Entrega!$A$4:$E$43,5,0),0))</f>
        <v/>
      </c>
      <c r="P243" s="9">
        <f>IF(K243="","",K243-L243-M243-N243-O243)</f>
        <v/>
      </c>
      <c r="Q243" s="9">
        <f>IF(K243="","",IF(I243="Entregue",0,K243-N(J243)))</f>
        <v/>
      </c>
      <c r="R243" s="12">
        <f>IF(ISNUMBER(A243),MONTH(A243),"")</f>
        <v/>
      </c>
      <c r="S243" s="12">
        <f>IF(ISNUMBER(A243),YEAR(A243),"")</f>
        <v/>
      </c>
    </row>
    <row r="244">
      <c r="A244" s="23" t="n"/>
      <c r="B244" s="19" t="n"/>
      <c r="C244" s="19" t="n"/>
      <c r="D244" s="7" t="n"/>
      <c r="E244" s="13" t="n"/>
      <c r="F244" s="19" t="n"/>
      <c r="G244" s="13" t="n"/>
      <c r="H244" s="19" t="n"/>
      <c r="I244" s="19" t="n"/>
      <c r="J244" s="13" t="n"/>
      <c r="K244" s="9">
        <f>IF(AND(C244&lt;&gt;"",N(D244)&gt;0,I244&lt;&gt;"Cancelado"),D244*IF(N(E244)&gt;0,E244,IFERROR(VLOOKUP(C244,Produtos!$A$4:$O$53,15,0),0))+N(G244),"")</f>
        <v/>
      </c>
      <c r="L244" s="9">
        <f>IF(K244="","",K244*IFERROR(VLOOKUP(H244,Config!$B$15:$C$19,2,0),0))</f>
        <v/>
      </c>
      <c r="M244" s="9">
        <f>IF(K244="","",D244*IFERROR(VLOOKUP(C244,Produtos!$A$4:$I$53,9,0),0))</f>
        <v/>
      </c>
      <c r="N244" s="9">
        <f>IF(K244="","",D244*IFERROR(VLOOKUP(C244,Produtos!$A$4:$J$53,10,0),0))</f>
        <v/>
      </c>
      <c r="O244" s="9">
        <f>IF(OR(K244="",F244=""),IF(K244="","",0),IFERROR(VLOOKUP(F244,Entrega!$A$4:$E$43,5,0),0))</f>
        <v/>
      </c>
      <c r="P244" s="9">
        <f>IF(K244="","",K244-L244-M244-N244-O244)</f>
        <v/>
      </c>
      <c r="Q244" s="9">
        <f>IF(K244="","",IF(I244="Entregue",0,K244-N(J244)))</f>
        <v/>
      </c>
      <c r="R244" s="12">
        <f>IF(ISNUMBER(A244),MONTH(A244),"")</f>
        <v/>
      </c>
      <c r="S244" s="12">
        <f>IF(ISNUMBER(A244),YEAR(A244),"")</f>
        <v/>
      </c>
    </row>
    <row r="245">
      <c r="A245" s="23" t="n"/>
      <c r="B245" s="19" t="n"/>
      <c r="C245" s="19" t="n"/>
      <c r="D245" s="7" t="n"/>
      <c r="E245" s="13" t="n"/>
      <c r="F245" s="19" t="n"/>
      <c r="G245" s="13" t="n"/>
      <c r="H245" s="19" t="n"/>
      <c r="I245" s="19" t="n"/>
      <c r="J245" s="13" t="n"/>
      <c r="K245" s="9">
        <f>IF(AND(C245&lt;&gt;"",N(D245)&gt;0,I245&lt;&gt;"Cancelado"),D245*IF(N(E245)&gt;0,E245,IFERROR(VLOOKUP(C245,Produtos!$A$4:$O$53,15,0),0))+N(G245),"")</f>
        <v/>
      </c>
      <c r="L245" s="9">
        <f>IF(K245="","",K245*IFERROR(VLOOKUP(H245,Config!$B$15:$C$19,2,0),0))</f>
        <v/>
      </c>
      <c r="M245" s="9">
        <f>IF(K245="","",D245*IFERROR(VLOOKUP(C245,Produtos!$A$4:$I$53,9,0),0))</f>
        <v/>
      </c>
      <c r="N245" s="9">
        <f>IF(K245="","",D245*IFERROR(VLOOKUP(C245,Produtos!$A$4:$J$53,10,0),0))</f>
        <v/>
      </c>
      <c r="O245" s="9">
        <f>IF(OR(K245="",F245=""),IF(K245="","",0),IFERROR(VLOOKUP(F245,Entrega!$A$4:$E$43,5,0),0))</f>
        <v/>
      </c>
      <c r="P245" s="9">
        <f>IF(K245="","",K245-L245-M245-N245-O245)</f>
        <v/>
      </c>
      <c r="Q245" s="9">
        <f>IF(K245="","",IF(I245="Entregue",0,K245-N(J245)))</f>
        <v/>
      </c>
      <c r="R245" s="12">
        <f>IF(ISNUMBER(A245),MONTH(A245),"")</f>
        <v/>
      </c>
      <c r="S245" s="12">
        <f>IF(ISNUMBER(A245),YEAR(A245),"")</f>
        <v/>
      </c>
    </row>
    <row r="246">
      <c r="A246" s="23" t="n"/>
      <c r="B246" s="19" t="n"/>
      <c r="C246" s="19" t="n"/>
      <c r="D246" s="7" t="n"/>
      <c r="E246" s="13" t="n"/>
      <c r="F246" s="19" t="n"/>
      <c r="G246" s="13" t="n"/>
      <c r="H246" s="19" t="n"/>
      <c r="I246" s="19" t="n"/>
      <c r="J246" s="13" t="n"/>
      <c r="K246" s="9">
        <f>IF(AND(C246&lt;&gt;"",N(D246)&gt;0,I246&lt;&gt;"Cancelado"),D246*IF(N(E246)&gt;0,E246,IFERROR(VLOOKUP(C246,Produtos!$A$4:$O$53,15,0),0))+N(G246),"")</f>
        <v/>
      </c>
      <c r="L246" s="9">
        <f>IF(K246="","",K246*IFERROR(VLOOKUP(H246,Config!$B$15:$C$19,2,0),0))</f>
        <v/>
      </c>
      <c r="M246" s="9">
        <f>IF(K246="","",D246*IFERROR(VLOOKUP(C246,Produtos!$A$4:$I$53,9,0),0))</f>
        <v/>
      </c>
      <c r="N246" s="9">
        <f>IF(K246="","",D246*IFERROR(VLOOKUP(C246,Produtos!$A$4:$J$53,10,0),0))</f>
        <v/>
      </c>
      <c r="O246" s="9">
        <f>IF(OR(K246="",F246=""),IF(K246="","",0),IFERROR(VLOOKUP(F246,Entrega!$A$4:$E$43,5,0),0))</f>
        <v/>
      </c>
      <c r="P246" s="9">
        <f>IF(K246="","",K246-L246-M246-N246-O246)</f>
        <v/>
      </c>
      <c r="Q246" s="9">
        <f>IF(K246="","",IF(I246="Entregue",0,K246-N(J246)))</f>
        <v/>
      </c>
      <c r="R246" s="12">
        <f>IF(ISNUMBER(A246),MONTH(A246),"")</f>
        <v/>
      </c>
      <c r="S246" s="12">
        <f>IF(ISNUMBER(A246),YEAR(A246),"")</f>
        <v/>
      </c>
    </row>
    <row r="247">
      <c r="A247" s="23" t="n"/>
      <c r="B247" s="19" t="n"/>
      <c r="C247" s="19" t="n"/>
      <c r="D247" s="7" t="n"/>
      <c r="E247" s="13" t="n"/>
      <c r="F247" s="19" t="n"/>
      <c r="G247" s="13" t="n"/>
      <c r="H247" s="19" t="n"/>
      <c r="I247" s="19" t="n"/>
      <c r="J247" s="13" t="n"/>
      <c r="K247" s="9">
        <f>IF(AND(C247&lt;&gt;"",N(D247)&gt;0,I247&lt;&gt;"Cancelado"),D247*IF(N(E247)&gt;0,E247,IFERROR(VLOOKUP(C247,Produtos!$A$4:$O$53,15,0),0))+N(G247),"")</f>
        <v/>
      </c>
      <c r="L247" s="9">
        <f>IF(K247="","",K247*IFERROR(VLOOKUP(H247,Config!$B$15:$C$19,2,0),0))</f>
        <v/>
      </c>
      <c r="M247" s="9">
        <f>IF(K247="","",D247*IFERROR(VLOOKUP(C247,Produtos!$A$4:$I$53,9,0),0))</f>
        <v/>
      </c>
      <c r="N247" s="9">
        <f>IF(K247="","",D247*IFERROR(VLOOKUP(C247,Produtos!$A$4:$J$53,10,0),0))</f>
        <v/>
      </c>
      <c r="O247" s="9">
        <f>IF(OR(K247="",F247=""),IF(K247="","",0),IFERROR(VLOOKUP(F247,Entrega!$A$4:$E$43,5,0),0))</f>
        <v/>
      </c>
      <c r="P247" s="9">
        <f>IF(K247="","",K247-L247-M247-N247-O247)</f>
        <v/>
      </c>
      <c r="Q247" s="9">
        <f>IF(K247="","",IF(I247="Entregue",0,K247-N(J247)))</f>
        <v/>
      </c>
      <c r="R247" s="12">
        <f>IF(ISNUMBER(A247),MONTH(A247),"")</f>
        <v/>
      </c>
      <c r="S247" s="12">
        <f>IF(ISNUMBER(A247),YEAR(A247),"")</f>
        <v/>
      </c>
    </row>
    <row r="248">
      <c r="A248" s="23" t="n"/>
      <c r="B248" s="19" t="n"/>
      <c r="C248" s="19" t="n"/>
      <c r="D248" s="7" t="n"/>
      <c r="E248" s="13" t="n"/>
      <c r="F248" s="19" t="n"/>
      <c r="G248" s="13" t="n"/>
      <c r="H248" s="19" t="n"/>
      <c r="I248" s="19" t="n"/>
      <c r="J248" s="13" t="n"/>
      <c r="K248" s="9">
        <f>IF(AND(C248&lt;&gt;"",N(D248)&gt;0,I248&lt;&gt;"Cancelado"),D248*IF(N(E248)&gt;0,E248,IFERROR(VLOOKUP(C248,Produtos!$A$4:$O$53,15,0),0))+N(G248),"")</f>
        <v/>
      </c>
      <c r="L248" s="9">
        <f>IF(K248="","",K248*IFERROR(VLOOKUP(H248,Config!$B$15:$C$19,2,0),0))</f>
        <v/>
      </c>
      <c r="M248" s="9">
        <f>IF(K248="","",D248*IFERROR(VLOOKUP(C248,Produtos!$A$4:$I$53,9,0),0))</f>
        <v/>
      </c>
      <c r="N248" s="9">
        <f>IF(K248="","",D248*IFERROR(VLOOKUP(C248,Produtos!$A$4:$J$53,10,0),0))</f>
        <v/>
      </c>
      <c r="O248" s="9">
        <f>IF(OR(K248="",F248=""),IF(K248="","",0),IFERROR(VLOOKUP(F248,Entrega!$A$4:$E$43,5,0),0))</f>
        <v/>
      </c>
      <c r="P248" s="9">
        <f>IF(K248="","",K248-L248-M248-N248-O248)</f>
        <v/>
      </c>
      <c r="Q248" s="9">
        <f>IF(K248="","",IF(I248="Entregue",0,K248-N(J248)))</f>
        <v/>
      </c>
      <c r="R248" s="12">
        <f>IF(ISNUMBER(A248),MONTH(A248),"")</f>
        <v/>
      </c>
      <c r="S248" s="12">
        <f>IF(ISNUMBER(A248),YEAR(A248),"")</f>
        <v/>
      </c>
    </row>
    <row r="249">
      <c r="A249" s="23" t="n"/>
      <c r="B249" s="19" t="n"/>
      <c r="C249" s="19" t="n"/>
      <c r="D249" s="7" t="n"/>
      <c r="E249" s="13" t="n"/>
      <c r="F249" s="19" t="n"/>
      <c r="G249" s="13" t="n"/>
      <c r="H249" s="19" t="n"/>
      <c r="I249" s="19" t="n"/>
      <c r="J249" s="13" t="n"/>
      <c r="K249" s="9">
        <f>IF(AND(C249&lt;&gt;"",N(D249)&gt;0,I249&lt;&gt;"Cancelado"),D249*IF(N(E249)&gt;0,E249,IFERROR(VLOOKUP(C249,Produtos!$A$4:$O$53,15,0),0))+N(G249),"")</f>
        <v/>
      </c>
      <c r="L249" s="9">
        <f>IF(K249="","",K249*IFERROR(VLOOKUP(H249,Config!$B$15:$C$19,2,0),0))</f>
        <v/>
      </c>
      <c r="M249" s="9">
        <f>IF(K249="","",D249*IFERROR(VLOOKUP(C249,Produtos!$A$4:$I$53,9,0),0))</f>
        <v/>
      </c>
      <c r="N249" s="9">
        <f>IF(K249="","",D249*IFERROR(VLOOKUP(C249,Produtos!$A$4:$J$53,10,0),0))</f>
        <v/>
      </c>
      <c r="O249" s="9">
        <f>IF(OR(K249="",F249=""),IF(K249="","",0),IFERROR(VLOOKUP(F249,Entrega!$A$4:$E$43,5,0),0))</f>
        <v/>
      </c>
      <c r="P249" s="9">
        <f>IF(K249="","",K249-L249-M249-N249-O249)</f>
        <v/>
      </c>
      <c r="Q249" s="9">
        <f>IF(K249="","",IF(I249="Entregue",0,K249-N(J249)))</f>
        <v/>
      </c>
      <c r="R249" s="12">
        <f>IF(ISNUMBER(A249),MONTH(A249),"")</f>
        <v/>
      </c>
      <c r="S249" s="12">
        <f>IF(ISNUMBER(A249),YEAR(A249),"")</f>
        <v/>
      </c>
    </row>
    <row r="250">
      <c r="A250" s="23" t="n"/>
      <c r="B250" s="19" t="n"/>
      <c r="C250" s="19" t="n"/>
      <c r="D250" s="7" t="n"/>
      <c r="E250" s="13" t="n"/>
      <c r="F250" s="19" t="n"/>
      <c r="G250" s="13" t="n"/>
      <c r="H250" s="19" t="n"/>
      <c r="I250" s="19" t="n"/>
      <c r="J250" s="13" t="n"/>
      <c r="K250" s="9">
        <f>IF(AND(C250&lt;&gt;"",N(D250)&gt;0,I250&lt;&gt;"Cancelado"),D250*IF(N(E250)&gt;0,E250,IFERROR(VLOOKUP(C250,Produtos!$A$4:$O$53,15,0),0))+N(G250),"")</f>
        <v/>
      </c>
      <c r="L250" s="9">
        <f>IF(K250="","",K250*IFERROR(VLOOKUP(H250,Config!$B$15:$C$19,2,0),0))</f>
        <v/>
      </c>
      <c r="M250" s="9">
        <f>IF(K250="","",D250*IFERROR(VLOOKUP(C250,Produtos!$A$4:$I$53,9,0),0))</f>
        <v/>
      </c>
      <c r="N250" s="9">
        <f>IF(K250="","",D250*IFERROR(VLOOKUP(C250,Produtos!$A$4:$J$53,10,0),0))</f>
        <v/>
      </c>
      <c r="O250" s="9">
        <f>IF(OR(K250="",F250=""),IF(K250="","",0),IFERROR(VLOOKUP(F250,Entrega!$A$4:$E$43,5,0),0))</f>
        <v/>
      </c>
      <c r="P250" s="9">
        <f>IF(K250="","",K250-L250-M250-N250-O250)</f>
        <v/>
      </c>
      <c r="Q250" s="9">
        <f>IF(K250="","",IF(I250="Entregue",0,K250-N(J250)))</f>
        <v/>
      </c>
      <c r="R250" s="12">
        <f>IF(ISNUMBER(A250),MONTH(A250),"")</f>
        <v/>
      </c>
      <c r="S250" s="12">
        <f>IF(ISNUMBER(A250),YEAR(A250),"")</f>
        <v/>
      </c>
    </row>
    <row r="251">
      <c r="A251" s="23" t="n"/>
      <c r="B251" s="19" t="n"/>
      <c r="C251" s="19" t="n"/>
      <c r="D251" s="7" t="n"/>
      <c r="E251" s="13" t="n"/>
      <c r="F251" s="19" t="n"/>
      <c r="G251" s="13" t="n"/>
      <c r="H251" s="19" t="n"/>
      <c r="I251" s="19" t="n"/>
      <c r="J251" s="13" t="n"/>
      <c r="K251" s="9">
        <f>IF(AND(C251&lt;&gt;"",N(D251)&gt;0,I251&lt;&gt;"Cancelado"),D251*IF(N(E251)&gt;0,E251,IFERROR(VLOOKUP(C251,Produtos!$A$4:$O$53,15,0),0))+N(G251),"")</f>
        <v/>
      </c>
      <c r="L251" s="9">
        <f>IF(K251="","",K251*IFERROR(VLOOKUP(H251,Config!$B$15:$C$19,2,0),0))</f>
        <v/>
      </c>
      <c r="M251" s="9">
        <f>IF(K251="","",D251*IFERROR(VLOOKUP(C251,Produtos!$A$4:$I$53,9,0),0))</f>
        <v/>
      </c>
      <c r="N251" s="9">
        <f>IF(K251="","",D251*IFERROR(VLOOKUP(C251,Produtos!$A$4:$J$53,10,0),0))</f>
        <v/>
      </c>
      <c r="O251" s="9">
        <f>IF(OR(K251="",F251=""),IF(K251="","",0),IFERROR(VLOOKUP(F251,Entrega!$A$4:$E$43,5,0),0))</f>
        <v/>
      </c>
      <c r="P251" s="9">
        <f>IF(K251="","",K251-L251-M251-N251-O251)</f>
        <v/>
      </c>
      <c r="Q251" s="9">
        <f>IF(K251="","",IF(I251="Entregue",0,K251-N(J251)))</f>
        <v/>
      </c>
      <c r="R251" s="12">
        <f>IF(ISNUMBER(A251),MONTH(A251),"")</f>
        <v/>
      </c>
      <c r="S251" s="12">
        <f>IF(ISNUMBER(A251),YEAR(A251),"")</f>
        <v/>
      </c>
    </row>
    <row r="252">
      <c r="A252" s="23" t="n"/>
      <c r="B252" s="19" t="n"/>
      <c r="C252" s="19" t="n"/>
      <c r="D252" s="7" t="n"/>
      <c r="E252" s="13" t="n"/>
      <c r="F252" s="19" t="n"/>
      <c r="G252" s="13" t="n"/>
      <c r="H252" s="19" t="n"/>
      <c r="I252" s="19" t="n"/>
      <c r="J252" s="13" t="n"/>
      <c r="K252" s="9">
        <f>IF(AND(C252&lt;&gt;"",N(D252)&gt;0,I252&lt;&gt;"Cancelado"),D252*IF(N(E252)&gt;0,E252,IFERROR(VLOOKUP(C252,Produtos!$A$4:$O$53,15,0),0))+N(G252),"")</f>
        <v/>
      </c>
      <c r="L252" s="9">
        <f>IF(K252="","",K252*IFERROR(VLOOKUP(H252,Config!$B$15:$C$19,2,0),0))</f>
        <v/>
      </c>
      <c r="M252" s="9">
        <f>IF(K252="","",D252*IFERROR(VLOOKUP(C252,Produtos!$A$4:$I$53,9,0),0))</f>
        <v/>
      </c>
      <c r="N252" s="9">
        <f>IF(K252="","",D252*IFERROR(VLOOKUP(C252,Produtos!$A$4:$J$53,10,0),0))</f>
        <v/>
      </c>
      <c r="O252" s="9">
        <f>IF(OR(K252="",F252=""),IF(K252="","",0),IFERROR(VLOOKUP(F252,Entrega!$A$4:$E$43,5,0),0))</f>
        <v/>
      </c>
      <c r="P252" s="9">
        <f>IF(K252="","",K252-L252-M252-N252-O252)</f>
        <v/>
      </c>
      <c r="Q252" s="9">
        <f>IF(K252="","",IF(I252="Entregue",0,K252-N(J252)))</f>
        <v/>
      </c>
      <c r="R252" s="12">
        <f>IF(ISNUMBER(A252),MONTH(A252),"")</f>
        <v/>
      </c>
      <c r="S252" s="12">
        <f>IF(ISNUMBER(A252),YEAR(A252),"")</f>
        <v/>
      </c>
    </row>
    <row r="253">
      <c r="A253" s="23" t="n"/>
      <c r="B253" s="19" t="n"/>
      <c r="C253" s="19" t="n"/>
      <c r="D253" s="7" t="n"/>
      <c r="E253" s="13" t="n"/>
      <c r="F253" s="19" t="n"/>
      <c r="G253" s="13" t="n"/>
      <c r="H253" s="19" t="n"/>
      <c r="I253" s="19" t="n"/>
      <c r="J253" s="13" t="n"/>
      <c r="K253" s="9">
        <f>IF(AND(C253&lt;&gt;"",N(D253)&gt;0,I253&lt;&gt;"Cancelado"),D253*IF(N(E253)&gt;0,E253,IFERROR(VLOOKUP(C253,Produtos!$A$4:$O$53,15,0),0))+N(G253),"")</f>
        <v/>
      </c>
      <c r="L253" s="9">
        <f>IF(K253="","",K253*IFERROR(VLOOKUP(H253,Config!$B$15:$C$19,2,0),0))</f>
        <v/>
      </c>
      <c r="M253" s="9">
        <f>IF(K253="","",D253*IFERROR(VLOOKUP(C253,Produtos!$A$4:$I$53,9,0),0))</f>
        <v/>
      </c>
      <c r="N253" s="9">
        <f>IF(K253="","",D253*IFERROR(VLOOKUP(C253,Produtos!$A$4:$J$53,10,0),0))</f>
        <v/>
      </c>
      <c r="O253" s="9">
        <f>IF(OR(K253="",F253=""),IF(K253="","",0),IFERROR(VLOOKUP(F253,Entrega!$A$4:$E$43,5,0),0))</f>
        <v/>
      </c>
      <c r="P253" s="9">
        <f>IF(K253="","",K253-L253-M253-N253-O253)</f>
        <v/>
      </c>
      <c r="Q253" s="9">
        <f>IF(K253="","",IF(I253="Entregue",0,K253-N(J253)))</f>
        <v/>
      </c>
      <c r="R253" s="12">
        <f>IF(ISNUMBER(A253),MONTH(A253),"")</f>
        <v/>
      </c>
      <c r="S253" s="12">
        <f>IF(ISNUMBER(A253),YEAR(A253),"")</f>
        <v/>
      </c>
    </row>
    <row r="254">
      <c r="A254" s="23" t="n"/>
      <c r="B254" s="19" t="n"/>
      <c r="C254" s="19" t="n"/>
      <c r="D254" s="7" t="n"/>
      <c r="E254" s="13" t="n"/>
      <c r="F254" s="19" t="n"/>
      <c r="G254" s="13" t="n"/>
      <c r="H254" s="19" t="n"/>
      <c r="I254" s="19" t="n"/>
      <c r="J254" s="13" t="n"/>
      <c r="K254" s="9">
        <f>IF(AND(C254&lt;&gt;"",N(D254)&gt;0,I254&lt;&gt;"Cancelado"),D254*IF(N(E254)&gt;0,E254,IFERROR(VLOOKUP(C254,Produtos!$A$4:$O$53,15,0),0))+N(G254),"")</f>
        <v/>
      </c>
      <c r="L254" s="9">
        <f>IF(K254="","",K254*IFERROR(VLOOKUP(H254,Config!$B$15:$C$19,2,0),0))</f>
        <v/>
      </c>
      <c r="M254" s="9">
        <f>IF(K254="","",D254*IFERROR(VLOOKUP(C254,Produtos!$A$4:$I$53,9,0),0))</f>
        <v/>
      </c>
      <c r="N254" s="9">
        <f>IF(K254="","",D254*IFERROR(VLOOKUP(C254,Produtos!$A$4:$J$53,10,0),0))</f>
        <v/>
      </c>
      <c r="O254" s="9">
        <f>IF(OR(K254="",F254=""),IF(K254="","",0),IFERROR(VLOOKUP(F254,Entrega!$A$4:$E$43,5,0),0))</f>
        <v/>
      </c>
      <c r="P254" s="9">
        <f>IF(K254="","",K254-L254-M254-N254-O254)</f>
        <v/>
      </c>
      <c r="Q254" s="9">
        <f>IF(K254="","",IF(I254="Entregue",0,K254-N(J254)))</f>
        <v/>
      </c>
      <c r="R254" s="12">
        <f>IF(ISNUMBER(A254),MONTH(A254),"")</f>
        <v/>
      </c>
      <c r="S254" s="12">
        <f>IF(ISNUMBER(A254),YEAR(A254),"")</f>
        <v/>
      </c>
    </row>
    <row r="255">
      <c r="A255" s="23" t="n"/>
      <c r="B255" s="19" t="n"/>
      <c r="C255" s="19" t="n"/>
      <c r="D255" s="7" t="n"/>
      <c r="E255" s="13" t="n"/>
      <c r="F255" s="19" t="n"/>
      <c r="G255" s="13" t="n"/>
      <c r="H255" s="19" t="n"/>
      <c r="I255" s="19" t="n"/>
      <c r="J255" s="13" t="n"/>
      <c r="K255" s="9">
        <f>IF(AND(C255&lt;&gt;"",N(D255)&gt;0,I255&lt;&gt;"Cancelado"),D255*IF(N(E255)&gt;0,E255,IFERROR(VLOOKUP(C255,Produtos!$A$4:$O$53,15,0),0))+N(G255),"")</f>
        <v/>
      </c>
      <c r="L255" s="9">
        <f>IF(K255="","",K255*IFERROR(VLOOKUP(H255,Config!$B$15:$C$19,2,0),0))</f>
        <v/>
      </c>
      <c r="M255" s="9">
        <f>IF(K255="","",D255*IFERROR(VLOOKUP(C255,Produtos!$A$4:$I$53,9,0),0))</f>
        <v/>
      </c>
      <c r="N255" s="9">
        <f>IF(K255="","",D255*IFERROR(VLOOKUP(C255,Produtos!$A$4:$J$53,10,0),0))</f>
        <v/>
      </c>
      <c r="O255" s="9">
        <f>IF(OR(K255="",F255=""),IF(K255="","",0),IFERROR(VLOOKUP(F255,Entrega!$A$4:$E$43,5,0),0))</f>
        <v/>
      </c>
      <c r="P255" s="9">
        <f>IF(K255="","",K255-L255-M255-N255-O255)</f>
        <v/>
      </c>
      <c r="Q255" s="9">
        <f>IF(K255="","",IF(I255="Entregue",0,K255-N(J255)))</f>
        <v/>
      </c>
      <c r="R255" s="12">
        <f>IF(ISNUMBER(A255),MONTH(A255),"")</f>
        <v/>
      </c>
      <c r="S255" s="12">
        <f>IF(ISNUMBER(A255),YEAR(A255),"")</f>
        <v/>
      </c>
    </row>
    <row r="256">
      <c r="A256" s="23" t="n"/>
      <c r="B256" s="19" t="n"/>
      <c r="C256" s="19" t="n"/>
      <c r="D256" s="7" t="n"/>
      <c r="E256" s="13" t="n"/>
      <c r="F256" s="19" t="n"/>
      <c r="G256" s="13" t="n"/>
      <c r="H256" s="19" t="n"/>
      <c r="I256" s="19" t="n"/>
      <c r="J256" s="13" t="n"/>
      <c r="K256" s="9">
        <f>IF(AND(C256&lt;&gt;"",N(D256)&gt;0,I256&lt;&gt;"Cancelado"),D256*IF(N(E256)&gt;0,E256,IFERROR(VLOOKUP(C256,Produtos!$A$4:$O$53,15,0),0))+N(G256),"")</f>
        <v/>
      </c>
      <c r="L256" s="9">
        <f>IF(K256="","",K256*IFERROR(VLOOKUP(H256,Config!$B$15:$C$19,2,0),0))</f>
        <v/>
      </c>
      <c r="M256" s="9">
        <f>IF(K256="","",D256*IFERROR(VLOOKUP(C256,Produtos!$A$4:$I$53,9,0),0))</f>
        <v/>
      </c>
      <c r="N256" s="9">
        <f>IF(K256="","",D256*IFERROR(VLOOKUP(C256,Produtos!$A$4:$J$53,10,0),0))</f>
        <v/>
      </c>
      <c r="O256" s="9">
        <f>IF(OR(K256="",F256=""),IF(K256="","",0),IFERROR(VLOOKUP(F256,Entrega!$A$4:$E$43,5,0),0))</f>
        <v/>
      </c>
      <c r="P256" s="9">
        <f>IF(K256="","",K256-L256-M256-N256-O256)</f>
        <v/>
      </c>
      <c r="Q256" s="9">
        <f>IF(K256="","",IF(I256="Entregue",0,K256-N(J256)))</f>
        <v/>
      </c>
      <c r="R256" s="12">
        <f>IF(ISNUMBER(A256),MONTH(A256),"")</f>
        <v/>
      </c>
      <c r="S256" s="12">
        <f>IF(ISNUMBER(A256),YEAR(A256),"")</f>
        <v/>
      </c>
    </row>
    <row r="257">
      <c r="A257" s="23" t="n"/>
      <c r="B257" s="19" t="n"/>
      <c r="C257" s="19" t="n"/>
      <c r="D257" s="7" t="n"/>
      <c r="E257" s="13" t="n"/>
      <c r="F257" s="19" t="n"/>
      <c r="G257" s="13" t="n"/>
      <c r="H257" s="19" t="n"/>
      <c r="I257" s="19" t="n"/>
      <c r="J257" s="13" t="n"/>
      <c r="K257" s="9">
        <f>IF(AND(C257&lt;&gt;"",N(D257)&gt;0,I257&lt;&gt;"Cancelado"),D257*IF(N(E257)&gt;0,E257,IFERROR(VLOOKUP(C257,Produtos!$A$4:$O$53,15,0),0))+N(G257),"")</f>
        <v/>
      </c>
      <c r="L257" s="9">
        <f>IF(K257="","",K257*IFERROR(VLOOKUP(H257,Config!$B$15:$C$19,2,0),0))</f>
        <v/>
      </c>
      <c r="M257" s="9">
        <f>IF(K257="","",D257*IFERROR(VLOOKUP(C257,Produtos!$A$4:$I$53,9,0),0))</f>
        <v/>
      </c>
      <c r="N257" s="9">
        <f>IF(K257="","",D257*IFERROR(VLOOKUP(C257,Produtos!$A$4:$J$53,10,0),0))</f>
        <v/>
      </c>
      <c r="O257" s="9">
        <f>IF(OR(K257="",F257=""),IF(K257="","",0),IFERROR(VLOOKUP(F257,Entrega!$A$4:$E$43,5,0),0))</f>
        <v/>
      </c>
      <c r="P257" s="9">
        <f>IF(K257="","",K257-L257-M257-N257-O257)</f>
        <v/>
      </c>
      <c r="Q257" s="9">
        <f>IF(K257="","",IF(I257="Entregue",0,K257-N(J257)))</f>
        <v/>
      </c>
      <c r="R257" s="12">
        <f>IF(ISNUMBER(A257),MONTH(A257),"")</f>
        <v/>
      </c>
      <c r="S257" s="12">
        <f>IF(ISNUMBER(A257),YEAR(A257),"")</f>
        <v/>
      </c>
    </row>
    <row r="258">
      <c r="A258" s="23" t="n"/>
      <c r="B258" s="19" t="n"/>
      <c r="C258" s="19" t="n"/>
      <c r="D258" s="7" t="n"/>
      <c r="E258" s="13" t="n"/>
      <c r="F258" s="19" t="n"/>
      <c r="G258" s="13" t="n"/>
      <c r="H258" s="19" t="n"/>
      <c r="I258" s="19" t="n"/>
      <c r="J258" s="13" t="n"/>
      <c r="K258" s="9">
        <f>IF(AND(C258&lt;&gt;"",N(D258)&gt;0,I258&lt;&gt;"Cancelado"),D258*IF(N(E258)&gt;0,E258,IFERROR(VLOOKUP(C258,Produtos!$A$4:$O$53,15,0),0))+N(G258),"")</f>
        <v/>
      </c>
      <c r="L258" s="9">
        <f>IF(K258="","",K258*IFERROR(VLOOKUP(H258,Config!$B$15:$C$19,2,0),0))</f>
        <v/>
      </c>
      <c r="M258" s="9">
        <f>IF(K258="","",D258*IFERROR(VLOOKUP(C258,Produtos!$A$4:$I$53,9,0),0))</f>
        <v/>
      </c>
      <c r="N258" s="9">
        <f>IF(K258="","",D258*IFERROR(VLOOKUP(C258,Produtos!$A$4:$J$53,10,0),0))</f>
        <v/>
      </c>
      <c r="O258" s="9">
        <f>IF(OR(K258="",F258=""),IF(K258="","",0),IFERROR(VLOOKUP(F258,Entrega!$A$4:$E$43,5,0),0))</f>
        <v/>
      </c>
      <c r="P258" s="9">
        <f>IF(K258="","",K258-L258-M258-N258-O258)</f>
        <v/>
      </c>
      <c r="Q258" s="9">
        <f>IF(K258="","",IF(I258="Entregue",0,K258-N(J258)))</f>
        <v/>
      </c>
      <c r="R258" s="12">
        <f>IF(ISNUMBER(A258),MONTH(A258),"")</f>
        <v/>
      </c>
      <c r="S258" s="12">
        <f>IF(ISNUMBER(A258),YEAR(A258),"")</f>
        <v/>
      </c>
    </row>
    <row r="259">
      <c r="A259" s="23" t="n"/>
      <c r="B259" s="19" t="n"/>
      <c r="C259" s="19" t="n"/>
      <c r="D259" s="7" t="n"/>
      <c r="E259" s="13" t="n"/>
      <c r="F259" s="19" t="n"/>
      <c r="G259" s="13" t="n"/>
      <c r="H259" s="19" t="n"/>
      <c r="I259" s="19" t="n"/>
      <c r="J259" s="13" t="n"/>
      <c r="K259" s="9">
        <f>IF(AND(C259&lt;&gt;"",N(D259)&gt;0,I259&lt;&gt;"Cancelado"),D259*IF(N(E259)&gt;0,E259,IFERROR(VLOOKUP(C259,Produtos!$A$4:$O$53,15,0),0))+N(G259),"")</f>
        <v/>
      </c>
      <c r="L259" s="9">
        <f>IF(K259="","",K259*IFERROR(VLOOKUP(H259,Config!$B$15:$C$19,2,0),0))</f>
        <v/>
      </c>
      <c r="M259" s="9">
        <f>IF(K259="","",D259*IFERROR(VLOOKUP(C259,Produtos!$A$4:$I$53,9,0),0))</f>
        <v/>
      </c>
      <c r="N259" s="9">
        <f>IF(K259="","",D259*IFERROR(VLOOKUP(C259,Produtos!$A$4:$J$53,10,0),0))</f>
        <v/>
      </c>
      <c r="O259" s="9">
        <f>IF(OR(K259="",F259=""),IF(K259="","",0),IFERROR(VLOOKUP(F259,Entrega!$A$4:$E$43,5,0),0))</f>
        <v/>
      </c>
      <c r="P259" s="9">
        <f>IF(K259="","",K259-L259-M259-N259-O259)</f>
        <v/>
      </c>
      <c r="Q259" s="9">
        <f>IF(K259="","",IF(I259="Entregue",0,K259-N(J259)))</f>
        <v/>
      </c>
      <c r="R259" s="12">
        <f>IF(ISNUMBER(A259),MONTH(A259),"")</f>
        <v/>
      </c>
      <c r="S259" s="12">
        <f>IF(ISNUMBER(A259),YEAR(A259),"")</f>
        <v/>
      </c>
    </row>
    <row r="260">
      <c r="A260" s="23" t="n"/>
      <c r="B260" s="19" t="n"/>
      <c r="C260" s="19" t="n"/>
      <c r="D260" s="7" t="n"/>
      <c r="E260" s="13" t="n"/>
      <c r="F260" s="19" t="n"/>
      <c r="G260" s="13" t="n"/>
      <c r="H260" s="19" t="n"/>
      <c r="I260" s="19" t="n"/>
      <c r="J260" s="13" t="n"/>
      <c r="K260" s="9">
        <f>IF(AND(C260&lt;&gt;"",N(D260)&gt;0,I260&lt;&gt;"Cancelado"),D260*IF(N(E260)&gt;0,E260,IFERROR(VLOOKUP(C260,Produtos!$A$4:$O$53,15,0),0))+N(G260),"")</f>
        <v/>
      </c>
      <c r="L260" s="9">
        <f>IF(K260="","",K260*IFERROR(VLOOKUP(H260,Config!$B$15:$C$19,2,0),0))</f>
        <v/>
      </c>
      <c r="M260" s="9">
        <f>IF(K260="","",D260*IFERROR(VLOOKUP(C260,Produtos!$A$4:$I$53,9,0),0))</f>
        <v/>
      </c>
      <c r="N260" s="9">
        <f>IF(K260="","",D260*IFERROR(VLOOKUP(C260,Produtos!$A$4:$J$53,10,0),0))</f>
        <v/>
      </c>
      <c r="O260" s="9">
        <f>IF(OR(K260="",F260=""),IF(K260="","",0),IFERROR(VLOOKUP(F260,Entrega!$A$4:$E$43,5,0),0))</f>
        <v/>
      </c>
      <c r="P260" s="9">
        <f>IF(K260="","",K260-L260-M260-N260-O260)</f>
        <v/>
      </c>
      <c r="Q260" s="9">
        <f>IF(K260="","",IF(I260="Entregue",0,K260-N(J260)))</f>
        <v/>
      </c>
      <c r="R260" s="12">
        <f>IF(ISNUMBER(A260),MONTH(A260),"")</f>
        <v/>
      </c>
      <c r="S260" s="12">
        <f>IF(ISNUMBER(A260),YEAR(A260),"")</f>
        <v/>
      </c>
    </row>
    <row r="261">
      <c r="A261" s="23" t="n"/>
      <c r="B261" s="19" t="n"/>
      <c r="C261" s="19" t="n"/>
      <c r="D261" s="7" t="n"/>
      <c r="E261" s="13" t="n"/>
      <c r="F261" s="19" t="n"/>
      <c r="G261" s="13" t="n"/>
      <c r="H261" s="19" t="n"/>
      <c r="I261" s="19" t="n"/>
      <c r="J261" s="13" t="n"/>
      <c r="K261" s="9">
        <f>IF(AND(C261&lt;&gt;"",N(D261)&gt;0,I261&lt;&gt;"Cancelado"),D261*IF(N(E261)&gt;0,E261,IFERROR(VLOOKUP(C261,Produtos!$A$4:$O$53,15,0),0))+N(G261),"")</f>
        <v/>
      </c>
      <c r="L261" s="9">
        <f>IF(K261="","",K261*IFERROR(VLOOKUP(H261,Config!$B$15:$C$19,2,0),0))</f>
        <v/>
      </c>
      <c r="M261" s="9">
        <f>IF(K261="","",D261*IFERROR(VLOOKUP(C261,Produtos!$A$4:$I$53,9,0),0))</f>
        <v/>
      </c>
      <c r="N261" s="9">
        <f>IF(K261="","",D261*IFERROR(VLOOKUP(C261,Produtos!$A$4:$J$53,10,0),0))</f>
        <v/>
      </c>
      <c r="O261" s="9">
        <f>IF(OR(K261="",F261=""),IF(K261="","",0),IFERROR(VLOOKUP(F261,Entrega!$A$4:$E$43,5,0),0))</f>
        <v/>
      </c>
      <c r="P261" s="9">
        <f>IF(K261="","",K261-L261-M261-N261-O261)</f>
        <v/>
      </c>
      <c r="Q261" s="9">
        <f>IF(K261="","",IF(I261="Entregue",0,K261-N(J261)))</f>
        <v/>
      </c>
      <c r="R261" s="12">
        <f>IF(ISNUMBER(A261),MONTH(A261),"")</f>
        <v/>
      </c>
      <c r="S261" s="12">
        <f>IF(ISNUMBER(A261),YEAR(A261),"")</f>
        <v/>
      </c>
    </row>
    <row r="262">
      <c r="A262" s="23" t="n"/>
      <c r="B262" s="19" t="n"/>
      <c r="C262" s="19" t="n"/>
      <c r="D262" s="7" t="n"/>
      <c r="E262" s="13" t="n"/>
      <c r="F262" s="19" t="n"/>
      <c r="G262" s="13" t="n"/>
      <c r="H262" s="19" t="n"/>
      <c r="I262" s="19" t="n"/>
      <c r="J262" s="13" t="n"/>
      <c r="K262" s="9">
        <f>IF(AND(C262&lt;&gt;"",N(D262)&gt;0,I262&lt;&gt;"Cancelado"),D262*IF(N(E262)&gt;0,E262,IFERROR(VLOOKUP(C262,Produtos!$A$4:$O$53,15,0),0))+N(G262),"")</f>
        <v/>
      </c>
      <c r="L262" s="9">
        <f>IF(K262="","",K262*IFERROR(VLOOKUP(H262,Config!$B$15:$C$19,2,0),0))</f>
        <v/>
      </c>
      <c r="M262" s="9">
        <f>IF(K262="","",D262*IFERROR(VLOOKUP(C262,Produtos!$A$4:$I$53,9,0),0))</f>
        <v/>
      </c>
      <c r="N262" s="9">
        <f>IF(K262="","",D262*IFERROR(VLOOKUP(C262,Produtos!$A$4:$J$53,10,0),0))</f>
        <v/>
      </c>
      <c r="O262" s="9">
        <f>IF(OR(K262="",F262=""),IF(K262="","",0),IFERROR(VLOOKUP(F262,Entrega!$A$4:$E$43,5,0),0))</f>
        <v/>
      </c>
      <c r="P262" s="9">
        <f>IF(K262="","",K262-L262-M262-N262-O262)</f>
        <v/>
      </c>
      <c r="Q262" s="9">
        <f>IF(K262="","",IF(I262="Entregue",0,K262-N(J262)))</f>
        <v/>
      </c>
      <c r="R262" s="12">
        <f>IF(ISNUMBER(A262),MONTH(A262),"")</f>
        <v/>
      </c>
      <c r="S262" s="12">
        <f>IF(ISNUMBER(A262),YEAR(A262),"")</f>
        <v/>
      </c>
    </row>
    <row r="263">
      <c r="A263" s="23" t="n"/>
      <c r="B263" s="19" t="n"/>
      <c r="C263" s="19" t="n"/>
      <c r="D263" s="7" t="n"/>
      <c r="E263" s="13" t="n"/>
      <c r="F263" s="19" t="n"/>
      <c r="G263" s="13" t="n"/>
      <c r="H263" s="19" t="n"/>
      <c r="I263" s="19" t="n"/>
      <c r="J263" s="13" t="n"/>
      <c r="K263" s="9">
        <f>IF(AND(C263&lt;&gt;"",N(D263)&gt;0,I263&lt;&gt;"Cancelado"),D263*IF(N(E263)&gt;0,E263,IFERROR(VLOOKUP(C263,Produtos!$A$4:$O$53,15,0),0))+N(G263),"")</f>
        <v/>
      </c>
      <c r="L263" s="9">
        <f>IF(K263="","",K263*IFERROR(VLOOKUP(H263,Config!$B$15:$C$19,2,0),0))</f>
        <v/>
      </c>
      <c r="M263" s="9">
        <f>IF(K263="","",D263*IFERROR(VLOOKUP(C263,Produtos!$A$4:$I$53,9,0),0))</f>
        <v/>
      </c>
      <c r="N263" s="9">
        <f>IF(K263="","",D263*IFERROR(VLOOKUP(C263,Produtos!$A$4:$J$53,10,0),0))</f>
        <v/>
      </c>
      <c r="O263" s="9">
        <f>IF(OR(K263="",F263=""),IF(K263="","",0),IFERROR(VLOOKUP(F263,Entrega!$A$4:$E$43,5,0),0))</f>
        <v/>
      </c>
      <c r="P263" s="9">
        <f>IF(K263="","",K263-L263-M263-N263-O263)</f>
        <v/>
      </c>
      <c r="Q263" s="9">
        <f>IF(K263="","",IF(I263="Entregue",0,K263-N(J263)))</f>
        <v/>
      </c>
      <c r="R263" s="12">
        <f>IF(ISNUMBER(A263),MONTH(A263),"")</f>
        <v/>
      </c>
      <c r="S263" s="12">
        <f>IF(ISNUMBER(A263),YEAR(A263),"")</f>
        <v/>
      </c>
    </row>
    <row r="264">
      <c r="A264" s="23" t="n"/>
      <c r="B264" s="19" t="n"/>
      <c r="C264" s="19" t="n"/>
      <c r="D264" s="7" t="n"/>
      <c r="E264" s="13" t="n"/>
      <c r="F264" s="19" t="n"/>
      <c r="G264" s="13" t="n"/>
      <c r="H264" s="19" t="n"/>
      <c r="I264" s="19" t="n"/>
      <c r="J264" s="13" t="n"/>
      <c r="K264" s="9">
        <f>IF(AND(C264&lt;&gt;"",N(D264)&gt;0,I264&lt;&gt;"Cancelado"),D264*IF(N(E264)&gt;0,E264,IFERROR(VLOOKUP(C264,Produtos!$A$4:$O$53,15,0),0))+N(G264),"")</f>
        <v/>
      </c>
      <c r="L264" s="9">
        <f>IF(K264="","",K264*IFERROR(VLOOKUP(H264,Config!$B$15:$C$19,2,0),0))</f>
        <v/>
      </c>
      <c r="M264" s="9">
        <f>IF(K264="","",D264*IFERROR(VLOOKUP(C264,Produtos!$A$4:$I$53,9,0),0))</f>
        <v/>
      </c>
      <c r="N264" s="9">
        <f>IF(K264="","",D264*IFERROR(VLOOKUP(C264,Produtos!$A$4:$J$53,10,0),0))</f>
        <v/>
      </c>
      <c r="O264" s="9">
        <f>IF(OR(K264="",F264=""),IF(K264="","",0),IFERROR(VLOOKUP(F264,Entrega!$A$4:$E$43,5,0),0))</f>
        <v/>
      </c>
      <c r="P264" s="9">
        <f>IF(K264="","",K264-L264-M264-N264-O264)</f>
        <v/>
      </c>
      <c r="Q264" s="9">
        <f>IF(K264="","",IF(I264="Entregue",0,K264-N(J264)))</f>
        <v/>
      </c>
      <c r="R264" s="12">
        <f>IF(ISNUMBER(A264),MONTH(A264),"")</f>
        <v/>
      </c>
      <c r="S264" s="12">
        <f>IF(ISNUMBER(A264),YEAR(A264),"")</f>
        <v/>
      </c>
    </row>
    <row r="265">
      <c r="A265" s="23" t="n"/>
      <c r="B265" s="19" t="n"/>
      <c r="C265" s="19" t="n"/>
      <c r="D265" s="7" t="n"/>
      <c r="E265" s="13" t="n"/>
      <c r="F265" s="19" t="n"/>
      <c r="G265" s="13" t="n"/>
      <c r="H265" s="19" t="n"/>
      <c r="I265" s="19" t="n"/>
      <c r="J265" s="13" t="n"/>
      <c r="K265" s="9">
        <f>IF(AND(C265&lt;&gt;"",N(D265)&gt;0,I265&lt;&gt;"Cancelado"),D265*IF(N(E265)&gt;0,E265,IFERROR(VLOOKUP(C265,Produtos!$A$4:$O$53,15,0),0))+N(G265),"")</f>
        <v/>
      </c>
      <c r="L265" s="9">
        <f>IF(K265="","",K265*IFERROR(VLOOKUP(H265,Config!$B$15:$C$19,2,0),0))</f>
        <v/>
      </c>
      <c r="M265" s="9">
        <f>IF(K265="","",D265*IFERROR(VLOOKUP(C265,Produtos!$A$4:$I$53,9,0),0))</f>
        <v/>
      </c>
      <c r="N265" s="9">
        <f>IF(K265="","",D265*IFERROR(VLOOKUP(C265,Produtos!$A$4:$J$53,10,0),0))</f>
        <v/>
      </c>
      <c r="O265" s="9">
        <f>IF(OR(K265="",F265=""),IF(K265="","",0),IFERROR(VLOOKUP(F265,Entrega!$A$4:$E$43,5,0),0))</f>
        <v/>
      </c>
      <c r="P265" s="9">
        <f>IF(K265="","",K265-L265-M265-N265-O265)</f>
        <v/>
      </c>
      <c r="Q265" s="9">
        <f>IF(K265="","",IF(I265="Entregue",0,K265-N(J265)))</f>
        <v/>
      </c>
      <c r="R265" s="12">
        <f>IF(ISNUMBER(A265),MONTH(A265),"")</f>
        <v/>
      </c>
      <c r="S265" s="12">
        <f>IF(ISNUMBER(A265),YEAR(A265),"")</f>
        <v/>
      </c>
    </row>
    <row r="266">
      <c r="A266" s="23" t="n"/>
      <c r="B266" s="19" t="n"/>
      <c r="C266" s="19" t="n"/>
      <c r="D266" s="7" t="n"/>
      <c r="E266" s="13" t="n"/>
      <c r="F266" s="19" t="n"/>
      <c r="G266" s="13" t="n"/>
      <c r="H266" s="19" t="n"/>
      <c r="I266" s="19" t="n"/>
      <c r="J266" s="13" t="n"/>
      <c r="K266" s="9">
        <f>IF(AND(C266&lt;&gt;"",N(D266)&gt;0,I266&lt;&gt;"Cancelado"),D266*IF(N(E266)&gt;0,E266,IFERROR(VLOOKUP(C266,Produtos!$A$4:$O$53,15,0),0))+N(G266),"")</f>
        <v/>
      </c>
      <c r="L266" s="9">
        <f>IF(K266="","",K266*IFERROR(VLOOKUP(H266,Config!$B$15:$C$19,2,0),0))</f>
        <v/>
      </c>
      <c r="M266" s="9">
        <f>IF(K266="","",D266*IFERROR(VLOOKUP(C266,Produtos!$A$4:$I$53,9,0),0))</f>
        <v/>
      </c>
      <c r="N266" s="9">
        <f>IF(K266="","",D266*IFERROR(VLOOKUP(C266,Produtos!$A$4:$J$53,10,0),0))</f>
        <v/>
      </c>
      <c r="O266" s="9">
        <f>IF(OR(K266="",F266=""),IF(K266="","",0),IFERROR(VLOOKUP(F266,Entrega!$A$4:$E$43,5,0),0))</f>
        <v/>
      </c>
      <c r="P266" s="9">
        <f>IF(K266="","",K266-L266-M266-N266-O266)</f>
        <v/>
      </c>
      <c r="Q266" s="9">
        <f>IF(K266="","",IF(I266="Entregue",0,K266-N(J266)))</f>
        <v/>
      </c>
      <c r="R266" s="12">
        <f>IF(ISNUMBER(A266),MONTH(A266),"")</f>
        <v/>
      </c>
      <c r="S266" s="12">
        <f>IF(ISNUMBER(A266),YEAR(A266),"")</f>
        <v/>
      </c>
    </row>
    <row r="267">
      <c r="A267" s="23" t="n"/>
      <c r="B267" s="19" t="n"/>
      <c r="C267" s="19" t="n"/>
      <c r="D267" s="7" t="n"/>
      <c r="E267" s="13" t="n"/>
      <c r="F267" s="19" t="n"/>
      <c r="G267" s="13" t="n"/>
      <c r="H267" s="19" t="n"/>
      <c r="I267" s="19" t="n"/>
      <c r="J267" s="13" t="n"/>
      <c r="K267" s="9">
        <f>IF(AND(C267&lt;&gt;"",N(D267)&gt;0,I267&lt;&gt;"Cancelado"),D267*IF(N(E267)&gt;0,E267,IFERROR(VLOOKUP(C267,Produtos!$A$4:$O$53,15,0),0))+N(G267),"")</f>
        <v/>
      </c>
      <c r="L267" s="9">
        <f>IF(K267="","",K267*IFERROR(VLOOKUP(H267,Config!$B$15:$C$19,2,0),0))</f>
        <v/>
      </c>
      <c r="M267" s="9">
        <f>IF(K267="","",D267*IFERROR(VLOOKUP(C267,Produtos!$A$4:$I$53,9,0),0))</f>
        <v/>
      </c>
      <c r="N267" s="9">
        <f>IF(K267="","",D267*IFERROR(VLOOKUP(C267,Produtos!$A$4:$J$53,10,0),0))</f>
        <v/>
      </c>
      <c r="O267" s="9">
        <f>IF(OR(K267="",F267=""),IF(K267="","",0),IFERROR(VLOOKUP(F267,Entrega!$A$4:$E$43,5,0),0))</f>
        <v/>
      </c>
      <c r="P267" s="9">
        <f>IF(K267="","",K267-L267-M267-N267-O267)</f>
        <v/>
      </c>
      <c r="Q267" s="9">
        <f>IF(K267="","",IF(I267="Entregue",0,K267-N(J267)))</f>
        <v/>
      </c>
      <c r="R267" s="12">
        <f>IF(ISNUMBER(A267),MONTH(A267),"")</f>
        <v/>
      </c>
      <c r="S267" s="12">
        <f>IF(ISNUMBER(A267),YEAR(A267),"")</f>
        <v/>
      </c>
    </row>
    <row r="268">
      <c r="A268" s="23" t="n"/>
      <c r="B268" s="19" t="n"/>
      <c r="C268" s="19" t="n"/>
      <c r="D268" s="7" t="n"/>
      <c r="E268" s="13" t="n"/>
      <c r="F268" s="19" t="n"/>
      <c r="G268" s="13" t="n"/>
      <c r="H268" s="19" t="n"/>
      <c r="I268" s="19" t="n"/>
      <c r="J268" s="13" t="n"/>
      <c r="K268" s="9">
        <f>IF(AND(C268&lt;&gt;"",N(D268)&gt;0,I268&lt;&gt;"Cancelado"),D268*IF(N(E268)&gt;0,E268,IFERROR(VLOOKUP(C268,Produtos!$A$4:$O$53,15,0),0))+N(G268),"")</f>
        <v/>
      </c>
      <c r="L268" s="9">
        <f>IF(K268="","",K268*IFERROR(VLOOKUP(H268,Config!$B$15:$C$19,2,0),0))</f>
        <v/>
      </c>
      <c r="M268" s="9">
        <f>IF(K268="","",D268*IFERROR(VLOOKUP(C268,Produtos!$A$4:$I$53,9,0),0))</f>
        <v/>
      </c>
      <c r="N268" s="9">
        <f>IF(K268="","",D268*IFERROR(VLOOKUP(C268,Produtos!$A$4:$J$53,10,0),0))</f>
        <v/>
      </c>
      <c r="O268" s="9">
        <f>IF(OR(K268="",F268=""),IF(K268="","",0),IFERROR(VLOOKUP(F268,Entrega!$A$4:$E$43,5,0),0))</f>
        <v/>
      </c>
      <c r="P268" s="9">
        <f>IF(K268="","",K268-L268-M268-N268-O268)</f>
        <v/>
      </c>
      <c r="Q268" s="9">
        <f>IF(K268="","",IF(I268="Entregue",0,K268-N(J268)))</f>
        <v/>
      </c>
      <c r="R268" s="12">
        <f>IF(ISNUMBER(A268),MONTH(A268),"")</f>
        <v/>
      </c>
      <c r="S268" s="12">
        <f>IF(ISNUMBER(A268),YEAR(A268),"")</f>
        <v/>
      </c>
    </row>
    <row r="269">
      <c r="A269" s="23" t="n"/>
      <c r="B269" s="19" t="n"/>
      <c r="C269" s="19" t="n"/>
      <c r="D269" s="7" t="n"/>
      <c r="E269" s="13" t="n"/>
      <c r="F269" s="19" t="n"/>
      <c r="G269" s="13" t="n"/>
      <c r="H269" s="19" t="n"/>
      <c r="I269" s="19" t="n"/>
      <c r="J269" s="13" t="n"/>
      <c r="K269" s="9">
        <f>IF(AND(C269&lt;&gt;"",N(D269)&gt;0,I269&lt;&gt;"Cancelado"),D269*IF(N(E269)&gt;0,E269,IFERROR(VLOOKUP(C269,Produtos!$A$4:$O$53,15,0),0))+N(G269),"")</f>
        <v/>
      </c>
      <c r="L269" s="9">
        <f>IF(K269="","",K269*IFERROR(VLOOKUP(H269,Config!$B$15:$C$19,2,0),0))</f>
        <v/>
      </c>
      <c r="M269" s="9">
        <f>IF(K269="","",D269*IFERROR(VLOOKUP(C269,Produtos!$A$4:$I$53,9,0),0))</f>
        <v/>
      </c>
      <c r="N269" s="9">
        <f>IF(K269="","",D269*IFERROR(VLOOKUP(C269,Produtos!$A$4:$J$53,10,0),0))</f>
        <v/>
      </c>
      <c r="O269" s="9">
        <f>IF(OR(K269="",F269=""),IF(K269="","",0),IFERROR(VLOOKUP(F269,Entrega!$A$4:$E$43,5,0),0))</f>
        <v/>
      </c>
      <c r="P269" s="9">
        <f>IF(K269="","",K269-L269-M269-N269-O269)</f>
        <v/>
      </c>
      <c r="Q269" s="9">
        <f>IF(K269="","",IF(I269="Entregue",0,K269-N(J269)))</f>
        <v/>
      </c>
      <c r="R269" s="12">
        <f>IF(ISNUMBER(A269),MONTH(A269),"")</f>
        <v/>
      </c>
      <c r="S269" s="12">
        <f>IF(ISNUMBER(A269),YEAR(A269),"")</f>
        <v/>
      </c>
    </row>
    <row r="270">
      <c r="A270" s="23" t="n"/>
      <c r="B270" s="19" t="n"/>
      <c r="C270" s="19" t="n"/>
      <c r="D270" s="7" t="n"/>
      <c r="E270" s="13" t="n"/>
      <c r="F270" s="19" t="n"/>
      <c r="G270" s="13" t="n"/>
      <c r="H270" s="19" t="n"/>
      <c r="I270" s="19" t="n"/>
      <c r="J270" s="13" t="n"/>
      <c r="K270" s="9">
        <f>IF(AND(C270&lt;&gt;"",N(D270)&gt;0,I270&lt;&gt;"Cancelado"),D270*IF(N(E270)&gt;0,E270,IFERROR(VLOOKUP(C270,Produtos!$A$4:$O$53,15,0),0))+N(G270),"")</f>
        <v/>
      </c>
      <c r="L270" s="9">
        <f>IF(K270="","",K270*IFERROR(VLOOKUP(H270,Config!$B$15:$C$19,2,0),0))</f>
        <v/>
      </c>
      <c r="M270" s="9">
        <f>IF(K270="","",D270*IFERROR(VLOOKUP(C270,Produtos!$A$4:$I$53,9,0),0))</f>
        <v/>
      </c>
      <c r="N270" s="9">
        <f>IF(K270="","",D270*IFERROR(VLOOKUP(C270,Produtos!$A$4:$J$53,10,0),0))</f>
        <v/>
      </c>
      <c r="O270" s="9">
        <f>IF(OR(K270="",F270=""),IF(K270="","",0),IFERROR(VLOOKUP(F270,Entrega!$A$4:$E$43,5,0),0))</f>
        <v/>
      </c>
      <c r="P270" s="9">
        <f>IF(K270="","",K270-L270-M270-N270-O270)</f>
        <v/>
      </c>
      <c r="Q270" s="9">
        <f>IF(K270="","",IF(I270="Entregue",0,K270-N(J270)))</f>
        <v/>
      </c>
      <c r="R270" s="12">
        <f>IF(ISNUMBER(A270),MONTH(A270),"")</f>
        <v/>
      </c>
      <c r="S270" s="12">
        <f>IF(ISNUMBER(A270),YEAR(A270),"")</f>
        <v/>
      </c>
    </row>
    <row r="271">
      <c r="A271" s="23" t="n"/>
      <c r="B271" s="19" t="n"/>
      <c r="C271" s="19" t="n"/>
      <c r="D271" s="7" t="n"/>
      <c r="E271" s="13" t="n"/>
      <c r="F271" s="19" t="n"/>
      <c r="G271" s="13" t="n"/>
      <c r="H271" s="19" t="n"/>
      <c r="I271" s="19" t="n"/>
      <c r="J271" s="13" t="n"/>
      <c r="K271" s="9">
        <f>IF(AND(C271&lt;&gt;"",N(D271)&gt;0,I271&lt;&gt;"Cancelado"),D271*IF(N(E271)&gt;0,E271,IFERROR(VLOOKUP(C271,Produtos!$A$4:$O$53,15,0),0))+N(G271),"")</f>
        <v/>
      </c>
      <c r="L271" s="9">
        <f>IF(K271="","",K271*IFERROR(VLOOKUP(H271,Config!$B$15:$C$19,2,0),0))</f>
        <v/>
      </c>
      <c r="M271" s="9">
        <f>IF(K271="","",D271*IFERROR(VLOOKUP(C271,Produtos!$A$4:$I$53,9,0),0))</f>
        <v/>
      </c>
      <c r="N271" s="9">
        <f>IF(K271="","",D271*IFERROR(VLOOKUP(C271,Produtos!$A$4:$J$53,10,0),0))</f>
        <v/>
      </c>
      <c r="O271" s="9">
        <f>IF(OR(K271="",F271=""),IF(K271="","",0),IFERROR(VLOOKUP(F271,Entrega!$A$4:$E$43,5,0),0))</f>
        <v/>
      </c>
      <c r="P271" s="9">
        <f>IF(K271="","",K271-L271-M271-N271-O271)</f>
        <v/>
      </c>
      <c r="Q271" s="9">
        <f>IF(K271="","",IF(I271="Entregue",0,K271-N(J271)))</f>
        <v/>
      </c>
      <c r="R271" s="12">
        <f>IF(ISNUMBER(A271),MONTH(A271),"")</f>
        <v/>
      </c>
      <c r="S271" s="12">
        <f>IF(ISNUMBER(A271),YEAR(A271),"")</f>
        <v/>
      </c>
    </row>
    <row r="272">
      <c r="A272" s="23" t="n"/>
      <c r="B272" s="19" t="n"/>
      <c r="C272" s="19" t="n"/>
      <c r="D272" s="7" t="n"/>
      <c r="E272" s="13" t="n"/>
      <c r="F272" s="19" t="n"/>
      <c r="G272" s="13" t="n"/>
      <c r="H272" s="19" t="n"/>
      <c r="I272" s="19" t="n"/>
      <c r="J272" s="13" t="n"/>
      <c r="K272" s="9">
        <f>IF(AND(C272&lt;&gt;"",N(D272)&gt;0,I272&lt;&gt;"Cancelado"),D272*IF(N(E272)&gt;0,E272,IFERROR(VLOOKUP(C272,Produtos!$A$4:$O$53,15,0),0))+N(G272),"")</f>
        <v/>
      </c>
      <c r="L272" s="9">
        <f>IF(K272="","",K272*IFERROR(VLOOKUP(H272,Config!$B$15:$C$19,2,0),0))</f>
        <v/>
      </c>
      <c r="M272" s="9">
        <f>IF(K272="","",D272*IFERROR(VLOOKUP(C272,Produtos!$A$4:$I$53,9,0),0))</f>
        <v/>
      </c>
      <c r="N272" s="9">
        <f>IF(K272="","",D272*IFERROR(VLOOKUP(C272,Produtos!$A$4:$J$53,10,0),0))</f>
        <v/>
      </c>
      <c r="O272" s="9">
        <f>IF(OR(K272="",F272=""),IF(K272="","",0),IFERROR(VLOOKUP(F272,Entrega!$A$4:$E$43,5,0),0))</f>
        <v/>
      </c>
      <c r="P272" s="9">
        <f>IF(K272="","",K272-L272-M272-N272-O272)</f>
        <v/>
      </c>
      <c r="Q272" s="9">
        <f>IF(K272="","",IF(I272="Entregue",0,K272-N(J272)))</f>
        <v/>
      </c>
      <c r="R272" s="12">
        <f>IF(ISNUMBER(A272),MONTH(A272),"")</f>
        <v/>
      </c>
      <c r="S272" s="12">
        <f>IF(ISNUMBER(A272),YEAR(A272),"")</f>
        <v/>
      </c>
    </row>
    <row r="273">
      <c r="A273" s="23" t="n"/>
      <c r="B273" s="19" t="n"/>
      <c r="C273" s="19" t="n"/>
      <c r="D273" s="7" t="n"/>
      <c r="E273" s="13" t="n"/>
      <c r="F273" s="19" t="n"/>
      <c r="G273" s="13" t="n"/>
      <c r="H273" s="19" t="n"/>
      <c r="I273" s="19" t="n"/>
      <c r="J273" s="13" t="n"/>
      <c r="K273" s="9">
        <f>IF(AND(C273&lt;&gt;"",N(D273)&gt;0,I273&lt;&gt;"Cancelado"),D273*IF(N(E273)&gt;0,E273,IFERROR(VLOOKUP(C273,Produtos!$A$4:$O$53,15,0),0))+N(G273),"")</f>
        <v/>
      </c>
      <c r="L273" s="9">
        <f>IF(K273="","",K273*IFERROR(VLOOKUP(H273,Config!$B$15:$C$19,2,0),0))</f>
        <v/>
      </c>
      <c r="M273" s="9">
        <f>IF(K273="","",D273*IFERROR(VLOOKUP(C273,Produtos!$A$4:$I$53,9,0),0))</f>
        <v/>
      </c>
      <c r="N273" s="9">
        <f>IF(K273="","",D273*IFERROR(VLOOKUP(C273,Produtos!$A$4:$J$53,10,0),0))</f>
        <v/>
      </c>
      <c r="O273" s="9">
        <f>IF(OR(K273="",F273=""),IF(K273="","",0),IFERROR(VLOOKUP(F273,Entrega!$A$4:$E$43,5,0),0))</f>
        <v/>
      </c>
      <c r="P273" s="9">
        <f>IF(K273="","",K273-L273-M273-N273-O273)</f>
        <v/>
      </c>
      <c r="Q273" s="9">
        <f>IF(K273="","",IF(I273="Entregue",0,K273-N(J273)))</f>
        <v/>
      </c>
      <c r="R273" s="12">
        <f>IF(ISNUMBER(A273),MONTH(A273),"")</f>
        <v/>
      </c>
      <c r="S273" s="12">
        <f>IF(ISNUMBER(A273),YEAR(A273),"")</f>
        <v/>
      </c>
    </row>
    <row r="274">
      <c r="A274" s="23" t="n"/>
      <c r="B274" s="19" t="n"/>
      <c r="C274" s="19" t="n"/>
      <c r="D274" s="7" t="n"/>
      <c r="E274" s="13" t="n"/>
      <c r="F274" s="19" t="n"/>
      <c r="G274" s="13" t="n"/>
      <c r="H274" s="19" t="n"/>
      <c r="I274" s="19" t="n"/>
      <c r="J274" s="13" t="n"/>
      <c r="K274" s="9">
        <f>IF(AND(C274&lt;&gt;"",N(D274)&gt;0,I274&lt;&gt;"Cancelado"),D274*IF(N(E274)&gt;0,E274,IFERROR(VLOOKUP(C274,Produtos!$A$4:$O$53,15,0),0))+N(G274),"")</f>
        <v/>
      </c>
      <c r="L274" s="9">
        <f>IF(K274="","",K274*IFERROR(VLOOKUP(H274,Config!$B$15:$C$19,2,0),0))</f>
        <v/>
      </c>
      <c r="M274" s="9">
        <f>IF(K274="","",D274*IFERROR(VLOOKUP(C274,Produtos!$A$4:$I$53,9,0),0))</f>
        <v/>
      </c>
      <c r="N274" s="9">
        <f>IF(K274="","",D274*IFERROR(VLOOKUP(C274,Produtos!$A$4:$J$53,10,0),0))</f>
        <v/>
      </c>
      <c r="O274" s="9">
        <f>IF(OR(K274="",F274=""),IF(K274="","",0),IFERROR(VLOOKUP(F274,Entrega!$A$4:$E$43,5,0),0))</f>
        <v/>
      </c>
      <c r="P274" s="9">
        <f>IF(K274="","",K274-L274-M274-N274-O274)</f>
        <v/>
      </c>
      <c r="Q274" s="9">
        <f>IF(K274="","",IF(I274="Entregue",0,K274-N(J274)))</f>
        <v/>
      </c>
      <c r="R274" s="12">
        <f>IF(ISNUMBER(A274),MONTH(A274),"")</f>
        <v/>
      </c>
      <c r="S274" s="12">
        <f>IF(ISNUMBER(A274),YEAR(A274),"")</f>
        <v/>
      </c>
    </row>
    <row r="275">
      <c r="A275" s="23" t="n"/>
      <c r="B275" s="19" t="n"/>
      <c r="C275" s="19" t="n"/>
      <c r="D275" s="7" t="n"/>
      <c r="E275" s="13" t="n"/>
      <c r="F275" s="19" t="n"/>
      <c r="G275" s="13" t="n"/>
      <c r="H275" s="19" t="n"/>
      <c r="I275" s="19" t="n"/>
      <c r="J275" s="13" t="n"/>
      <c r="K275" s="9">
        <f>IF(AND(C275&lt;&gt;"",N(D275)&gt;0,I275&lt;&gt;"Cancelado"),D275*IF(N(E275)&gt;0,E275,IFERROR(VLOOKUP(C275,Produtos!$A$4:$O$53,15,0),0))+N(G275),"")</f>
        <v/>
      </c>
      <c r="L275" s="9">
        <f>IF(K275="","",K275*IFERROR(VLOOKUP(H275,Config!$B$15:$C$19,2,0),0))</f>
        <v/>
      </c>
      <c r="M275" s="9">
        <f>IF(K275="","",D275*IFERROR(VLOOKUP(C275,Produtos!$A$4:$I$53,9,0),0))</f>
        <v/>
      </c>
      <c r="N275" s="9">
        <f>IF(K275="","",D275*IFERROR(VLOOKUP(C275,Produtos!$A$4:$J$53,10,0),0))</f>
        <v/>
      </c>
      <c r="O275" s="9">
        <f>IF(OR(K275="",F275=""),IF(K275="","",0),IFERROR(VLOOKUP(F275,Entrega!$A$4:$E$43,5,0),0))</f>
        <v/>
      </c>
      <c r="P275" s="9">
        <f>IF(K275="","",K275-L275-M275-N275-O275)</f>
        <v/>
      </c>
      <c r="Q275" s="9">
        <f>IF(K275="","",IF(I275="Entregue",0,K275-N(J275)))</f>
        <v/>
      </c>
      <c r="R275" s="12">
        <f>IF(ISNUMBER(A275),MONTH(A275),"")</f>
        <v/>
      </c>
      <c r="S275" s="12">
        <f>IF(ISNUMBER(A275),YEAR(A275),"")</f>
        <v/>
      </c>
    </row>
    <row r="276">
      <c r="A276" s="23" t="n"/>
      <c r="B276" s="19" t="n"/>
      <c r="C276" s="19" t="n"/>
      <c r="D276" s="7" t="n"/>
      <c r="E276" s="13" t="n"/>
      <c r="F276" s="19" t="n"/>
      <c r="G276" s="13" t="n"/>
      <c r="H276" s="19" t="n"/>
      <c r="I276" s="19" t="n"/>
      <c r="J276" s="13" t="n"/>
      <c r="K276" s="9">
        <f>IF(AND(C276&lt;&gt;"",N(D276)&gt;0,I276&lt;&gt;"Cancelado"),D276*IF(N(E276)&gt;0,E276,IFERROR(VLOOKUP(C276,Produtos!$A$4:$O$53,15,0),0))+N(G276),"")</f>
        <v/>
      </c>
      <c r="L276" s="9">
        <f>IF(K276="","",K276*IFERROR(VLOOKUP(H276,Config!$B$15:$C$19,2,0),0))</f>
        <v/>
      </c>
      <c r="M276" s="9">
        <f>IF(K276="","",D276*IFERROR(VLOOKUP(C276,Produtos!$A$4:$I$53,9,0),0))</f>
        <v/>
      </c>
      <c r="N276" s="9">
        <f>IF(K276="","",D276*IFERROR(VLOOKUP(C276,Produtos!$A$4:$J$53,10,0),0))</f>
        <v/>
      </c>
      <c r="O276" s="9">
        <f>IF(OR(K276="",F276=""),IF(K276="","",0),IFERROR(VLOOKUP(F276,Entrega!$A$4:$E$43,5,0),0))</f>
        <v/>
      </c>
      <c r="P276" s="9">
        <f>IF(K276="","",K276-L276-M276-N276-O276)</f>
        <v/>
      </c>
      <c r="Q276" s="9">
        <f>IF(K276="","",IF(I276="Entregue",0,K276-N(J276)))</f>
        <v/>
      </c>
      <c r="R276" s="12">
        <f>IF(ISNUMBER(A276),MONTH(A276),"")</f>
        <v/>
      </c>
      <c r="S276" s="12">
        <f>IF(ISNUMBER(A276),YEAR(A276),"")</f>
        <v/>
      </c>
    </row>
    <row r="277">
      <c r="A277" s="23" t="n"/>
      <c r="B277" s="19" t="n"/>
      <c r="C277" s="19" t="n"/>
      <c r="D277" s="7" t="n"/>
      <c r="E277" s="13" t="n"/>
      <c r="F277" s="19" t="n"/>
      <c r="G277" s="13" t="n"/>
      <c r="H277" s="19" t="n"/>
      <c r="I277" s="19" t="n"/>
      <c r="J277" s="13" t="n"/>
      <c r="K277" s="9">
        <f>IF(AND(C277&lt;&gt;"",N(D277)&gt;0,I277&lt;&gt;"Cancelado"),D277*IF(N(E277)&gt;0,E277,IFERROR(VLOOKUP(C277,Produtos!$A$4:$O$53,15,0),0))+N(G277),"")</f>
        <v/>
      </c>
      <c r="L277" s="9">
        <f>IF(K277="","",K277*IFERROR(VLOOKUP(H277,Config!$B$15:$C$19,2,0),0))</f>
        <v/>
      </c>
      <c r="M277" s="9">
        <f>IF(K277="","",D277*IFERROR(VLOOKUP(C277,Produtos!$A$4:$I$53,9,0),0))</f>
        <v/>
      </c>
      <c r="N277" s="9">
        <f>IF(K277="","",D277*IFERROR(VLOOKUP(C277,Produtos!$A$4:$J$53,10,0),0))</f>
        <v/>
      </c>
      <c r="O277" s="9">
        <f>IF(OR(K277="",F277=""),IF(K277="","",0),IFERROR(VLOOKUP(F277,Entrega!$A$4:$E$43,5,0),0))</f>
        <v/>
      </c>
      <c r="P277" s="9">
        <f>IF(K277="","",K277-L277-M277-N277-O277)</f>
        <v/>
      </c>
      <c r="Q277" s="9">
        <f>IF(K277="","",IF(I277="Entregue",0,K277-N(J277)))</f>
        <v/>
      </c>
      <c r="R277" s="12">
        <f>IF(ISNUMBER(A277),MONTH(A277),"")</f>
        <v/>
      </c>
      <c r="S277" s="12">
        <f>IF(ISNUMBER(A277),YEAR(A277),"")</f>
        <v/>
      </c>
    </row>
    <row r="278">
      <c r="A278" s="23" t="n"/>
      <c r="B278" s="19" t="n"/>
      <c r="C278" s="19" t="n"/>
      <c r="D278" s="7" t="n"/>
      <c r="E278" s="13" t="n"/>
      <c r="F278" s="19" t="n"/>
      <c r="G278" s="13" t="n"/>
      <c r="H278" s="19" t="n"/>
      <c r="I278" s="19" t="n"/>
      <c r="J278" s="13" t="n"/>
      <c r="K278" s="9">
        <f>IF(AND(C278&lt;&gt;"",N(D278)&gt;0,I278&lt;&gt;"Cancelado"),D278*IF(N(E278)&gt;0,E278,IFERROR(VLOOKUP(C278,Produtos!$A$4:$O$53,15,0),0))+N(G278),"")</f>
        <v/>
      </c>
      <c r="L278" s="9">
        <f>IF(K278="","",K278*IFERROR(VLOOKUP(H278,Config!$B$15:$C$19,2,0),0))</f>
        <v/>
      </c>
      <c r="M278" s="9">
        <f>IF(K278="","",D278*IFERROR(VLOOKUP(C278,Produtos!$A$4:$I$53,9,0),0))</f>
        <v/>
      </c>
      <c r="N278" s="9">
        <f>IF(K278="","",D278*IFERROR(VLOOKUP(C278,Produtos!$A$4:$J$53,10,0),0))</f>
        <v/>
      </c>
      <c r="O278" s="9">
        <f>IF(OR(K278="",F278=""),IF(K278="","",0),IFERROR(VLOOKUP(F278,Entrega!$A$4:$E$43,5,0),0))</f>
        <v/>
      </c>
      <c r="P278" s="9">
        <f>IF(K278="","",K278-L278-M278-N278-O278)</f>
        <v/>
      </c>
      <c r="Q278" s="9">
        <f>IF(K278="","",IF(I278="Entregue",0,K278-N(J278)))</f>
        <v/>
      </c>
      <c r="R278" s="12">
        <f>IF(ISNUMBER(A278),MONTH(A278),"")</f>
        <v/>
      </c>
      <c r="S278" s="12">
        <f>IF(ISNUMBER(A278),YEAR(A278),"")</f>
        <v/>
      </c>
    </row>
    <row r="279">
      <c r="A279" s="23" t="n"/>
      <c r="B279" s="19" t="n"/>
      <c r="C279" s="19" t="n"/>
      <c r="D279" s="7" t="n"/>
      <c r="E279" s="13" t="n"/>
      <c r="F279" s="19" t="n"/>
      <c r="G279" s="13" t="n"/>
      <c r="H279" s="19" t="n"/>
      <c r="I279" s="19" t="n"/>
      <c r="J279" s="13" t="n"/>
      <c r="K279" s="9">
        <f>IF(AND(C279&lt;&gt;"",N(D279)&gt;0,I279&lt;&gt;"Cancelado"),D279*IF(N(E279)&gt;0,E279,IFERROR(VLOOKUP(C279,Produtos!$A$4:$O$53,15,0),0))+N(G279),"")</f>
        <v/>
      </c>
      <c r="L279" s="9">
        <f>IF(K279="","",K279*IFERROR(VLOOKUP(H279,Config!$B$15:$C$19,2,0),0))</f>
        <v/>
      </c>
      <c r="M279" s="9">
        <f>IF(K279="","",D279*IFERROR(VLOOKUP(C279,Produtos!$A$4:$I$53,9,0),0))</f>
        <v/>
      </c>
      <c r="N279" s="9">
        <f>IF(K279="","",D279*IFERROR(VLOOKUP(C279,Produtos!$A$4:$J$53,10,0),0))</f>
        <v/>
      </c>
      <c r="O279" s="9">
        <f>IF(OR(K279="",F279=""),IF(K279="","",0),IFERROR(VLOOKUP(F279,Entrega!$A$4:$E$43,5,0),0))</f>
        <v/>
      </c>
      <c r="P279" s="9">
        <f>IF(K279="","",K279-L279-M279-N279-O279)</f>
        <v/>
      </c>
      <c r="Q279" s="9">
        <f>IF(K279="","",IF(I279="Entregue",0,K279-N(J279)))</f>
        <v/>
      </c>
      <c r="R279" s="12">
        <f>IF(ISNUMBER(A279),MONTH(A279),"")</f>
        <v/>
      </c>
      <c r="S279" s="12">
        <f>IF(ISNUMBER(A279),YEAR(A279),"")</f>
        <v/>
      </c>
    </row>
    <row r="280">
      <c r="A280" s="23" t="n"/>
      <c r="B280" s="19" t="n"/>
      <c r="C280" s="19" t="n"/>
      <c r="D280" s="7" t="n"/>
      <c r="E280" s="13" t="n"/>
      <c r="F280" s="19" t="n"/>
      <c r="G280" s="13" t="n"/>
      <c r="H280" s="19" t="n"/>
      <c r="I280" s="19" t="n"/>
      <c r="J280" s="13" t="n"/>
      <c r="K280" s="9">
        <f>IF(AND(C280&lt;&gt;"",N(D280)&gt;0,I280&lt;&gt;"Cancelado"),D280*IF(N(E280)&gt;0,E280,IFERROR(VLOOKUP(C280,Produtos!$A$4:$O$53,15,0),0))+N(G280),"")</f>
        <v/>
      </c>
      <c r="L280" s="9">
        <f>IF(K280="","",K280*IFERROR(VLOOKUP(H280,Config!$B$15:$C$19,2,0),0))</f>
        <v/>
      </c>
      <c r="M280" s="9">
        <f>IF(K280="","",D280*IFERROR(VLOOKUP(C280,Produtos!$A$4:$I$53,9,0),0))</f>
        <v/>
      </c>
      <c r="N280" s="9">
        <f>IF(K280="","",D280*IFERROR(VLOOKUP(C280,Produtos!$A$4:$J$53,10,0),0))</f>
        <v/>
      </c>
      <c r="O280" s="9">
        <f>IF(OR(K280="",F280=""),IF(K280="","",0),IFERROR(VLOOKUP(F280,Entrega!$A$4:$E$43,5,0),0))</f>
        <v/>
      </c>
      <c r="P280" s="9">
        <f>IF(K280="","",K280-L280-M280-N280-O280)</f>
        <v/>
      </c>
      <c r="Q280" s="9">
        <f>IF(K280="","",IF(I280="Entregue",0,K280-N(J280)))</f>
        <v/>
      </c>
      <c r="R280" s="12">
        <f>IF(ISNUMBER(A280),MONTH(A280),"")</f>
        <v/>
      </c>
      <c r="S280" s="12">
        <f>IF(ISNUMBER(A280),YEAR(A280),"")</f>
        <v/>
      </c>
    </row>
    <row r="281">
      <c r="A281" s="23" t="n"/>
      <c r="B281" s="19" t="n"/>
      <c r="C281" s="19" t="n"/>
      <c r="D281" s="7" t="n"/>
      <c r="E281" s="13" t="n"/>
      <c r="F281" s="19" t="n"/>
      <c r="G281" s="13" t="n"/>
      <c r="H281" s="19" t="n"/>
      <c r="I281" s="19" t="n"/>
      <c r="J281" s="13" t="n"/>
      <c r="K281" s="9">
        <f>IF(AND(C281&lt;&gt;"",N(D281)&gt;0,I281&lt;&gt;"Cancelado"),D281*IF(N(E281)&gt;0,E281,IFERROR(VLOOKUP(C281,Produtos!$A$4:$O$53,15,0),0))+N(G281),"")</f>
        <v/>
      </c>
      <c r="L281" s="9">
        <f>IF(K281="","",K281*IFERROR(VLOOKUP(H281,Config!$B$15:$C$19,2,0),0))</f>
        <v/>
      </c>
      <c r="M281" s="9">
        <f>IF(K281="","",D281*IFERROR(VLOOKUP(C281,Produtos!$A$4:$I$53,9,0),0))</f>
        <v/>
      </c>
      <c r="N281" s="9">
        <f>IF(K281="","",D281*IFERROR(VLOOKUP(C281,Produtos!$A$4:$J$53,10,0),0))</f>
        <v/>
      </c>
      <c r="O281" s="9">
        <f>IF(OR(K281="",F281=""),IF(K281="","",0),IFERROR(VLOOKUP(F281,Entrega!$A$4:$E$43,5,0),0))</f>
        <v/>
      </c>
      <c r="P281" s="9">
        <f>IF(K281="","",K281-L281-M281-N281-O281)</f>
        <v/>
      </c>
      <c r="Q281" s="9">
        <f>IF(K281="","",IF(I281="Entregue",0,K281-N(J281)))</f>
        <v/>
      </c>
      <c r="R281" s="12">
        <f>IF(ISNUMBER(A281),MONTH(A281),"")</f>
        <v/>
      </c>
      <c r="S281" s="12">
        <f>IF(ISNUMBER(A281),YEAR(A281),"")</f>
        <v/>
      </c>
    </row>
    <row r="282">
      <c r="A282" s="23" t="n"/>
      <c r="B282" s="19" t="n"/>
      <c r="C282" s="19" t="n"/>
      <c r="D282" s="7" t="n"/>
      <c r="E282" s="13" t="n"/>
      <c r="F282" s="19" t="n"/>
      <c r="G282" s="13" t="n"/>
      <c r="H282" s="19" t="n"/>
      <c r="I282" s="19" t="n"/>
      <c r="J282" s="13" t="n"/>
      <c r="K282" s="9">
        <f>IF(AND(C282&lt;&gt;"",N(D282)&gt;0,I282&lt;&gt;"Cancelado"),D282*IF(N(E282)&gt;0,E282,IFERROR(VLOOKUP(C282,Produtos!$A$4:$O$53,15,0),0))+N(G282),"")</f>
        <v/>
      </c>
      <c r="L282" s="9">
        <f>IF(K282="","",K282*IFERROR(VLOOKUP(H282,Config!$B$15:$C$19,2,0),0))</f>
        <v/>
      </c>
      <c r="M282" s="9">
        <f>IF(K282="","",D282*IFERROR(VLOOKUP(C282,Produtos!$A$4:$I$53,9,0),0))</f>
        <v/>
      </c>
      <c r="N282" s="9">
        <f>IF(K282="","",D282*IFERROR(VLOOKUP(C282,Produtos!$A$4:$J$53,10,0),0))</f>
        <v/>
      </c>
      <c r="O282" s="9">
        <f>IF(OR(K282="",F282=""),IF(K282="","",0),IFERROR(VLOOKUP(F282,Entrega!$A$4:$E$43,5,0),0))</f>
        <v/>
      </c>
      <c r="P282" s="9">
        <f>IF(K282="","",K282-L282-M282-N282-O282)</f>
        <v/>
      </c>
      <c r="Q282" s="9">
        <f>IF(K282="","",IF(I282="Entregue",0,K282-N(J282)))</f>
        <v/>
      </c>
      <c r="R282" s="12">
        <f>IF(ISNUMBER(A282),MONTH(A282),"")</f>
        <v/>
      </c>
      <c r="S282" s="12">
        <f>IF(ISNUMBER(A282),YEAR(A282),"")</f>
        <v/>
      </c>
    </row>
    <row r="283">
      <c r="A283" s="23" t="n"/>
      <c r="B283" s="19" t="n"/>
      <c r="C283" s="19" t="n"/>
      <c r="D283" s="7" t="n"/>
      <c r="E283" s="13" t="n"/>
      <c r="F283" s="19" t="n"/>
      <c r="G283" s="13" t="n"/>
      <c r="H283" s="19" t="n"/>
      <c r="I283" s="19" t="n"/>
      <c r="J283" s="13" t="n"/>
      <c r="K283" s="9">
        <f>IF(AND(C283&lt;&gt;"",N(D283)&gt;0,I283&lt;&gt;"Cancelado"),D283*IF(N(E283)&gt;0,E283,IFERROR(VLOOKUP(C283,Produtos!$A$4:$O$53,15,0),0))+N(G283),"")</f>
        <v/>
      </c>
      <c r="L283" s="9">
        <f>IF(K283="","",K283*IFERROR(VLOOKUP(H283,Config!$B$15:$C$19,2,0),0))</f>
        <v/>
      </c>
      <c r="M283" s="9">
        <f>IF(K283="","",D283*IFERROR(VLOOKUP(C283,Produtos!$A$4:$I$53,9,0),0))</f>
        <v/>
      </c>
      <c r="N283" s="9">
        <f>IF(K283="","",D283*IFERROR(VLOOKUP(C283,Produtos!$A$4:$J$53,10,0),0))</f>
        <v/>
      </c>
      <c r="O283" s="9">
        <f>IF(OR(K283="",F283=""),IF(K283="","",0),IFERROR(VLOOKUP(F283,Entrega!$A$4:$E$43,5,0),0))</f>
        <v/>
      </c>
      <c r="P283" s="9">
        <f>IF(K283="","",K283-L283-M283-N283-O283)</f>
        <v/>
      </c>
      <c r="Q283" s="9">
        <f>IF(K283="","",IF(I283="Entregue",0,K283-N(J283)))</f>
        <v/>
      </c>
      <c r="R283" s="12">
        <f>IF(ISNUMBER(A283),MONTH(A283),"")</f>
        <v/>
      </c>
      <c r="S283" s="12">
        <f>IF(ISNUMBER(A283),YEAR(A283),"")</f>
        <v/>
      </c>
    </row>
    <row r="284">
      <c r="A284" s="23" t="n"/>
      <c r="B284" s="19" t="n"/>
      <c r="C284" s="19" t="n"/>
      <c r="D284" s="7" t="n"/>
      <c r="E284" s="13" t="n"/>
      <c r="F284" s="19" t="n"/>
      <c r="G284" s="13" t="n"/>
      <c r="H284" s="19" t="n"/>
      <c r="I284" s="19" t="n"/>
      <c r="J284" s="13" t="n"/>
      <c r="K284" s="9">
        <f>IF(AND(C284&lt;&gt;"",N(D284)&gt;0,I284&lt;&gt;"Cancelado"),D284*IF(N(E284)&gt;0,E284,IFERROR(VLOOKUP(C284,Produtos!$A$4:$O$53,15,0),0))+N(G284),"")</f>
        <v/>
      </c>
      <c r="L284" s="9">
        <f>IF(K284="","",K284*IFERROR(VLOOKUP(H284,Config!$B$15:$C$19,2,0),0))</f>
        <v/>
      </c>
      <c r="M284" s="9">
        <f>IF(K284="","",D284*IFERROR(VLOOKUP(C284,Produtos!$A$4:$I$53,9,0),0))</f>
        <v/>
      </c>
      <c r="N284" s="9">
        <f>IF(K284="","",D284*IFERROR(VLOOKUP(C284,Produtos!$A$4:$J$53,10,0),0))</f>
        <v/>
      </c>
      <c r="O284" s="9">
        <f>IF(OR(K284="",F284=""),IF(K284="","",0),IFERROR(VLOOKUP(F284,Entrega!$A$4:$E$43,5,0),0))</f>
        <v/>
      </c>
      <c r="P284" s="9">
        <f>IF(K284="","",K284-L284-M284-N284-O284)</f>
        <v/>
      </c>
      <c r="Q284" s="9">
        <f>IF(K284="","",IF(I284="Entregue",0,K284-N(J284)))</f>
        <v/>
      </c>
      <c r="R284" s="12">
        <f>IF(ISNUMBER(A284),MONTH(A284),"")</f>
        <v/>
      </c>
      <c r="S284" s="12">
        <f>IF(ISNUMBER(A284),YEAR(A284),"")</f>
        <v/>
      </c>
    </row>
    <row r="285">
      <c r="A285" s="23" t="n"/>
      <c r="B285" s="19" t="n"/>
      <c r="C285" s="19" t="n"/>
      <c r="D285" s="7" t="n"/>
      <c r="E285" s="13" t="n"/>
      <c r="F285" s="19" t="n"/>
      <c r="G285" s="13" t="n"/>
      <c r="H285" s="19" t="n"/>
      <c r="I285" s="19" t="n"/>
      <c r="J285" s="13" t="n"/>
      <c r="K285" s="9">
        <f>IF(AND(C285&lt;&gt;"",N(D285)&gt;0,I285&lt;&gt;"Cancelado"),D285*IF(N(E285)&gt;0,E285,IFERROR(VLOOKUP(C285,Produtos!$A$4:$O$53,15,0),0))+N(G285),"")</f>
        <v/>
      </c>
      <c r="L285" s="9">
        <f>IF(K285="","",K285*IFERROR(VLOOKUP(H285,Config!$B$15:$C$19,2,0),0))</f>
        <v/>
      </c>
      <c r="M285" s="9">
        <f>IF(K285="","",D285*IFERROR(VLOOKUP(C285,Produtos!$A$4:$I$53,9,0),0))</f>
        <v/>
      </c>
      <c r="N285" s="9">
        <f>IF(K285="","",D285*IFERROR(VLOOKUP(C285,Produtos!$A$4:$J$53,10,0),0))</f>
        <v/>
      </c>
      <c r="O285" s="9">
        <f>IF(OR(K285="",F285=""),IF(K285="","",0),IFERROR(VLOOKUP(F285,Entrega!$A$4:$E$43,5,0),0))</f>
        <v/>
      </c>
      <c r="P285" s="9">
        <f>IF(K285="","",K285-L285-M285-N285-O285)</f>
        <v/>
      </c>
      <c r="Q285" s="9">
        <f>IF(K285="","",IF(I285="Entregue",0,K285-N(J285)))</f>
        <v/>
      </c>
      <c r="R285" s="12">
        <f>IF(ISNUMBER(A285),MONTH(A285),"")</f>
        <v/>
      </c>
      <c r="S285" s="12">
        <f>IF(ISNUMBER(A285),YEAR(A285),"")</f>
        <v/>
      </c>
    </row>
    <row r="286">
      <c r="A286" s="23" t="n"/>
      <c r="B286" s="19" t="n"/>
      <c r="C286" s="19" t="n"/>
      <c r="D286" s="7" t="n"/>
      <c r="E286" s="13" t="n"/>
      <c r="F286" s="19" t="n"/>
      <c r="G286" s="13" t="n"/>
      <c r="H286" s="19" t="n"/>
      <c r="I286" s="19" t="n"/>
      <c r="J286" s="13" t="n"/>
      <c r="K286" s="9">
        <f>IF(AND(C286&lt;&gt;"",N(D286)&gt;0,I286&lt;&gt;"Cancelado"),D286*IF(N(E286)&gt;0,E286,IFERROR(VLOOKUP(C286,Produtos!$A$4:$O$53,15,0),0))+N(G286),"")</f>
        <v/>
      </c>
      <c r="L286" s="9">
        <f>IF(K286="","",K286*IFERROR(VLOOKUP(H286,Config!$B$15:$C$19,2,0),0))</f>
        <v/>
      </c>
      <c r="M286" s="9">
        <f>IF(K286="","",D286*IFERROR(VLOOKUP(C286,Produtos!$A$4:$I$53,9,0),0))</f>
        <v/>
      </c>
      <c r="N286" s="9">
        <f>IF(K286="","",D286*IFERROR(VLOOKUP(C286,Produtos!$A$4:$J$53,10,0),0))</f>
        <v/>
      </c>
      <c r="O286" s="9">
        <f>IF(OR(K286="",F286=""),IF(K286="","",0),IFERROR(VLOOKUP(F286,Entrega!$A$4:$E$43,5,0),0))</f>
        <v/>
      </c>
      <c r="P286" s="9">
        <f>IF(K286="","",K286-L286-M286-N286-O286)</f>
        <v/>
      </c>
      <c r="Q286" s="9">
        <f>IF(K286="","",IF(I286="Entregue",0,K286-N(J286)))</f>
        <v/>
      </c>
      <c r="R286" s="12">
        <f>IF(ISNUMBER(A286),MONTH(A286),"")</f>
        <v/>
      </c>
      <c r="S286" s="12">
        <f>IF(ISNUMBER(A286),YEAR(A286),"")</f>
        <v/>
      </c>
    </row>
    <row r="287">
      <c r="A287" s="23" t="n"/>
      <c r="B287" s="19" t="n"/>
      <c r="C287" s="19" t="n"/>
      <c r="D287" s="7" t="n"/>
      <c r="E287" s="13" t="n"/>
      <c r="F287" s="19" t="n"/>
      <c r="G287" s="13" t="n"/>
      <c r="H287" s="19" t="n"/>
      <c r="I287" s="19" t="n"/>
      <c r="J287" s="13" t="n"/>
      <c r="K287" s="9">
        <f>IF(AND(C287&lt;&gt;"",N(D287)&gt;0,I287&lt;&gt;"Cancelado"),D287*IF(N(E287)&gt;0,E287,IFERROR(VLOOKUP(C287,Produtos!$A$4:$O$53,15,0),0))+N(G287),"")</f>
        <v/>
      </c>
      <c r="L287" s="9">
        <f>IF(K287="","",K287*IFERROR(VLOOKUP(H287,Config!$B$15:$C$19,2,0),0))</f>
        <v/>
      </c>
      <c r="M287" s="9">
        <f>IF(K287="","",D287*IFERROR(VLOOKUP(C287,Produtos!$A$4:$I$53,9,0),0))</f>
        <v/>
      </c>
      <c r="N287" s="9">
        <f>IF(K287="","",D287*IFERROR(VLOOKUP(C287,Produtos!$A$4:$J$53,10,0),0))</f>
        <v/>
      </c>
      <c r="O287" s="9">
        <f>IF(OR(K287="",F287=""),IF(K287="","",0),IFERROR(VLOOKUP(F287,Entrega!$A$4:$E$43,5,0),0))</f>
        <v/>
      </c>
      <c r="P287" s="9">
        <f>IF(K287="","",K287-L287-M287-N287-O287)</f>
        <v/>
      </c>
      <c r="Q287" s="9">
        <f>IF(K287="","",IF(I287="Entregue",0,K287-N(J287)))</f>
        <v/>
      </c>
      <c r="R287" s="12">
        <f>IF(ISNUMBER(A287),MONTH(A287),"")</f>
        <v/>
      </c>
      <c r="S287" s="12">
        <f>IF(ISNUMBER(A287),YEAR(A287),"")</f>
        <v/>
      </c>
    </row>
    <row r="288">
      <c r="A288" s="23" t="n"/>
      <c r="B288" s="19" t="n"/>
      <c r="C288" s="19" t="n"/>
      <c r="D288" s="7" t="n"/>
      <c r="E288" s="13" t="n"/>
      <c r="F288" s="19" t="n"/>
      <c r="G288" s="13" t="n"/>
      <c r="H288" s="19" t="n"/>
      <c r="I288" s="19" t="n"/>
      <c r="J288" s="13" t="n"/>
      <c r="K288" s="9">
        <f>IF(AND(C288&lt;&gt;"",N(D288)&gt;0,I288&lt;&gt;"Cancelado"),D288*IF(N(E288)&gt;0,E288,IFERROR(VLOOKUP(C288,Produtos!$A$4:$O$53,15,0),0))+N(G288),"")</f>
        <v/>
      </c>
      <c r="L288" s="9">
        <f>IF(K288="","",K288*IFERROR(VLOOKUP(H288,Config!$B$15:$C$19,2,0),0))</f>
        <v/>
      </c>
      <c r="M288" s="9">
        <f>IF(K288="","",D288*IFERROR(VLOOKUP(C288,Produtos!$A$4:$I$53,9,0),0))</f>
        <v/>
      </c>
      <c r="N288" s="9">
        <f>IF(K288="","",D288*IFERROR(VLOOKUP(C288,Produtos!$A$4:$J$53,10,0),0))</f>
        <v/>
      </c>
      <c r="O288" s="9">
        <f>IF(OR(K288="",F288=""),IF(K288="","",0),IFERROR(VLOOKUP(F288,Entrega!$A$4:$E$43,5,0),0))</f>
        <v/>
      </c>
      <c r="P288" s="9">
        <f>IF(K288="","",K288-L288-M288-N288-O288)</f>
        <v/>
      </c>
      <c r="Q288" s="9">
        <f>IF(K288="","",IF(I288="Entregue",0,K288-N(J288)))</f>
        <v/>
      </c>
      <c r="R288" s="12">
        <f>IF(ISNUMBER(A288),MONTH(A288),"")</f>
        <v/>
      </c>
      <c r="S288" s="12">
        <f>IF(ISNUMBER(A288),YEAR(A288),"")</f>
        <v/>
      </c>
    </row>
    <row r="289">
      <c r="A289" s="23" t="n"/>
      <c r="B289" s="19" t="n"/>
      <c r="C289" s="19" t="n"/>
      <c r="D289" s="7" t="n"/>
      <c r="E289" s="13" t="n"/>
      <c r="F289" s="19" t="n"/>
      <c r="G289" s="13" t="n"/>
      <c r="H289" s="19" t="n"/>
      <c r="I289" s="19" t="n"/>
      <c r="J289" s="13" t="n"/>
      <c r="K289" s="9">
        <f>IF(AND(C289&lt;&gt;"",N(D289)&gt;0,I289&lt;&gt;"Cancelado"),D289*IF(N(E289)&gt;0,E289,IFERROR(VLOOKUP(C289,Produtos!$A$4:$O$53,15,0),0))+N(G289),"")</f>
        <v/>
      </c>
      <c r="L289" s="9">
        <f>IF(K289="","",K289*IFERROR(VLOOKUP(H289,Config!$B$15:$C$19,2,0),0))</f>
        <v/>
      </c>
      <c r="M289" s="9">
        <f>IF(K289="","",D289*IFERROR(VLOOKUP(C289,Produtos!$A$4:$I$53,9,0),0))</f>
        <v/>
      </c>
      <c r="N289" s="9">
        <f>IF(K289="","",D289*IFERROR(VLOOKUP(C289,Produtos!$A$4:$J$53,10,0),0))</f>
        <v/>
      </c>
      <c r="O289" s="9">
        <f>IF(OR(K289="",F289=""),IF(K289="","",0),IFERROR(VLOOKUP(F289,Entrega!$A$4:$E$43,5,0),0))</f>
        <v/>
      </c>
      <c r="P289" s="9">
        <f>IF(K289="","",K289-L289-M289-N289-O289)</f>
        <v/>
      </c>
      <c r="Q289" s="9">
        <f>IF(K289="","",IF(I289="Entregue",0,K289-N(J289)))</f>
        <v/>
      </c>
      <c r="R289" s="12">
        <f>IF(ISNUMBER(A289),MONTH(A289),"")</f>
        <v/>
      </c>
      <c r="S289" s="12">
        <f>IF(ISNUMBER(A289),YEAR(A289),"")</f>
        <v/>
      </c>
    </row>
    <row r="290">
      <c r="A290" s="23" t="n"/>
      <c r="B290" s="19" t="n"/>
      <c r="C290" s="19" t="n"/>
      <c r="D290" s="7" t="n"/>
      <c r="E290" s="13" t="n"/>
      <c r="F290" s="19" t="n"/>
      <c r="G290" s="13" t="n"/>
      <c r="H290" s="19" t="n"/>
      <c r="I290" s="19" t="n"/>
      <c r="J290" s="13" t="n"/>
      <c r="K290" s="9">
        <f>IF(AND(C290&lt;&gt;"",N(D290)&gt;0,I290&lt;&gt;"Cancelado"),D290*IF(N(E290)&gt;0,E290,IFERROR(VLOOKUP(C290,Produtos!$A$4:$O$53,15,0),0))+N(G290),"")</f>
        <v/>
      </c>
      <c r="L290" s="9">
        <f>IF(K290="","",K290*IFERROR(VLOOKUP(H290,Config!$B$15:$C$19,2,0),0))</f>
        <v/>
      </c>
      <c r="M290" s="9">
        <f>IF(K290="","",D290*IFERROR(VLOOKUP(C290,Produtos!$A$4:$I$53,9,0),0))</f>
        <v/>
      </c>
      <c r="N290" s="9">
        <f>IF(K290="","",D290*IFERROR(VLOOKUP(C290,Produtos!$A$4:$J$53,10,0),0))</f>
        <v/>
      </c>
      <c r="O290" s="9">
        <f>IF(OR(K290="",F290=""),IF(K290="","",0),IFERROR(VLOOKUP(F290,Entrega!$A$4:$E$43,5,0),0))</f>
        <v/>
      </c>
      <c r="P290" s="9">
        <f>IF(K290="","",K290-L290-M290-N290-O290)</f>
        <v/>
      </c>
      <c r="Q290" s="9">
        <f>IF(K290="","",IF(I290="Entregue",0,K290-N(J290)))</f>
        <v/>
      </c>
      <c r="R290" s="12">
        <f>IF(ISNUMBER(A290),MONTH(A290),"")</f>
        <v/>
      </c>
      <c r="S290" s="12">
        <f>IF(ISNUMBER(A290),YEAR(A290),"")</f>
        <v/>
      </c>
    </row>
    <row r="291">
      <c r="A291" s="23" t="n"/>
      <c r="B291" s="19" t="n"/>
      <c r="C291" s="19" t="n"/>
      <c r="D291" s="7" t="n"/>
      <c r="E291" s="13" t="n"/>
      <c r="F291" s="19" t="n"/>
      <c r="G291" s="13" t="n"/>
      <c r="H291" s="19" t="n"/>
      <c r="I291" s="19" t="n"/>
      <c r="J291" s="13" t="n"/>
      <c r="K291" s="9">
        <f>IF(AND(C291&lt;&gt;"",N(D291)&gt;0,I291&lt;&gt;"Cancelado"),D291*IF(N(E291)&gt;0,E291,IFERROR(VLOOKUP(C291,Produtos!$A$4:$O$53,15,0),0))+N(G291),"")</f>
        <v/>
      </c>
      <c r="L291" s="9">
        <f>IF(K291="","",K291*IFERROR(VLOOKUP(H291,Config!$B$15:$C$19,2,0),0))</f>
        <v/>
      </c>
      <c r="M291" s="9">
        <f>IF(K291="","",D291*IFERROR(VLOOKUP(C291,Produtos!$A$4:$I$53,9,0),0))</f>
        <v/>
      </c>
      <c r="N291" s="9">
        <f>IF(K291="","",D291*IFERROR(VLOOKUP(C291,Produtos!$A$4:$J$53,10,0),0))</f>
        <v/>
      </c>
      <c r="O291" s="9">
        <f>IF(OR(K291="",F291=""),IF(K291="","",0),IFERROR(VLOOKUP(F291,Entrega!$A$4:$E$43,5,0),0))</f>
        <v/>
      </c>
      <c r="P291" s="9">
        <f>IF(K291="","",K291-L291-M291-N291-O291)</f>
        <v/>
      </c>
      <c r="Q291" s="9">
        <f>IF(K291="","",IF(I291="Entregue",0,K291-N(J291)))</f>
        <v/>
      </c>
      <c r="R291" s="12">
        <f>IF(ISNUMBER(A291),MONTH(A291),"")</f>
        <v/>
      </c>
      <c r="S291" s="12">
        <f>IF(ISNUMBER(A291),YEAR(A291),"")</f>
        <v/>
      </c>
    </row>
    <row r="292">
      <c r="A292" s="23" t="n"/>
      <c r="B292" s="19" t="n"/>
      <c r="C292" s="19" t="n"/>
      <c r="D292" s="7" t="n"/>
      <c r="E292" s="13" t="n"/>
      <c r="F292" s="19" t="n"/>
      <c r="G292" s="13" t="n"/>
      <c r="H292" s="19" t="n"/>
      <c r="I292" s="19" t="n"/>
      <c r="J292" s="13" t="n"/>
      <c r="K292" s="9">
        <f>IF(AND(C292&lt;&gt;"",N(D292)&gt;0,I292&lt;&gt;"Cancelado"),D292*IF(N(E292)&gt;0,E292,IFERROR(VLOOKUP(C292,Produtos!$A$4:$O$53,15,0),0))+N(G292),"")</f>
        <v/>
      </c>
      <c r="L292" s="9">
        <f>IF(K292="","",K292*IFERROR(VLOOKUP(H292,Config!$B$15:$C$19,2,0),0))</f>
        <v/>
      </c>
      <c r="M292" s="9">
        <f>IF(K292="","",D292*IFERROR(VLOOKUP(C292,Produtos!$A$4:$I$53,9,0),0))</f>
        <v/>
      </c>
      <c r="N292" s="9">
        <f>IF(K292="","",D292*IFERROR(VLOOKUP(C292,Produtos!$A$4:$J$53,10,0),0))</f>
        <v/>
      </c>
      <c r="O292" s="9">
        <f>IF(OR(K292="",F292=""),IF(K292="","",0),IFERROR(VLOOKUP(F292,Entrega!$A$4:$E$43,5,0),0))</f>
        <v/>
      </c>
      <c r="P292" s="9">
        <f>IF(K292="","",K292-L292-M292-N292-O292)</f>
        <v/>
      </c>
      <c r="Q292" s="9">
        <f>IF(K292="","",IF(I292="Entregue",0,K292-N(J292)))</f>
        <v/>
      </c>
      <c r="R292" s="12">
        <f>IF(ISNUMBER(A292),MONTH(A292),"")</f>
        <v/>
      </c>
      <c r="S292" s="12">
        <f>IF(ISNUMBER(A292),YEAR(A292),"")</f>
        <v/>
      </c>
    </row>
    <row r="293">
      <c r="A293" s="23" t="n"/>
      <c r="B293" s="19" t="n"/>
      <c r="C293" s="19" t="n"/>
      <c r="D293" s="7" t="n"/>
      <c r="E293" s="13" t="n"/>
      <c r="F293" s="19" t="n"/>
      <c r="G293" s="13" t="n"/>
      <c r="H293" s="19" t="n"/>
      <c r="I293" s="19" t="n"/>
      <c r="J293" s="13" t="n"/>
      <c r="K293" s="9">
        <f>IF(AND(C293&lt;&gt;"",N(D293)&gt;0,I293&lt;&gt;"Cancelado"),D293*IF(N(E293)&gt;0,E293,IFERROR(VLOOKUP(C293,Produtos!$A$4:$O$53,15,0),0))+N(G293),"")</f>
        <v/>
      </c>
      <c r="L293" s="9">
        <f>IF(K293="","",K293*IFERROR(VLOOKUP(H293,Config!$B$15:$C$19,2,0),0))</f>
        <v/>
      </c>
      <c r="M293" s="9">
        <f>IF(K293="","",D293*IFERROR(VLOOKUP(C293,Produtos!$A$4:$I$53,9,0),0))</f>
        <v/>
      </c>
      <c r="N293" s="9">
        <f>IF(K293="","",D293*IFERROR(VLOOKUP(C293,Produtos!$A$4:$J$53,10,0),0))</f>
        <v/>
      </c>
      <c r="O293" s="9">
        <f>IF(OR(K293="",F293=""),IF(K293="","",0),IFERROR(VLOOKUP(F293,Entrega!$A$4:$E$43,5,0),0))</f>
        <v/>
      </c>
      <c r="P293" s="9">
        <f>IF(K293="","",K293-L293-M293-N293-O293)</f>
        <v/>
      </c>
      <c r="Q293" s="9">
        <f>IF(K293="","",IF(I293="Entregue",0,K293-N(J293)))</f>
        <v/>
      </c>
      <c r="R293" s="12">
        <f>IF(ISNUMBER(A293),MONTH(A293),"")</f>
        <v/>
      </c>
      <c r="S293" s="12">
        <f>IF(ISNUMBER(A293),YEAR(A293),"")</f>
        <v/>
      </c>
    </row>
    <row r="294">
      <c r="A294" s="23" t="n"/>
      <c r="B294" s="19" t="n"/>
      <c r="C294" s="19" t="n"/>
      <c r="D294" s="7" t="n"/>
      <c r="E294" s="13" t="n"/>
      <c r="F294" s="19" t="n"/>
      <c r="G294" s="13" t="n"/>
      <c r="H294" s="19" t="n"/>
      <c r="I294" s="19" t="n"/>
      <c r="J294" s="13" t="n"/>
      <c r="K294" s="9">
        <f>IF(AND(C294&lt;&gt;"",N(D294)&gt;0,I294&lt;&gt;"Cancelado"),D294*IF(N(E294)&gt;0,E294,IFERROR(VLOOKUP(C294,Produtos!$A$4:$O$53,15,0),0))+N(G294),"")</f>
        <v/>
      </c>
      <c r="L294" s="9">
        <f>IF(K294="","",K294*IFERROR(VLOOKUP(H294,Config!$B$15:$C$19,2,0),0))</f>
        <v/>
      </c>
      <c r="M294" s="9">
        <f>IF(K294="","",D294*IFERROR(VLOOKUP(C294,Produtos!$A$4:$I$53,9,0),0))</f>
        <v/>
      </c>
      <c r="N294" s="9">
        <f>IF(K294="","",D294*IFERROR(VLOOKUP(C294,Produtos!$A$4:$J$53,10,0),0))</f>
        <v/>
      </c>
      <c r="O294" s="9">
        <f>IF(OR(K294="",F294=""),IF(K294="","",0),IFERROR(VLOOKUP(F294,Entrega!$A$4:$E$43,5,0),0))</f>
        <v/>
      </c>
      <c r="P294" s="9">
        <f>IF(K294="","",K294-L294-M294-N294-O294)</f>
        <v/>
      </c>
      <c r="Q294" s="9">
        <f>IF(K294="","",IF(I294="Entregue",0,K294-N(J294)))</f>
        <v/>
      </c>
      <c r="R294" s="12">
        <f>IF(ISNUMBER(A294),MONTH(A294),"")</f>
        <v/>
      </c>
      <c r="S294" s="12">
        <f>IF(ISNUMBER(A294),YEAR(A294),"")</f>
        <v/>
      </c>
    </row>
    <row r="295">
      <c r="A295" s="23" t="n"/>
      <c r="B295" s="19" t="n"/>
      <c r="C295" s="19" t="n"/>
      <c r="D295" s="7" t="n"/>
      <c r="E295" s="13" t="n"/>
      <c r="F295" s="19" t="n"/>
      <c r="G295" s="13" t="n"/>
      <c r="H295" s="19" t="n"/>
      <c r="I295" s="19" t="n"/>
      <c r="J295" s="13" t="n"/>
      <c r="K295" s="9">
        <f>IF(AND(C295&lt;&gt;"",N(D295)&gt;0,I295&lt;&gt;"Cancelado"),D295*IF(N(E295)&gt;0,E295,IFERROR(VLOOKUP(C295,Produtos!$A$4:$O$53,15,0),0))+N(G295),"")</f>
        <v/>
      </c>
      <c r="L295" s="9">
        <f>IF(K295="","",K295*IFERROR(VLOOKUP(H295,Config!$B$15:$C$19,2,0),0))</f>
        <v/>
      </c>
      <c r="M295" s="9">
        <f>IF(K295="","",D295*IFERROR(VLOOKUP(C295,Produtos!$A$4:$I$53,9,0),0))</f>
        <v/>
      </c>
      <c r="N295" s="9">
        <f>IF(K295="","",D295*IFERROR(VLOOKUP(C295,Produtos!$A$4:$J$53,10,0),0))</f>
        <v/>
      </c>
      <c r="O295" s="9">
        <f>IF(OR(K295="",F295=""),IF(K295="","",0),IFERROR(VLOOKUP(F295,Entrega!$A$4:$E$43,5,0),0))</f>
        <v/>
      </c>
      <c r="P295" s="9">
        <f>IF(K295="","",K295-L295-M295-N295-O295)</f>
        <v/>
      </c>
      <c r="Q295" s="9">
        <f>IF(K295="","",IF(I295="Entregue",0,K295-N(J295)))</f>
        <v/>
      </c>
      <c r="R295" s="12">
        <f>IF(ISNUMBER(A295),MONTH(A295),"")</f>
        <v/>
      </c>
      <c r="S295" s="12">
        <f>IF(ISNUMBER(A295),YEAR(A295),"")</f>
        <v/>
      </c>
    </row>
    <row r="296">
      <c r="A296" s="23" t="n"/>
      <c r="B296" s="19" t="n"/>
      <c r="C296" s="19" t="n"/>
      <c r="D296" s="7" t="n"/>
      <c r="E296" s="13" t="n"/>
      <c r="F296" s="19" t="n"/>
      <c r="G296" s="13" t="n"/>
      <c r="H296" s="19" t="n"/>
      <c r="I296" s="19" t="n"/>
      <c r="J296" s="13" t="n"/>
      <c r="K296" s="9">
        <f>IF(AND(C296&lt;&gt;"",N(D296)&gt;0,I296&lt;&gt;"Cancelado"),D296*IF(N(E296)&gt;0,E296,IFERROR(VLOOKUP(C296,Produtos!$A$4:$O$53,15,0),0))+N(G296),"")</f>
        <v/>
      </c>
      <c r="L296" s="9">
        <f>IF(K296="","",K296*IFERROR(VLOOKUP(H296,Config!$B$15:$C$19,2,0),0))</f>
        <v/>
      </c>
      <c r="M296" s="9">
        <f>IF(K296="","",D296*IFERROR(VLOOKUP(C296,Produtos!$A$4:$I$53,9,0),0))</f>
        <v/>
      </c>
      <c r="N296" s="9">
        <f>IF(K296="","",D296*IFERROR(VLOOKUP(C296,Produtos!$A$4:$J$53,10,0),0))</f>
        <v/>
      </c>
      <c r="O296" s="9">
        <f>IF(OR(K296="",F296=""),IF(K296="","",0),IFERROR(VLOOKUP(F296,Entrega!$A$4:$E$43,5,0),0))</f>
        <v/>
      </c>
      <c r="P296" s="9">
        <f>IF(K296="","",K296-L296-M296-N296-O296)</f>
        <v/>
      </c>
      <c r="Q296" s="9">
        <f>IF(K296="","",IF(I296="Entregue",0,K296-N(J296)))</f>
        <v/>
      </c>
      <c r="R296" s="12">
        <f>IF(ISNUMBER(A296),MONTH(A296),"")</f>
        <v/>
      </c>
      <c r="S296" s="12">
        <f>IF(ISNUMBER(A296),YEAR(A296),"")</f>
        <v/>
      </c>
    </row>
    <row r="297">
      <c r="A297" s="23" t="n"/>
      <c r="B297" s="19" t="n"/>
      <c r="C297" s="19" t="n"/>
      <c r="D297" s="7" t="n"/>
      <c r="E297" s="13" t="n"/>
      <c r="F297" s="19" t="n"/>
      <c r="G297" s="13" t="n"/>
      <c r="H297" s="19" t="n"/>
      <c r="I297" s="19" t="n"/>
      <c r="J297" s="13" t="n"/>
      <c r="K297" s="9">
        <f>IF(AND(C297&lt;&gt;"",N(D297)&gt;0,I297&lt;&gt;"Cancelado"),D297*IF(N(E297)&gt;0,E297,IFERROR(VLOOKUP(C297,Produtos!$A$4:$O$53,15,0),0))+N(G297),"")</f>
        <v/>
      </c>
      <c r="L297" s="9">
        <f>IF(K297="","",K297*IFERROR(VLOOKUP(H297,Config!$B$15:$C$19,2,0),0))</f>
        <v/>
      </c>
      <c r="M297" s="9">
        <f>IF(K297="","",D297*IFERROR(VLOOKUP(C297,Produtos!$A$4:$I$53,9,0),0))</f>
        <v/>
      </c>
      <c r="N297" s="9">
        <f>IF(K297="","",D297*IFERROR(VLOOKUP(C297,Produtos!$A$4:$J$53,10,0),0))</f>
        <v/>
      </c>
      <c r="O297" s="9">
        <f>IF(OR(K297="",F297=""),IF(K297="","",0),IFERROR(VLOOKUP(F297,Entrega!$A$4:$E$43,5,0),0))</f>
        <v/>
      </c>
      <c r="P297" s="9">
        <f>IF(K297="","",K297-L297-M297-N297-O297)</f>
        <v/>
      </c>
      <c r="Q297" s="9">
        <f>IF(K297="","",IF(I297="Entregue",0,K297-N(J297)))</f>
        <v/>
      </c>
      <c r="R297" s="12">
        <f>IF(ISNUMBER(A297),MONTH(A297),"")</f>
        <v/>
      </c>
      <c r="S297" s="12">
        <f>IF(ISNUMBER(A297),YEAR(A297),"")</f>
        <v/>
      </c>
    </row>
    <row r="298">
      <c r="A298" s="23" t="n"/>
      <c r="B298" s="19" t="n"/>
      <c r="C298" s="19" t="n"/>
      <c r="D298" s="7" t="n"/>
      <c r="E298" s="13" t="n"/>
      <c r="F298" s="19" t="n"/>
      <c r="G298" s="13" t="n"/>
      <c r="H298" s="19" t="n"/>
      <c r="I298" s="19" t="n"/>
      <c r="J298" s="13" t="n"/>
      <c r="K298" s="9">
        <f>IF(AND(C298&lt;&gt;"",N(D298)&gt;0,I298&lt;&gt;"Cancelado"),D298*IF(N(E298)&gt;0,E298,IFERROR(VLOOKUP(C298,Produtos!$A$4:$O$53,15,0),0))+N(G298),"")</f>
        <v/>
      </c>
      <c r="L298" s="9">
        <f>IF(K298="","",K298*IFERROR(VLOOKUP(H298,Config!$B$15:$C$19,2,0),0))</f>
        <v/>
      </c>
      <c r="M298" s="9">
        <f>IF(K298="","",D298*IFERROR(VLOOKUP(C298,Produtos!$A$4:$I$53,9,0),0))</f>
        <v/>
      </c>
      <c r="N298" s="9">
        <f>IF(K298="","",D298*IFERROR(VLOOKUP(C298,Produtos!$A$4:$J$53,10,0),0))</f>
        <v/>
      </c>
      <c r="O298" s="9">
        <f>IF(OR(K298="",F298=""),IF(K298="","",0),IFERROR(VLOOKUP(F298,Entrega!$A$4:$E$43,5,0),0))</f>
        <v/>
      </c>
      <c r="P298" s="9">
        <f>IF(K298="","",K298-L298-M298-N298-O298)</f>
        <v/>
      </c>
      <c r="Q298" s="9">
        <f>IF(K298="","",IF(I298="Entregue",0,K298-N(J298)))</f>
        <v/>
      </c>
      <c r="R298" s="12">
        <f>IF(ISNUMBER(A298),MONTH(A298),"")</f>
        <v/>
      </c>
      <c r="S298" s="12">
        <f>IF(ISNUMBER(A298),YEAR(A298),"")</f>
        <v/>
      </c>
    </row>
    <row r="299">
      <c r="A299" s="23" t="n"/>
      <c r="B299" s="19" t="n"/>
      <c r="C299" s="19" t="n"/>
      <c r="D299" s="7" t="n"/>
      <c r="E299" s="13" t="n"/>
      <c r="F299" s="19" t="n"/>
      <c r="G299" s="13" t="n"/>
      <c r="H299" s="19" t="n"/>
      <c r="I299" s="19" t="n"/>
      <c r="J299" s="13" t="n"/>
      <c r="K299" s="9">
        <f>IF(AND(C299&lt;&gt;"",N(D299)&gt;0,I299&lt;&gt;"Cancelado"),D299*IF(N(E299)&gt;0,E299,IFERROR(VLOOKUP(C299,Produtos!$A$4:$O$53,15,0),0))+N(G299),"")</f>
        <v/>
      </c>
      <c r="L299" s="9">
        <f>IF(K299="","",K299*IFERROR(VLOOKUP(H299,Config!$B$15:$C$19,2,0),0))</f>
        <v/>
      </c>
      <c r="M299" s="9">
        <f>IF(K299="","",D299*IFERROR(VLOOKUP(C299,Produtos!$A$4:$I$53,9,0),0))</f>
        <v/>
      </c>
      <c r="N299" s="9">
        <f>IF(K299="","",D299*IFERROR(VLOOKUP(C299,Produtos!$A$4:$J$53,10,0),0))</f>
        <v/>
      </c>
      <c r="O299" s="9">
        <f>IF(OR(K299="",F299=""),IF(K299="","",0),IFERROR(VLOOKUP(F299,Entrega!$A$4:$E$43,5,0),0))</f>
        <v/>
      </c>
      <c r="P299" s="9">
        <f>IF(K299="","",K299-L299-M299-N299-O299)</f>
        <v/>
      </c>
      <c r="Q299" s="9">
        <f>IF(K299="","",IF(I299="Entregue",0,K299-N(J299)))</f>
        <v/>
      </c>
      <c r="R299" s="12">
        <f>IF(ISNUMBER(A299),MONTH(A299),"")</f>
        <v/>
      </c>
      <c r="S299" s="12">
        <f>IF(ISNUMBER(A299),YEAR(A299),"")</f>
        <v/>
      </c>
    </row>
    <row r="300">
      <c r="A300" s="23" t="n"/>
      <c r="B300" s="19" t="n"/>
      <c r="C300" s="19" t="n"/>
      <c r="D300" s="7" t="n"/>
      <c r="E300" s="13" t="n"/>
      <c r="F300" s="19" t="n"/>
      <c r="G300" s="13" t="n"/>
      <c r="H300" s="19" t="n"/>
      <c r="I300" s="19" t="n"/>
      <c r="J300" s="13" t="n"/>
      <c r="K300" s="9">
        <f>IF(AND(C300&lt;&gt;"",N(D300)&gt;0,I300&lt;&gt;"Cancelado"),D300*IF(N(E300)&gt;0,E300,IFERROR(VLOOKUP(C300,Produtos!$A$4:$O$53,15,0),0))+N(G300),"")</f>
        <v/>
      </c>
      <c r="L300" s="9">
        <f>IF(K300="","",K300*IFERROR(VLOOKUP(H300,Config!$B$15:$C$19,2,0),0))</f>
        <v/>
      </c>
      <c r="M300" s="9">
        <f>IF(K300="","",D300*IFERROR(VLOOKUP(C300,Produtos!$A$4:$I$53,9,0),0))</f>
        <v/>
      </c>
      <c r="N300" s="9">
        <f>IF(K300="","",D300*IFERROR(VLOOKUP(C300,Produtos!$A$4:$J$53,10,0),0))</f>
        <v/>
      </c>
      <c r="O300" s="9">
        <f>IF(OR(K300="",F300=""),IF(K300="","",0),IFERROR(VLOOKUP(F300,Entrega!$A$4:$E$43,5,0),0))</f>
        <v/>
      </c>
      <c r="P300" s="9">
        <f>IF(K300="","",K300-L300-M300-N300-O300)</f>
        <v/>
      </c>
      <c r="Q300" s="9">
        <f>IF(K300="","",IF(I300="Entregue",0,K300-N(J300)))</f>
        <v/>
      </c>
      <c r="R300" s="12">
        <f>IF(ISNUMBER(A300),MONTH(A300),"")</f>
        <v/>
      </c>
      <c r="S300" s="12">
        <f>IF(ISNUMBER(A300),YEAR(A300),"")</f>
        <v/>
      </c>
    </row>
    <row r="301">
      <c r="A301" s="23" t="n"/>
      <c r="B301" s="19" t="n"/>
      <c r="C301" s="19" t="n"/>
      <c r="D301" s="7" t="n"/>
      <c r="E301" s="13" t="n"/>
      <c r="F301" s="19" t="n"/>
      <c r="G301" s="13" t="n"/>
      <c r="H301" s="19" t="n"/>
      <c r="I301" s="19" t="n"/>
      <c r="J301" s="13" t="n"/>
      <c r="K301" s="9">
        <f>IF(AND(C301&lt;&gt;"",N(D301)&gt;0,I301&lt;&gt;"Cancelado"),D301*IF(N(E301)&gt;0,E301,IFERROR(VLOOKUP(C301,Produtos!$A$4:$O$53,15,0),0))+N(G301),"")</f>
        <v/>
      </c>
      <c r="L301" s="9">
        <f>IF(K301="","",K301*IFERROR(VLOOKUP(H301,Config!$B$15:$C$19,2,0),0))</f>
        <v/>
      </c>
      <c r="M301" s="9">
        <f>IF(K301="","",D301*IFERROR(VLOOKUP(C301,Produtos!$A$4:$I$53,9,0),0))</f>
        <v/>
      </c>
      <c r="N301" s="9">
        <f>IF(K301="","",D301*IFERROR(VLOOKUP(C301,Produtos!$A$4:$J$53,10,0),0))</f>
        <v/>
      </c>
      <c r="O301" s="9">
        <f>IF(OR(K301="",F301=""),IF(K301="","",0),IFERROR(VLOOKUP(F301,Entrega!$A$4:$E$43,5,0),0))</f>
        <v/>
      </c>
      <c r="P301" s="9">
        <f>IF(K301="","",K301-L301-M301-N301-O301)</f>
        <v/>
      </c>
      <c r="Q301" s="9">
        <f>IF(K301="","",IF(I301="Entregue",0,K301-N(J301)))</f>
        <v/>
      </c>
      <c r="R301" s="12">
        <f>IF(ISNUMBER(A301),MONTH(A301),"")</f>
        <v/>
      </c>
      <c r="S301" s="12">
        <f>IF(ISNUMBER(A301),YEAR(A301),"")</f>
        <v/>
      </c>
    </row>
    <row r="302">
      <c r="A302" s="23" t="n"/>
      <c r="B302" s="19" t="n"/>
      <c r="C302" s="19" t="n"/>
      <c r="D302" s="7" t="n"/>
      <c r="E302" s="13" t="n"/>
      <c r="F302" s="19" t="n"/>
      <c r="G302" s="13" t="n"/>
      <c r="H302" s="19" t="n"/>
      <c r="I302" s="19" t="n"/>
      <c r="J302" s="13" t="n"/>
      <c r="K302" s="9">
        <f>IF(AND(C302&lt;&gt;"",N(D302)&gt;0,I302&lt;&gt;"Cancelado"),D302*IF(N(E302)&gt;0,E302,IFERROR(VLOOKUP(C302,Produtos!$A$4:$O$53,15,0),0))+N(G302),"")</f>
        <v/>
      </c>
      <c r="L302" s="9">
        <f>IF(K302="","",K302*IFERROR(VLOOKUP(H302,Config!$B$15:$C$19,2,0),0))</f>
        <v/>
      </c>
      <c r="M302" s="9">
        <f>IF(K302="","",D302*IFERROR(VLOOKUP(C302,Produtos!$A$4:$I$53,9,0),0))</f>
        <v/>
      </c>
      <c r="N302" s="9">
        <f>IF(K302="","",D302*IFERROR(VLOOKUP(C302,Produtos!$A$4:$J$53,10,0),0))</f>
        <v/>
      </c>
      <c r="O302" s="9">
        <f>IF(OR(K302="",F302=""),IF(K302="","",0),IFERROR(VLOOKUP(F302,Entrega!$A$4:$E$43,5,0),0))</f>
        <v/>
      </c>
      <c r="P302" s="9">
        <f>IF(K302="","",K302-L302-M302-N302-O302)</f>
        <v/>
      </c>
      <c r="Q302" s="9">
        <f>IF(K302="","",IF(I302="Entregue",0,K302-N(J302)))</f>
        <v/>
      </c>
      <c r="R302" s="12">
        <f>IF(ISNUMBER(A302),MONTH(A302),"")</f>
        <v/>
      </c>
      <c r="S302" s="12">
        <f>IF(ISNUMBER(A302),YEAR(A302),"")</f>
        <v/>
      </c>
    </row>
    <row r="303">
      <c r="A303" s="23" t="n"/>
      <c r="B303" s="19" t="n"/>
      <c r="C303" s="19" t="n"/>
      <c r="D303" s="7" t="n"/>
      <c r="E303" s="13" t="n"/>
      <c r="F303" s="19" t="n"/>
      <c r="G303" s="13" t="n"/>
      <c r="H303" s="19" t="n"/>
      <c r="I303" s="19" t="n"/>
      <c r="J303" s="13" t="n"/>
      <c r="K303" s="9">
        <f>IF(AND(C303&lt;&gt;"",N(D303)&gt;0,I303&lt;&gt;"Cancelado"),D303*IF(N(E303)&gt;0,E303,IFERROR(VLOOKUP(C303,Produtos!$A$4:$O$53,15,0),0))+N(G303),"")</f>
        <v/>
      </c>
      <c r="L303" s="9">
        <f>IF(K303="","",K303*IFERROR(VLOOKUP(H303,Config!$B$15:$C$19,2,0),0))</f>
        <v/>
      </c>
      <c r="M303" s="9">
        <f>IF(K303="","",D303*IFERROR(VLOOKUP(C303,Produtos!$A$4:$I$53,9,0),0))</f>
        <v/>
      </c>
      <c r="N303" s="9">
        <f>IF(K303="","",D303*IFERROR(VLOOKUP(C303,Produtos!$A$4:$J$53,10,0),0))</f>
        <v/>
      </c>
      <c r="O303" s="9">
        <f>IF(OR(K303="",F303=""),IF(K303="","",0),IFERROR(VLOOKUP(F303,Entrega!$A$4:$E$43,5,0),0))</f>
        <v/>
      </c>
      <c r="P303" s="9">
        <f>IF(K303="","",K303-L303-M303-N303-O303)</f>
        <v/>
      </c>
      <c r="Q303" s="9">
        <f>IF(K303="","",IF(I303="Entregue",0,K303-N(J303)))</f>
        <v/>
      </c>
      <c r="R303" s="12">
        <f>IF(ISNUMBER(A303),MONTH(A303),"")</f>
        <v/>
      </c>
      <c r="S303" s="12">
        <f>IF(ISNUMBER(A303),YEAR(A303),"")</f>
        <v/>
      </c>
    </row>
    <row r="304">
      <c r="A304" s="23" t="n"/>
      <c r="B304" s="19" t="n"/>
      <c r="C304" s="19" t="n"/>
      <c r="D304" s="7" t="n"/>
      <c r="E304" s="13" t="n"/>
      <c r="F304" s="19" t="n"/>
      <c r="G304" s="13" t="n"/>
      <c r="H304" s="19" t="n"/>
      <c r="I304" s="19" t="n"/>
      <c r="J304" s="13" t="n"/>
      <c r="K304" s="9">
        <f>IF(AND(C304&lt;&gt;"",N(D304)&gt;0,I304&lt;&gt;"Cancelado"),D304*IF(N(E304)&gt;0,E304,IFERROR(VLOOKUP(C304,Produtos!$A$4:$O$53,15,0),0))+N(G304),"")</f>
        <v/>
      </c>
      <c r="L304" s="9">
        <f>IF(K304="","",K304*IFERROR(VLOOKUP(H304,Config!$B$15:$C$19,2,0),0))</f>
        <v/>
      </c>
      <c r="M304" s="9">
        <f>IF(K304="","",D304*IFERROR(VLOOKUP(C304,Produtos!$A$4:$I$53,9,0),0))</f>
        <v/>
      </c>
      <c r="N304" s="9">
        <f>IF(K304="","",D304*IFERROR(VLOOKUP(C304,Produtos!$A$4:$J$53,10,0),0))</f>
        <v/>
      </c>
      <c r="O304" s="9">
        <f>IF(OR(K304="",F304=""),IF(K304="","",0),IFERROR(VLOOKUP(F304,Entrega!$A$4:$E$43,5,0),0))</f>
        <v/>
      </c>
      <c r="P304" s="9">
        <f>IF(K304="","",K304-L304-M304-N304-O304)</f>
        <v/>
      </c>
      <c r="Q304" s="9">
        <f>IF(K304="","",IF(I304="Entregue",0,K304-N(J304)))</f>
        <v/>
      </c>
      <c r="R304" s="12">
        <f>IF(ISNUMBER(A304),MONTH(A304),"")</f>
        <v/>
      </c>
      <c r="S304" s="12">
        <f>IF(ISNUMBER(A304),YEAR(A304),"")</f>
        <v/>
      </c>
    </row>
    <row r="305">
      <c r="A305" s="23" t="n"/>
      <c r="B305" s="19" t="n"/>
      <c r="C305" s="19" t="n"/>
      <c r="D305" s="7" t="n"/>
      <c r="E305" s="13" t="n"/>
      <c r="F305" s="19" t="n"/>
      <c r="G305" s="13" t="n"/>
      <c r="H305" s="19" t="n"/>
      <c r="I305" s="19" t="n"/>
      <c r="J305" s="13" t="n"/>
      <c r="K305" s="9">
        <f>IF(AND(C305&lt;&gt;"",N(D305)&gt;0,I305&lt;&gt;"Cancelado"),D305*IF(N(E305)&gt;0,E305,IFERROR(VLOOKUP(C305,Produtos!$A$4:$O$53,15,0),0))+N(G305),"")</f>
        <v/>
      </c>
      <c r="L305" s="9">
        <f>IF(K305="","",K305*IFERROR(VLOOKUP(H305,Config!$B$15:$C$19,2,0),0))</f>
        <v/>
      </c>
      <c r="M305" s="9">
        <f>IF(K305="","",D305*IFERROR(VLOOKUP(C305,Produtos!$A$4:$I$53,9,0),0))</f>
        <v/>
      </c>
      <c r="N305" s="9">
        <f>IF(K305="","",D305*IFERROR(VLOOKUP(C305,Produtos!$A$4:$J$53,10,0),0))</f>
        <v/>
      </c>
      <c r="O305" s="9">
        <f>IF(OR(K305="",F305=""),IF(K305="","",0),IFERROR(VLOOKUP(F305,Entrega!$A$4:$E$43,5,0),0))</f>
        <v/>
      </c>
      <c r="P305" s="9">
        <f>IF(K305="","",K305-L305-M305-N305-O305)</f>
        <v/>
      </c>
      <c r="Q305" s="9">
        <f>IF(K305="","",IF(I305="Entregue",0,K305-N(J305)))</f>
        <v/>
      </c>
      <c r="R305" s="12">
        <f>IF(ISNUMBER(A305),MONTH(A305),"")</f>
        <v/>
      </c>
      <c r="S305" s="12">
        <f>IF(ISNUMBER(A305),YEAR(A305),"")</f>
        <v/>
      </c>
    </row>
    <row r="306">
      <c r="A306" s="23" t="n"/>
      <c r="B306" s="19" t="n"/>
      <c r="C306" s="19" t="n"/>
      <c r="D306" s="7" t="n"/>
      <c r="E306" s="13" t="n"/>
      <c r="F306" s="19" t="n"/>
      <c r="G306" s="13" t="n"/>
      <c r="H306" s="19" t="n"/>
      <c r="I306" s="19" t="n"/>
      <c r="J306" s="13" t="n"/>
      <c r="K306" s="9">
        <f>IF(AND(C306&lt;&gt;"",N(D306)&gt;0,I306&lt;&gt;"Cancelado"),D306*IF(N(E306)&gt;0,E306,IFERROR(VLOOKUP(C306,Produtos!$A$4:$O$53,15,0),0))+N(G306),"")</f>
        <v/>
      </c>
      <c r="L306" s="9">
        <f>IF(K306="","",K306*IFERROR(VLOOKUP(H306,Config!$B$15:$C$19,2,0),0))</f>
        <v/>
      </c>
      <c r="M306" s="9">
        <f>IF(K306="","",D306*IFERROR(VLOOKUP(C306,Produtos!$A$4:$I$53,9,0),0))</f>
        <v/>
      </c>
      <c r="N306" s="9">
        <f>IF(K306="","",D306*IFERROR(VLOOKUP(C306,Produtos!$A$4:$J$53,10,0),0))</f>
        <v/>
      </c>
      <c r="O306" s="9">
        <f>IF(OR(K306="",F306=""),IF(K306="","",0),IFERROR(VLOOKUP(F306,Entrega!$A$4:$E$43,5,0),0))</f>
        <v/>
      </c>
      <c r="P306" s="9">
        <f>IF(K306="","",K306-L306-M306-N306-O306)</f>
        <v/>
      </c>
      <c r="Q306" s="9">
        <f>IF(K306="","",IF(I306="Entregue",0,K306-N(J306)))</f>
        <v/>
      </c>
      <c r="R306" s="12">
        <f>IF(ISNUMBER(A306),MONTH(A306),"")</f>
        <v/>
      </c>
      <c r="S306" s="12">
        <f>IF(ISNUMBER(A306),YEAR(A306),"")</f>
        <v/>
      </c>
    </row>
    <row r="307">
      <c r="A307" s="23" t="n"/>
      <c r="B307" s="19" t="n"/>
      <c r="C307" s="19" t="n"/>
      <c r="D307" s="7" t="n"/>
      <c r="E307" s="13" t="n"/>
      <c r="F307" s="19" t="n"/>
      <c r="G307" s="13" t="n"/>
      <c r="H307" s="19" t="n"/>
      <c r="I307" s="19" t="n"/>
      <c r="J307" s="13" t="n"/>
      <c r="K307" s="9">
        <f>IF(AND(C307&lt;&gt;"",N(D307)&gt;0,I307&lt;&gt;"Cancelado"),D307*IF(N(E307)&gt;0,E307,IFERROR(VLOOKUP(C307,Produtos!$A$4:$O$53,15,0),0))+N(G307),"")</f>
        <v/>
      </c>
      <c r="L307" s="9">
        <f>IF(K307="","",K307*IFERROR(VLOOKUP(H307,Config!$B$15:$C$19,2,0),0))</f>
        <v/>
      </c>
      <c r="M307" s="9">
        <f>IF(K307="","",D307*IFERROR(VLOOKUP(C307,Produtos!$A$4:$I$53,9,0),0))</f>
        <v/>
      </c>
      <c r="N307" s="9">
        <f>IF(K307="","",D307*IFERROR(VLOOKUP(C307,Produtos!$A$4:$J$53,10,0),0))</f>
        <v/>
      </c>
      <c r="O307" s="9">
        <f>IF(OR(K307="",F307=""),IF(K307="","",0),IFERROR(VLOOKUP(F307,Entrega!$A$4:$E$43,5,0),0))</f>
        <v/>
      </c>
      <c r="P307" s="9">
        <f>IF(K307="","",K307-L307-M307-N307-O307)</f>
        <v/>
      </c>
      <c r="Q307" s="9">
        <f>IF(K307="","",IF(I307="Entregue",0,K307-N(J307)))</f>
        <v/>
      </c>
      <c r="R307" s="12">
        <f>IF(ISNUMBER(A307),MONTH(A307),"")</f>
        <v/>
      </c>
      <c r="S307" s="12">
        <f>IF(ISNUMBER(A307),YEAR(A307),"")</f>
        <v/>
      </c>
    </row>
    <row r="308">
      <c r="A308" s="23" t="n"/>
      <c r="B308" s="19" t="n"/>
      <c r="C308" s="19" t="n"/>
      <c r="D308" s="7" t="n"/>
      <c r="E308" s="13" t="n"/>
      <c r="F308" s="19" t="n"/>
      <c r="G308" s="13" t="n"/>
      <c r="H308" s="19" t="n"/>
      <c r="I308" s="19" t="n"/>
      <c r="J308" s="13" t="n"/>
      <c r="K308" s="9">
        <f>IF(AND(C308&lt;&gt;"",N(D308)&gt;0,I308&lt;&gt;"Cancelado"),D308*IF(N(E308)&gt;0,E308,IFERROR(VLOOKUP(C308,Produtos!$A$4:$O$53,15,0),0))+N(G308),"")</f>
        <v/>
      </c>
      <c r="L308" s="9">
        <f>IF(K308="","",K308*IFERROR(VLOOKUP(H308,Config!$B$15:$C$19,2,0),0))</f>
        <v/>
      </c>
      <c r="M308" s="9">
        <f>IF(K308="","",D308*IFERROR(VLOOKUP(C308,Produtos!$A$4:$I$53,9,0),0))</f>
        <v/>
      </c>
      <c r="N308" s="9">
        <f>IF(K308="","",D308*IFERROR(VLOOKUP(C308,Produtos!$A$4:$J$53,10,0),0))</f>
        <v/>
      </c>
      <c r="O308" s="9">
        <f>IF(OR(K308="",F308=""),IF(K308="","",0),IFERROR(VLOOKUP(F308,Entrega!$A$4:$E$43,5,0),0))</f>
        <v/>
      </c>
      <c r="P308" s="9">
        <f>IF(K308="","",K308-L308-M308-N308-O308)</f>
        <v/>
      </c>
      <c r="Q308" s="9">
        <f>IF(K308="","",IF(I308="Entregue",0,K308-N(J308)))</f>
        <v/>
      </c>
      <c r="R308" s="12">
        <f>IF(ISNUMBER(A308),MONTH(A308),"")</f>
        <v/>
      </c>
      <c r="S308" s="12">
        <f>IF(ISNUMBER(A308),YEAR(A308),"")</f>
        <v/>
      </c>
    </row>
    <row r="309">
      <c r="A309" s="23" t="n"/>
      <c r="B309" s="19" t="n"/>
      <c r="C309" s="19" t="n"/>
      <c r="D309" s="7" t="n"/>
      <c r="E309" s="13" t="n"/>
      <c r="F309" s="19" t="n"/>
      <c r="G309" s="13" t="n"/>
      <c r="H309" s="19" t="n"/>
      <c r="I309" s="19" t="n"/>
      <c r="J309" s="13" t="n"/>
      <c r="K309" s="9">
        <f>IF(AND(C309&lt;&gt;"",N(D309)&gt;0,I309&lt;&gt;"Cancelado"),D309*IF(N(E309)&gt;0,E309,IFERROR(VLOOKUP(C309,Produtos!$A$4:$O$53,15,0),0))+N(G309),"")</f>
        <v/>
      </c>
      <c r="L309" s="9">
        <f>IF(K309="","",K309*IFERROR(VLOOKUP(H309,Config!$B$15:$C$19,2,0),0))</f>
        <v/>
      </c>
      <c r="M309" s="9">
        <f>IF(K309="","",D309*IFERROR(VLOOKUP(C309,Produtos!$A$4:$I$53,9,0),0))</f>
        <v/>
      </c>
      <c r="N309" s="9">
        <f>IF(K309="","",D309*IFERROR(VLOOKUP(C309,Produtos!$A$4:$J$53,10,0),0))</f>
        <v/>
      </c>
      <c r="O309" s="9">
        <f>IF(OR(K309="",F309=""),IF(K309="","",0),IFERROR(VLOOKUP(F309,Entrega!$A$4:$E$43,5,0),0))</f>
        <v/>
      </c>
      <c r="P309" s="9">
        <f>IF(K309="","",K309-L309-M309-N309-O309)</f>
        <v/>
      </c>
      <c r="Q309" s="9">
        <f>IF(K309="","",IF(I309="Entregue",0,K309-N(J309)))</f>
        <v/>
      </c>
      <c r="R309" s="12">
        <f>IF(ISNUMBER(A309),MONTH(A309),"")</f>
        <v/>
      </c>
      <c r="S309" s="12">
        <f>IF(ISNUMBER(A309),YEAR(A309),"")</f>
        <v/>
      </c>
    </row>
    <row r="310">
      <c r="A310" s="23" t="n"/>
      <c r="B310" s="19" t="n"/>
      <c r="C310" s="19" t="n"/>
      <c r="D310" s="7" t="n"/>
      <c r="E310" s="13" t="n"/>
      <c r="F310" s="19" t="n"/>
      <c r="G310" s="13" t="n"/>
      <c r="H310" s="19" t="n"/>
      <c r="I310" s="19" t="n"/>
      <c r="J310" s="13" t="n"/>
      <c r="K310" s="9">
        <f>IF(AND(C310&lt;&gt;"",N(D310)&gt;0,I310&lt;&gt;"Cancelado"),D310*IF(N(E310)&gt;0,E310,IFERROR(VLOOKUP(C310,Produtos!$A$4:$O$53,15,0),0))+N(G310),"")</f>
        <v/>
      </c>
      <c r="L310" s="9">
        <f>IF(K310="","",K310*IFERROR(VLOOKUP(H310,Config!$B$15:$C$19,2,0),0))</f>
        <v/>
      </c>
      <c r="M310" s="9">
        <f>IF(K310="","",D310*IFERROR(VLOOKUP(C310,Produtos!$A$4:$I$53,9,0),0))</f>
        <v/>
      </c>
      <c r="N310" s="9">
        <f>IF(K310="","",D310*IFERROR(VLOOKUP(C310,Produtos!$A$4:$J$53,10,0),0))</f>
        <v/>
      </c>
      <c r="O310" s="9">
        <f>IF(OR(K310="",F310=""),IF(K310="","",0),IFERROR(VLOOKUP(F310,Entrega!$A$4:$E$43,5,0),0))</f>
        <v/>
      </c>
      <c r="P310" s="9">
        <f>IF(K310="","",K310-L310-M310-N310-O310)</f>
        <v/>
      </c>
      <c r="Q310" s="9">
        <f>IF(K310="","",IF(I310="Entregue",0,K310-N(J310)))</f>
        <v/>
      </c>
      <c r="R310" s="12">
        <f>IF(ISNUMBER(A310),MONTH(A310),"")</f>
        <v/>
      </c>
      <c r="S310" s="12">
        <f>IF(ISNUMBER(A310),YEAR(A310),"")</f>
        <v/>
      </c>
    </row>
    <row r="311">
      <c r="A311" s="23" t="n"/>
      <c r="B311" s="19" t="n"/>
      <c r="C311" s="19" t="n"/>
      <c r="D311" s="7" t="n"/>
      <c r="E311" s="13" t="n"/>
      <c r="F311" s="19" t="n"/>
      <c r="G311" s="13" t="n"/>
      <c r="H311" s="19" t="n"/>
      <c r="I311" s="19" t="n"/>
      <c r="J311" s="13" t="n"/>
      <c r="K311" s="9">
        <f>IF(AND(C311&lt;&gt;"",N(D311)&gt;0,I311&lt;&gt;"Cancelado"),D311*IF(N(E311)&gt;0,E311,IFERROR(VLOOKUP(C311,Produtos!$A$4:$O$53,15,0),0))+N(G311),"")</f>
        <v/>
      </c>
      <c r="L311" s="9">
        <f>IF(K311="","",K311*IFERROR(VLOOKUP(H311,Config!$B$15:$C$19,2,0),0))</f>
        <v/>
      </c>
      <c r="M311" s="9">
        <f>IF(K311="","",D311*IFERROR(VLOOKUP(C311,Produtos!$A$4:$I$53,9,0),0))</f>
        <v/>
      </c>
      <c r="N311" s="9">
        <f>IF(K311="","",D311*IFERROR(VLOOKUP(C311,Produtos!$A$4:$J$53,10,0),0))</f>
        <v/>
      </c>
      <c r="O311" s="9">
        <f>IF(OR(K311="",F311=""),IF(K311="","",0),IFERROR(VLOOKUP(F311,Entrega!$A$4:$E$43,5,0),0))</f>
        <v/>
      </c>
      <c r="P311" s="9">
        <f>IF(K311="","",K311-L311-M311-N311-O311)</f>
        <v/>
      </c>
      <c r="Q311" s="9">
        <f>IF(K311="","",IF(I311="Entregue",0,K311-N(J311)))</f>
        <v/>
      </c>
      <c r="R311" s="12">
        <f>IF(ISNUMBER(A311),MONTH(A311),"")</f>
        <v/>
      </c>
      <c r="S311" s="12">
        <f>IF(ISNUMBER(A311),YEAR(A311),"")</f>
        <v/>
      </c>
    </row>
    <row r="312">
      <c r="A312" s="23" t="n"/>
      <c r="B312" s="19" t="n"/>
      <c r="C312" s="19" t="n"/>
      <c r="D312" s="7" t="n"/>
      <c r="E312" s="13" t="n"/>
      <c r="F312" s="19" t="n"/>
      <c r="G312" s="13" t="n"/>
      <c r="H312" s="19" t="n"/>
      <c r="I312" s="19" t="n"/>
      <c r="J312" s="13" t="n"/>
      <c r="K312" s="9">
        <f>IF(AND(C312&lt;&gt;"",N(D312)&gt;0,I312&lt;&gt;"Cancelado"),D312*IF(N(E312)&gt;0,E312,IFERROR(VLOOKUP(C312,Produtos!$A$4:$O$53,15,0),0))+N(G312),"")</f>
        <v/>
      </c>
      <c r="L312" s="9">
        <f>IF(K312="","",K312*IFERROR(VLOOKUP(H312,Config!$B$15:$C$19,2,0),0))</f>
        <v/>
      </c>
      <c r="M312" s="9">
        <f>IF(K312="","",D312*IFERROR(VLOOKUP(C312,Produtos!$A$4:$I$53,9,0),0))</f>
        <v/>
      </c>
      <c r="N312" s="9">
        <f>IF(K312="","",D312*IFERROR(VLOOKUP(C312,Produtos!$A$4:$J$53,10,0),0))</f>
        <v/>
      </c>
      <c r="O312" s="9">
        <f>IF(OR(K312="",F312=""),IF(K312="","",0),IFERROR(VLOOKUP(F312,Entrega!$A$4:$E$43,5,0),0))</f>
        <v/>
      </c>
      <c r="P312" s="9">
        <f>IF(K312="","",K312-L312-M312-N312-O312)</f>
        <v/>
      </c>
      <c r="Q312" s="9">
        <f>IF(K312="","",IF(I312="Entregue",0,K312-N(J312)))</f>
        <v/>
      </c>
      <c r="R312" s="12">
        <f>IF(ISNUMBER(A312),MONTH(A312),"")</f>
        <v/>
      </c>
      <c r="S312" s="12">
        <f>IF(ISNUMBER(A312),YEAR(A312),"")</f>
        <v/>
      </c>
    </row>
    <row r="313">
      <c r="A313" s="23" t="n"/>
      <c r="B313" s="19" t="n"/>
      <c r="C313" s="19" t="n"/>
      <c r="D313" s="7" t="n"/>
      <c r="E313" s="13" t="n"/>
      <c r="F313" s="19" t="n"/>
      <c r="G313" s="13" t="n"/>
      <c r="H313" s="19" t="n"/>
      <c r="I313" s="19" t="n"/>
      <c r="J313" s="13" t="n"/>
      <c r="K313" s="9">
        <f>IF(AND(C313&lt;&gt;"",N(D313)&gt;0,I313&lt;&gt;"Cancelado"),D313*IF(N(E313)&gt;0,E313,IFERROR(VLOOKUP(C313,Produtos!$A$4:$O$53,15,0),0))+N(G313),"")</f>
        <v/>
      </c>
      <c r="L313" s="9">
        <f>IF(K313="","",K313*IFERROR(VLOOKUP(H313,Config!$B$15:$C$19,2,0),0))</f>
        <v/>
      </c>
      <c r="M313" s="9">
        <f>IF(K313="","",D313*IFERROR(VLOOKUP(C313,Produtos!$A$4:$I$53,9,0),0))</f>
        <v/>
      </c>
      <c r="N313" s="9">
        <f>IF(K313="","",D313*IFERROR(VLOOKUP(C313,Produtos!$A$4:$J$53,10,0),0))</f>
        <v/>
      </c>
      <c r="O313" s="9">
        <f>IF(OR(K313="",F313=""),IF(K313="","",0),IFERROR(VLOOKUP(F313,Entrega!$A$4:$E$43,5,0),0))</f>
        <v/>
      </c>
      <c r="P313" s="9">
        <f>IF(K313="","",K313-L313-M313-N313-O313)</f>
        <v/>
      </c>
      <c r="Q313" s="9">
        <f>IF(K313="","",IF(I313="Entregue",0,K313-N(J313)))</f>
        <v/>
      </c>
      <c r="R313" s="12">
        <f>IF(ISNUMBER(A313),MONTH(A313),"")</f>
        <v/>
      </c>
      <c r="S313" s="12">
        <f>IF(ISNUMBER(A313),YEAR(A313),"")</f>
        <v/>
      </c>
    </row>
    <row r="314">
      <c r="A314" s="23" t="n"/>
      <c r="B314" s="19" t="n"/>
      <c r="C314" s="19" t="n"/>
      <c r="D314" s="7" t="n"/>
      <c r="E314" s="13" t="n"/>
      <c r="F314" s="19" t="n"/>
      <c r="G314" s="13" t="n"/>
      <c r="H314" s="19" t="n"/>
      <c r="I314" s="19" t="n"/>
      <c r="J314" s="13" t="n"/>
      <c r="K314" s="9">
        <f>IF(AND(C314&lt;&gt;"",N(D314)&gt;0,I314&lt;&gt;"Cancelado"),D314*IF(N(E314)&gt;0,E314,IFERROR(VLOOKUP(C314,Produtos!$A$4:$O$53,15,0),0))+N(G314),"")</f>
        <v/>
      </c>
      <c r="L314" s="9">
        <f>IF(K314="","",K314*IFERROR(VLOOKUP(H314,Config!$B$15:$C$19,2,0),0))</f>
        <v/>
      </c>
      <c r="M314" s="9">
        <f>IF(K314="","",D314*IFERROR(VLOOKUP(C314,Produtos!$A$4:$I$53,9,0),0))</f>
        <v/>
      </c>
      <c r="N314" s="9">
        <f>IF(K314="","",D314*IFERROR(VLOOKUP(C314,Produtos!$A$4:$J$53,10,0),0))</f>
        <v/>
      </c>
      <c r="O314" s="9">
        <f>IF(OR(K314="",F314=""),IF(K314="","",0),IFERROR(VLOOKUP(F314,Entrega!$A$4:$E$43,5,0),0))</f>
        <v/>
      </c>
      <c r="P314" s="9">
        <f>IF(K314="","",K314-L314-M314-N314-O314)</f>
        <v/>
      </c>
      <c r="Q314" s="9">
        <f>IF(K314="","",IF(I314="Entregue",0,K314-N(J314)))</f>
        <v/>
      </c>
      <c r="R314" s="12">
        <f>IF(ISNUMBER(A314),MONTH(A314),"")</f>
        <v/>
      </c>
      <c r="S314" s="12">
        <f>IF(ISNUMBER(A314),YEAR(A314),"")</f>
        <v/>
      </c>
    </row>
    <row r="315">
      <c r="A315" s="23" t="n"/>
      <c r="B315" s="19" t="n"/>
      <c r="C315" s="19" t="n"/>
      <c r="D315" s="7" t="n"/>
      <c r="E315" s="13" t="n"/>
      <c r="F315" s="19" t="n"/>
      <c r="G315" s="13" t="n"/>
      <c r="H315" s="19" t="n"/>
      <c r="I315" s="19" t="n"/>
      <c r="J315" s="13" t="n"/>
      <c r="K315" s="9">
        <f>IF(AND(C315&lt;&gt;"",N(D315)&gt;0,I315&lt;&gt;"Cancelado"),D315*IF(N(E315)&gt;0,E315,IFERROR(VLOOKUP(C315,Produtos!$A$4:$O$53,15,0),0))+N(G315),"")</f>
        <v/>
      </c>
      <c r="L315" s="9">
        <f>IF(K315="","",K315*IFERROR(VLOOKUP(H315,Config!$B$15:$C$19,2,0),0))</f>
        <v/>
      </c>
      <c r="M315" s="9">
        <f>IF(K315="","",D315*IFERROR(VLOOKUP(C315,Produtos!$A$4:$I$53,9,0),0))</f>
        <v/>
      </c>
      <c r="N315" s="9">
        <f>IF(K315="","",D315*IFERROR(VLOOKUP(C315,Produtos!$A$4:$J$53,10,0),0))</f>
        <v/>
      </c>
      <c r="O315" s="9">
        <f>IF(OR(K315="",F315=""),IF(K315="","",0),IFERROR(VLOOKUP(F315,Entrega!$A$4:$E$43,5,0),0))</f>
        <v/>
      </c>
      <c r="P315" s="9">
        <f>IF(K315="","",K315-L315-M315-N315-O315)</f>
        <v/>
      </c>
      <c r="Q315" s="9">
        <f>IF(K315="","",IF(I315="Entregue",0,K315-N(J315)))</f>
        <v/>
      </c>
      <c r="R315" s="12">
        <f>IF(ISNUMBER(A315),MONTH(A315),"")</f>
        <v/>
      </c>
      <c r="S315" s="12">
        <f>IF(ISNUMBER(A315),YEAR(A315),"")</f>
        <v/>
      </c>
    </row>
    <row r="316">
      <c r="A316" s="23" t="n"/>
      <c r="B316" s="19" t="n"/>
      <c r="C316" s="19" t="n"/>
      <c r="D316" s="7" t="n"/>
      <c r="E316" s="13" t="n"/>
      <c r="F316" s="19" t="n"/>
      <c r="G316" s="13" t="n"/>
      <c r="H316" s="19" t="n"/>
      <c r="I316" s="19" t="n"/>
      <c r="J316" s="13" t="n"/>
      <c r="K316" s="9">
        <f>IF(AND(C316&lt;&gt;"",N(D316)&gt;0,I316&lt;&gt;"Cancelado"),D316*IF(N(E316)&gt;0,E316,IFERROR(VLOOKUP(C316,Produtos!$A$4:$O$53,15,0),0))+N(G316),"")</f>
        <v/>
      </c>
      <c r="L316" s="9">
        <f>IF(K316="","",K316*IFERROR(VLOOKUP(H316,Config!$B$15:$C$19,2,0),0))</f>
        <v/>
      </c>
      <c r="M316" s="9">
        <f>IF(K316="","",D316*IFERROR(VLOOKUP(C316,Produtos!$A$4:$I$53,9,0),0))</f>
        <v/>
      </c>
      <c r="N316" s="9">
        <f>IF(K316="","",D316*IFERROR(VLOOKUP(C316,Produtos!$A$4:$J$53,10,0),0))</f>
        <v/>
      </c>
      <c r="O316" s="9">
        <f>IF(OR(K316="",F316=""),IF(K316="","",0),IFERROR(VLOOKUP(F316,Entrega!$A$4:$E$43,5,0),0))</f>
        <v/>
      </c>
      <c r="P316" s="9">
        <f>IF(K316="","",K316-L316-M316-N316-O316)</f>
        <v/>
      </c>
      <c r="Q316" s="9">
        <f>IF(K316="","",IF(I316="Entregue",0,K316-N(J316)))</f>
        <v/>
      </c>
      <c r="R316" s="12">
        <f>IF(ISNUMBER(A316),MONTH(A316),"")</f>
        <v/>
      </c>
      <c r="S316" s="12">
        <f>IF(ISNUMBER(A316),YEAR(A316),"")</f>
        <v/>
      </c>
    </row>
    <row r="317">
      <c r="A317" s="23" t="n"/>
      <c r="B317" s="19" t="n"/>
      <c r="C317" s="19" t="n"/>
      <c r="D317" s="7" t="n"/>
      <c r="E317" s="13" t="n"/>
      <c r="F317" s="19" t="n"/>
      <c r="G317" s="13" t="n"/>
      <c r="H317" s="19" t="n"/>
      <c r="I317" s="19" t="n"/>
      <c r="J317" s="13" t="n"/>
      <c r="K317" s="9">
        <f>IF(AND(C317&lt;&gt;"",N(D317)&gt;0,I317&lt;&gt;"Cancelado"),D317*IF(N(E317)&gt;0,E317,IFERROR(VLOOKUP(C317,Produtos!$A$4:$O$53,15,0),0))+N(G317),"")</f>
        <v/>
      </c>
      <c r="L317" s="9">
        <f>IF(K317="","",K317*IFERROR(VLOOKUP(H317,Config!$B$15:$C$19,2,0),0))</f>
        <v/>
      </c>
      <c r="M317" s="9">
        <f>IF(K317="","",D317*IFERROR(VLOOKUP(C317,Produtos!$A$4:$I$53,9,0),0))</f>
        <v/>
      </c>
      <c r="N317" s="9">
        <f>IF(K317="","",D317*IFERROR(VLOOKUP(C317,Produtos!$A$4:$J$53,10,0),0))</f>
        <v/>
      </c>
      <c r="O317" s="9">
        <f>IF(OR(K317="",F317=""),IF(K317="","",0),IFERROR(VLOOKUP(F317,Entrega!$A$4:$E$43,5,0),0))</f>
        <v/>
      </c>
      <c r="P317" s="9">
        <f>IF(K317="","",K317-L317-M317-N317-O317)</f>
        <v/>
      </c>
      <c r="Q317" s="9">
        <f>IF(K317="","",IF(I317="Entregue",0,K317-N(J317)))</f>
        <v/>
      </c>
      <c r="R317" s="12">
        <f>IF(ISNUMBER(A317),MONTH(A317),"")</f>
        <v/>
      </c>
      <c r="S317" s="12">
        <f>IF(ISNUMBER(A317),YEAR(A317),"")</f>
        <v/>
      </c>
    </row>
    <row r="318">
      <c r="A318" s="23" t="n"/>
      <c r="B318" s="19" t="n"/>
      <c r="C318" s="19" t="n"/>
      <c r="D318" s="7" t="n"/>
      <c r="E318" s="13" t="n"/>
      <c r="F318" s="19" t="n"/>
      <c r="G318" s="13" t="n"/>
      <c r="H318" s="19" t="n"/>
      <c r="I318" s="19" t="n"/>
      <c r="J318" s="13" t="n"/>
      <c r="K318" s="9">
        <f>IF(AND(C318&lt;&gt;"",N(D318)&gt;0,I318&lt;&gt;"Cancelado"),D318*IF(N(E318)&gt;0,E318,IFERROR(VLOOKUP(C318,Produtos!$A$4:$O$53,15,0),0))+N(G318),"")</f>
        <v/>
      </c>
      <c r="L318" s="9">
        <f>IF(K318="","",K318*IFERROR(VLOOKUP(H318,Config!$B$15:$C$19,2,0),0))</f>
        <v/>
      </c>
      <c r="M318" s="9">
        <f>IF(K318="","",D318*IFERROR(VLOOKUP(C318,Produtos!$A$4:$I$53,9,0),0))</f>
        <v/>
      </c>
      <c r="N318" s="9">
        <f>IF(K318="","",D318*IFERROR(VLOOKUP(C318,Produtos!$A$4:$J$53,10,0),0))</f>
        <v/>
      </c>
      <c r="O318" s="9">
        <f>IF(OR(K318="",F318=""),IF(K318="","",0),IFERROR(VLOOKUP(F318,Entrega!$A$4:$E$43,5,0),0))</f>
        <v/>
      </c>
      <c r="P318" s="9">
        <f>IF(K318="","",K318-L318-M318-N318-O318)</f>
        <v/>
      </c>
      <c r="Q318" s="9">
        <f>IF(K318="","",IF(I318="Entregue",0,K318-N(J318)))</f>
        <v/>
      </c>
      <c r="R318" s="12">
        <f>IF(ISNUMBER(A318),MONTH(A318),"")</f>
        <v/>
      </c>
      <c r="S318" s="12">
        <f>IF(ISNUMBER(A318),YEAR(A318),"")</f>
        <v/>
      </c>
    </row>
    <row r="319">
      <c r="A319" s="23" t="n"/>
      <c r="B319" s="19" t="n"/>
      <c r="C319" s="19" t="n"/>
      <c r="D319" s="7" t="n"/>
      <c r="E319" s="13" t="n"/>
      <c r="F319" s="19" t="n"/>
      <c r="G319" s="13" t="n"/>
      <c r="H319" s="19" t="n"/>
      <c r="I319" s="19" t="n"/>
      <c r="J319" s="13" t="n"/>
      <c r="K319" s="9">
        <f>IF(AND(C319&lt;&gt;"",N(D319)&gt;0,I319&lt;&gt;"Cancelado"),D319*IF(N(E319)&gt;0,E319,IFERROR(VLOOKUP(C319,Produtos!$A$4:$O$53,15,0),0))+N(G319),"")</f>
        <v/>
      </c>
      <c r="L319" s="9">
        <f>IF(K319="","",K319*IFERROR(VLOOKUP(H319,Config!$B$15:$C$19,2,0),0))</f>
        <v/>
      </c>
      <c r="M319" s="9">
        <f>IF(K319="","",D319*IFERROR(VLOOKUP(C319,Produtos!$A$4:$I$53,9,0),0))</f>
        <v/>
      </c>
      <c r="N319" s="9">
        <f>IF(K319="","",D319*IFERROR(VLOOKUP(C319,Produtos!$A$4:$J$53,10,0),0))</f>
        <v/>
      </c>
      <c r="O319" s="9">
        <f>IF(OR(K319="",F319=""),IF(K319="","",0),IFERROR(VLOOKUP(F319,Entrega!$A$4:$E$43,5,0),0))</f>
        <v/>
      </c>
      <c r="P319" s="9">
        <f>IF(K319="","",K319-L319-M319-N319-O319)</f>
        <v/>
      </c>
      <c r="Q319" s="9">
        <f>IF(K319="","",IF(I319="Entregue",0,K319-N(J319)))</f>
        <v/>
      </c>
      <c r="R319" s="12">
        <f>IF(ISNUMBER(A319),MONTH(A319),"")</f>
        <v/>
      </c>
      <c r="S319" s="12">
        <f>IF(ISNUMBER(A319),YEAR(A319),"")</f>
        <v/>
      </c>
    </row>
    <row r="320">
      <c r="A320" s="23" t="n"/>
      <c r="B320" s="19" t="n"/>
      <c r="C320" s="19" t="n"/>
      <c r="D320" s="7" t="n"/>
      <c r="E320" s="13" t="n"/>
      <c r="F320" s="19" t="n"/>
      <c r="G320" s="13" t="n"/>
      <c r="H320" s="19" t="n"/>
      <c r="I320" s="19" t="n"/>
      <c r="J320" s="13" t="n"/>
      <c r="K320" s="9">
        <f>IF(AND(C320&lt;&gt;"",N(D320)&gt;0,I320&lt;&gt;"Cancelado"),D320*IF(N(E320)&gt;0,E320,IFERROR(VLOOKUP(C320,Produtos!$A$4:$O$53,15,0),0))+N(G320),"")</f>
        <v/>
      </c>
      <c r="L320" s="9">
        <f>IF(K320="","",K320*IFERROR(VLOOKUP(H320,Config!$B$15:$C$19,2,0),0))</f>
        <v/>
      </c>
      <c r="M320" s="9">
        <f>IF(K320="","",D320*IFERROR(VLOOKUP(C320,Produtos!$A$4:$I$53,9,0),0))</f>
        <v/>
      </c>
      <c r="N320" s="9">
        <f>IF(K320="","",D320*IFERROR(VLOOKUP(C320,Produtos!$A$4:$J$53,10,0),0))</f>
        <v/>
      </c>
      <c r="O320" s="9">
        <f>IF(OR(K320="",F320=""),IF(K320="","",0),IFERROR(VLOOKUP(F320,Entrega!$A$4:$E$43,5,0),0))</f>
        <v/>
      </c>
      <c r="P320" s="9">
        <f>IF(K320="","",K320-L320-M320-N320-O320)</f>
        <v/>
      </c>
      <c r="Q320" s="9">
        <f>IF(K320="","",IF(I320="Entregue",0,K320-N(J320)))</f>
        <v/>
      </c>
      <c r="R320" s="12">
        <f>IF(ISNUMBER(A320),MONTH(A320),"")</f>
        <v/>
      </c>
      <c r="S320" s="12">
        <f>IF(ISNUMBER(A320),YEAR(A320),"")</f>
        <v/>
      </c>
    </row>
    <row r="321">
      <c r="A321" s="23" t="n"/>
      <c r="B321" s="19" t="n"/>
      <c r="C321" s="19" t="n"/>
      <c r="D321" s="7" t="n"/>
      <c r="E321" s="13" t="n"/>
      <c r="F321" s="19" t="n"/>
      <c r="G321" s="13" t="n"/>
      <c r="H321" s="19" t="n"/>
      <c r="I321" s="19" t="n"/>
      <c r="J321" s="13" t="n"/>
      <c r="K321" s="9">
        <f>IF(AND(C321&lt;&gt;"",N(D321)&gt;0,I321&lt;&gt;"Cancelado"),D321*IF(N(E321)&gt;0,E321,IFERROR(VLOOKUP(C321,Produtos!$A$4:$O$53,15,0),0))+N(G321),"")</f>
        <v/>
      </c>
      <c r="L321" s="9">
        <f>IF(K321="","",K321*IFERROR(VLOOKUP(H321,Config!$B$15:$C$19,2,0),0))</f>
        <v/>
      </c>
      <c r="M321" s="9">
        <f>IF(K321="","",D321*IFERROR(VLOOKUP(C321,Produtos!$A$4:$I$53,9,0),0))</f>
        <v/>
      </c>
      <c r="N321" s="9">
        <f>IF(K321="","",D321*IFERROR(VLOOKUP(C321,Produtos!$A$4:$J$53,10,0),0))</f>
        <v/>
      </c>
      <c r="O321" s="9">
        <f>IF(OR(K321="",F321=""),IF(K321="","",0),IFERROR(VLOOKUP(F321,Entrega!$A$4:$E$43,5,0),0))</f>
        <v/>
      </c>
      <c r="P321" s="9">
        <f>IF(K321="","",K321-L321-M321-N321-O321)</f>
        <v/>
      </c>
      <c r="Q321" s="9">
        <f>IF(K321="","",IF(I321="Entregue",0,K321-N(J321)))</f>
        <v/>
      </c>
      <c r="R321" s="12">
        <f>IF(ISNUMBER(A321),MONTH(A321),"")</f>
        <v/>
      </c>
      <c r="S321" s="12">
        <f>IF(ISNUMBER(A321),YEAR(A321),"")</f>
        <v/>
      </c>
    </row>
    <row r="322">
      <c r="A322" s="23" t="n"/>
      <c r="B322" s="19" t="n"/>
      <c r="C322" s="19" t="n"/>
      <c r="D322" s="7" t="n"/>
      <c r="E322" s="13" t="n"/>
      <c r="F322" s="19" t="n"/>
      <c r="G322" s="13" t="n"/>
      <c r="H322" s="19" t="n"/>
      <c r="I322" s="19" t="n"/>
      <c r="J322" s="13" t="n"/>
      <c r="K322" s="9">
        <f>IF(AND(C322&lt;&gt;"",N(D322)&gt;0,I322&lt;&gt;"Cancelado"),D322*IF(N(E322)&gt;0,E322,IFERROR(VLOOKUP(C322,Produtos!$A$4:$O$53,15,0),0))+N(G322),"")</f>
        <v/>
      </c>
      <c r="L322" s="9">
        <f>IF(K322="","",K322*IFERROR(VLOOKUP(H322,Config!$B$15:$C$19,2,0),0))</f>
        <v/>
      </c>
      <c r="M322" s="9">
        <f>IF(K322="","",D322*IFERROR(VLOOKUP(C322,Produtos!$A$4:$I$53,9,0),0))</f>
        <v/>
      </c>
      <c r="N322" s="9">
        <f>IF(K322="","",D322*IFERROR(VLOOKUP(C322,Produtos!$A$4:$J$53,10,0),0))</f>
        <v/>
      </c>
      <c r="O322" s="9">
        <f>IF(OR(K322="",F322=""),IF(K322="","",0),IFERROR(VLOOKUP(F322,Entrega!$A$4:$E$43,5,0),0))</f>
        <v/>
      </c>
      <c r="P322" s="9">
        <f>IF(K322="","",K322-L322-M322-N322-O322)</f>
        <v/>
      </c>
      <c r="Q322" s="9">
        <f>IF(K322="","",IF(I322="Entregue",0,K322-N(J322)))</f>
        <v/>
      </c>
      <c r="R322" s="12">
        <f>IF(ISNUMBER(A322),MONTH(A322),"")</f>
        <v/>
      </c>
      <c r="S322" s="12">
        <f>IF(ISNUMBER(A322),YEAR(A322),"")</f>
        <v/>
      </c>
    </row>
    <row r="323">
      <c r="A323" s="23" t="n"/>
      <c r="B323" s="19" t="n"/>
      <c r="C323" s="19" t="n"/>
      <c r="D323" s="7" t="n"/>
      <c r="E323" s="13" t="n"/>
      <c r="F323" s="19" t="n"/>
      <c r="G323" s="13" t="n"/>
      <c r="H323" s="19" t="n"/>
      <c r="I323" s="19" t="n"/>
      <c r="J323" s="13" t="n"/>
      <c r="K323" s="9">
        <f>IF(AND(C323&lt;&gt;"",N(D323)&gt;0,I323&lt;&gt;"Cancelado"),D323*IF(N(E323)&gt;0,E323,IFERROR(VLOOKUP(C323,Produtos!$A$4:$O$53,15,0),0))+N(G323),"")</f>
        <v/>
      </c>
      <c r="L323" s="9">
        <f>IF(K323="","",K323*IFERROR(VLOOKUP(H323,Config!$B$15:$C$19,2,0),0))</f>
        <v/>
      </c>
      <c r="M323" s="9">
        <f>IF(K323="","",D323*IFERROR(VLOOKUP(C323,Produtos!$A$4:$I$53,9,0),0))</f>
        <v/>
      </c>
      <c r="N323" s="9">
        <f>IF(K323="","",D323*IFERROR(VLOOKUP(C323,Produtos!$A$4:$J$53,10,0),0))</f>
        <v/>
      </c>
      <c r="O323" s="9">
        <f>IF(OR(K323="",F323=""),IF(K323="","",0),IFERROR(VLOOKUP(F323,Entrega!$A$4:$E$43,5,0),0))</f>
        <v/>
      </c>
      <c r="P323" s="9">
        <f>IF(K323="","",K323-L323-M323-N323-O323)</f>
        <v/>
      </c>
      <c r="Q323" s="9">
        <f>IF(K323="","",IF(I323="Entregue",0,K323-N(J323)))</f>
        <v/>
      </c>
      <c r="R323" s="12">
        <f>IF(ISNUMBER(A323),MONTH(A323),"")</f>
        <v/>
      </c>
      <c r="S323" s="12">
        <f>IF(ISNUMBER(A323),YEAR(A323),"")</f>
        <v/>
      </c>
    </row>
    <row r="324">
      <c r="A324" s="23" t="n"/>
      <c r="B324" s="19" t="n"/>
      <c r="C324" s="19" t="n"/>
      <c r="D324" s="7" t="n"/>
      <c r="E324" s="13" t="n"/>
      <c r="F324" s="19" t="n"/>
      <c r="G324" s="13" t="n"/>
      <c r="H324" s="19" t="n"/>
      <c r="I324" s="19" t="n"/>
      <c r="J324" s="13" t="n"/>
      <c r="K324" s="9">
        <f>IF(AND(C324&lt;&gt;"",N(D324)&gt;0,I324&lt;&gt;"Cancelado"),D324*IF(N(E324)&gt;0,E324,IFERROR(VLOOKUP(C324,Produtos!$A$4:$O$53,15,0),0))+N(G324),"")</f>
        <v/>
      </c>
      <c r="L324" s="9">
        <f>IF(K324="","",K324*IFERROR(VLOOKUP(H324,Config!$B$15:$C$19,2,0),0))</f>
        <v/>
      </c>
      <c r="M324" s="9">
        <f>IF(K324="","",D324*IFERROR(VLOOKUP(C324,Produtos!$A$4:$I$53,9,0),0))</f>
        <v/>
      </c>
      <c r="N324" s="9">
        <f>IF(K324="","",D324*IFERROR(VLOOKUP(C324,Produtos!$A$4:$J$53,10,0),0))</f>
        <v/>
      </c>
      <c r="O324" s="9">
        <f>IF(OR(K324="",F324=""),IF(K324="","",0),IFERROR(VLOOKUP(F324,Entrega!$A$4:$E$43,5,0),0))</f>
        <v/>
      </c>
      <c r="P324" s="9">
        <f>IF(K324="","",K324-L324-M324-N324-O324)</f>
        <v/>
      </c>
      <c r="Q324" s="9">
        <f>IF(K324="","",IF(I324="Entregue",0,K324-N(J324)))</f>
        <v/>
      </c>
      <c r="R324" s="12">
        <f>IF(ISNUMBER(A324),MONTH(A324),"")</f>
        <v/>
      </c>
      <c r="S324" s="12">
        <f>IF(ISNUMBER(A324),YEAR(A324),"")</f>
        <v/>
      </c>
    </row>
    <row r="325">
      <c r="A325" s="23" t="n"/>
      <c r="B325" s="19" t="n"/>
      <c r="C325" s="19" t="n"/>
      <c r="D325" s="7" t="n"/>
      <c r="E325" s="13" t="n"/>
      <c r="F325" s="19" t="n"/>
      <c r="G325" s="13" t="n"/>
      <c r="H325" s="19" t="n"/>
      <c r="I325" s="19" t="n"/>
      <c r="J325" s="13" t="n"/>
      <c r="K325" s="9">
        <f>IF(AND(C325&lt;&gt;"",N(D325)&gt;0,I325&lt;&gt;"Cancelado"),D325*IF(N(E325)&gt;0,E325,IFERROR(VLOOKUP(C325,Produtos!$A$4:$O$53,15,0),0))+N(G325),"")</f>
        <v/>
      </c>
      <c r="L325" s="9">
        <f>IF(K325="","",K325*IFERROR(VLOOKUP(H325,Config!$B$15:$C$19,2,0),0))</f>
        <v/>
      </c>
      <c r="M325" s="9">
        <f>IF(K325="","",D325*IFERROR(VLOOKUP(C325,Produtos!$A$4:$I$53,9,0),0))</f>
        <v/>
      </c>
      <c r="N325" s="9">
        <f>IF(K325="","",D325*IFERROR(VLOOKUP(C325,Produtos!$A$4:$J$53,10,0),0))</f>
        <v/>
      </c>
      <c r="O325" s="9">
        <f>IF(OR(K325="",F325=""),IF(K325="","",0),IFERROR(VLOOKUP(F325,Entrega!$A$4:$E$43,5,0),0))</f>
        <v/>
      </c>
      <c r="P325" s="9">
        <f>IF(K325="","",K325-L325-M325-N325-O325)</f>
        <v/>
      </c>
      <c r="Q325" s="9">
        <f>IF(K325="","",IF(I325="Entregue",0,K325-N(J325)))</f>
        <v/>
      </c>
      <c r="R325" s="12">
        <f>IF(ISNUMBER(A325),MONTH(A325),"")</f>
        <v/>
      </c>
      <c r="S325" s="12">
        <f>IF(ISNUMBER(A325),YEAR(A325),"")</f>
        <v/>
      </c>
    </row>
    <row r="326">
      <c r="A326" s="23" t="n"/>
      <c r="B326" s="19" t="n"/>
      <c r="C326" s="19" t="n"/>
      <c r="D326" s="7" t="n"/>
      <c r="E326" s="13" t="n"/>
      <c r="F326" s="19" t="n"/>
      <c r="G326" s="13" t="n"/>
      <c r="H326" s="19" t="n"/>
      <c r="I326" s="19" t="n"/>
      <c r="J326" s="13" t="n"/>
      <c r="K326" s="9">
        <f>IF(AND(C326&lt;&gt;"",N(D326)&gt;0,I326&lt;&gt;"Cancelado"),D326*IF(N(E326)&gt;0,E326,IFERROR(VLOOKUP(C326,Produtos!$A$4:$O$53,15,0),0))+N(G326),"")</f>
        <v/>
      </c>
      <c r="L326" s="9">
        <f>IF(K326="","",K326*IFERROR(VLOOKUP(H326,Config!$B$15:$C$19,2,0),0))</f>
        <v/>
      </c>
      <c r="M326" s="9">
        <f>IF(K326="","",D326*IFERROR(VLOOKUP(C326,Produtos!$A$4:$I$53,9,0),0))</f>
        <v/>
      </c>
      <c r="N326" s="9">
        <f>IF(K326="","",D326*IFERROR(VLOOKUP(C326,Produtos!$A$4:$J$53,10,0),0))</f>
        <v/>
      </c>
      <c r="O326" s="9">
        <f>IF(OR(K326="",F326=""),IF(K326="","",0),IFERROR(VLOOKUP(F326,Entrega!$A$4:$E$43,5,0),0))</f>
        <v/>
      </c>
      <c r="P326" s="9">
        <f>IF(K326="","",K326-L326-M326-N326-O326)</f>
        <v/>
      </c>
      <c r="Q326" s="9">
        <f>IF(K326="","",IF(I326="Entregue",0,K326-N(J326)))</f>
        <v/>
      </c>
      <c r="R326" s="12">
        <f>IF(ISNUMBER(A326),MONTH(A326),"")</f>
        <v/>
      </c>
      <c r="S326" s="12">
        <f>IF(ISNUMBER(A326),YEAR(A326),"")</f>
        <v/>
      </c>
    </row>
    <row r="327">
      <c r="A327" s="23" t="n"/>
      <c r="B327" s="19" t="n"/>
      <c r="C327" s="19" t="n"/>
      <c r="D327" s="7" t="n"/>
      <c r="E327" s="13" t="n"/>
      <c r="F327" s="19" t="n"/>
      <c r="G327" s="13" t="n"/>
      <c r="H327" s="19" t="n"/>
      <c r="I327" s="19" t="n"/>
      <c r="J327" s="13" t="n"/>
      <c r="K327" s="9">
        <f>IF(AND(C327&lt;&gt;"",N(D327)&gt;0,I327&lt;&gt;"Cancelado"),D327*IF(N(E327)&gt;0,E327,IFERROR(VLOOKUP(C327,Produtos!$A$4:$O$53,15,0),0))+N(G327),"")</f>
        <v/>
      </c>
      <c r="L327" s="9">
        <f>IF(K327="","",K327*IFERROR(VLOOKUP(H327,Config!$B$15:$C$19,2,0),0))</f>
        <v/>
      </c>
      <c r="M327" s="9">
        <f>IF(K327="","",D327*IFERROR(VLOOKUP(C327,Produtos!$A$4:$I$53,9,0),0))</f>
        <v/>
      </c>
      <c r="N327" s="9">
        <f>IF(K327="","",D327*IFERROR(VLOOKUP(C327,Produtos!$A$4:$J$53,10,0),0))</f>
        <v/>
      </c>
      <c r="O327" s="9">
        <f>IF(OR(K327="",F327=""),IF(K327="","",0),IFERROR(VLOOKUP(F327,Entrega!$A$4:$E$43,5,0),0))</f>
        <v/>
      </c>
      <c r="P327" s="9">
        <f>IF(K327="","",K327-L327-M327-N327-O327)</f>
        <v/>
      </c>
      <c r="Q327" s="9">
        <f>IF(K327="","",IF(I327="Entregue",0,K327-N(J327)))</f>
        <v/>
      </c>
      <c r="R327" s="12">
        <f>IF(ISNUMBER(A327),MONTH(A327),"")</f>
        <v/>
      </c>
      <c r="S327" s="12">
        <f>IF(ISNUMBER(A327),YEAR(A327),"")</f>
        <v/>
      </c>
    </row>
    <row r="328">
      <c r="A328" s="23" t="n"/>
      <c r="B328" s="19" t="n"/>
      <c r="C328" s="19" t="n"/>
      <c r="D328" s="7" t="n"/>
      <c r="E328" s="13" t="n"/>
      <c r="F328" s="19" t="n"/>
      <c r="G328" s="13" t="n"/>
      <c r="H328" s="19" t="n"/>
      <c r="I328" s="19" t="n"/>
      <c r="J328" s="13" t="n"/>
      <c r="K328" s="9">
        <f>IF(AND(C328&lt;&gt;"",N(D328)&gt;0,I328&lt;&gt;"Cancelado"),D328*IF(N(E328)&gt;0,E328,IFERROR(VLOOKUP(C328,Produtos!$A$4:$O$53,15,0),0))+N(G328),"")</f>
        <v/>
      </c>
      <c r="L328" s="9">
        <f>IF(K328="","",K328*IFERROR(VLOOKUP(H328,Config!$B$15:$C$19,2,0),0))</f>
        <v/>
      </c>
      <c r="M328" s="9">
        <f>IF(K328="","",D328*IFERROR(VLOOKUP(C328,Produtos!$A$4:$I$53,9,0),0))</f>
        <v/>
      </c>
      <c r="N328" s="9">
        <f>IF(K328="","",D328*IFERROR(VLOOKUP(C328,Produtos!$A$4:$J$53,10,0),0))</f>
        <v/>
      </c>
      <c r="O328" s="9">
        <f>IF(OR(K328="",F328=""),IF(K328="","",0),IFERROR(VLOOKUP(F328,Entrega!$A$4:$E$43,5,0),0))</f>
        <v/>
      </c>
      <c r="P328" s="9">
        <f>IF(K328="","",K328-L328-M328-N328-O328)</f>
        <v/>
      </c>
      <c r="Q328" s="9">
        <f>IF(K328="","",IF(I328="Entregue",0,K328-N(J328)))</f>
        <v/>
      </c>
      <c r="R328" s="12">
        <f>IF(ISNUMBER(A328),MONTH(A328),"")</f>
        <v/>
      </c>
      <c r="S328" s="12">
        <f>IF(ISNUMBER(A328),YEAR(A328),"")</f>
        <v/>
      </c>
    </row>
    <row r="329">
      <c r="A329" s="23" t="n"/>
      <c r="B329" s="19" t="n"/>
      <c r="C329" s="19" t="n"/>
      <c r="D329" s="7" t="n"/>
      <c r="E329" s="13" t="n"/>
      <c r="F329" s="19" t="n"/>
      <c r="G329" s="13" t="n"/>
      <c r="H329" s="19" t="n"/>
      <c r="I329" s="19" t="n"/>
      <c r="J329" s="13" t="n"/>
      <c r="K329" s="9">
        <f>IF(AND(C329&lt;&gt;"",N(D329)&gt;0,I329&lt;&gt;"Cancelado"),D329*IF(N(E329)&gt;0,E329,IFERROR(VLOOKUP(C329,Produtos!$A$4:$O$53,15,0),0))+N(G329),"")</f>
        <v/>
      </c>
      <c r="L329" s="9">
        <f>IF(K329="","",K329*IFERROR(VLOOKUP(H329,Config!$B$15:$C$19,2,0),0))</f>
        <v/>
      </c>
      <c r="M329" s="9">
        <f>IF(K329="","",D329*IFERROR(VLOOKUP(C329,Produtos!$A$4:$I$53,9,0),0))</f>
        <v/>
      </c>
      <c r="N329" s="9">
        <f>IF(K329="","",D329*IFERROR(VLOOKUP(C329,Produtos!$A$4:$J$53,10,0),0))</f>
        <v/>
      </c>
      <c r="O329" s="9">
        <f>IF(OR(K329="",F329=""),IF(K329="","",0),IFERROR(VLOOKUP(F329,Entrega!$A$4:$E$43,5,0),0))</f>
        <v/>
      </c>
      <c r="P329" s="9">
        <f>IF(K329="","",K329-L329-M329-N329-O329)</f>
        <v/>
      </c>
      <c r="Q329" s="9">
        <f>IF(K329="","",IF(I329="Entregue",0,K329-N(J329)))</f>
        <v/>
      </c>
      <c r="R329" s="12">
        <f>IF(ISNUMBER(A329),MONTH(A329),"")</f>
        <v/>
      </c>
      <c r="S329" s="12">
        <f>IF(ISNUMBER(A329),YEAR(A329),"")</f>
        <v/>
      </c>
    </row>
    <row r="330">
      <c r="A330" s="23" t="n"/>
      <c r="B330" s="19" t="n"/>
      <c r="C330" s="19" t="n"/>
      <c r="D330" s="7" t="n"/>
      <c r="E330" s="13" t="n"/>
      <c r="F330" s="19" t="n"/>
      <c r="G330" s="13" t="n"/>
      <c r="H330" s="19" t="n"/>
      <c r="I330" s="19" t="n"/>
      <c r="J330" s="13" t="n"/>
      <c r="K330" s="9">
        <f>IF(AND(C330&lt;&gt;"",N(D330)&gt;0,I330&lt;&gt;"Cancelado"),D330*IF(N(E330)&gt;0,E330,IFERROR(VLOOKUP(C330,Produtos!$A$4:$O$53,15,0),0))+N(G330),"")</f>
        <v/>
      </c>
      <c r="L330" s="9">
        <f>IF(K330="","",K330*IFERROR(VLOOKUP(H330,Config!$B$15:$C$19,2,0),0))</f>
        <v/>
      </c>
      <c r="M330" s="9">
        <f>IF(K330="","",D330*IFERROR(VLOOKUP(C330,Produtos!$A$4:$I$53,9,0),0))</f>
        <v/>
      </c>
      <c r="N330" s="9">
        <f>IF(K330="","",D330*IFERROR(VLOOKUP(C330,Produtos!$A$4:$J$53,10,0),0))</f>
        <v/>
      </c>
      <c r="O330" s="9">
        <f>IF(OR(K330="",F330=""),IF(K330="","",0),IFERROR(VLOOKUP(F330,Entrega!$A$4:$E$43,5,0),0))</f>
        <v/>
      </c>
      <c r="P330" s="9">
        <f>IF(K330="","",K330-L330-M330-N330-O330)</f>
        <v/>
      </c>
      <c r="Q330" s="9">
        <f>IF(K330="","",IF(I330="Entregue",0,K330-N(J330)))</f>
        <v/>
      </c>
      <c r="R330" s="12">
        <f>IF(ISNUMBER(A330),MONTH(A330),"")</f>
        <v/>
      </c>
      <c r="S330" s="12">
        <f>IF(ISNUMBER(A330),YEAR(A330),"")</f>
        <v/>
      </c>
    </row>
    <row r="331">
      <c r="A331" s="23" t="n"/>
      <c r="B331" s="19" t="n"/>
      <c r="C331" s="19" t="n"/>
      <c r="D331" s="7" t="n"/>
      <c r="E331" s="13" t="n"/>
      <c r="F331" s="19" t="n"/>
      <c r="G331" s="13" t="n"/>
      <c r="H331" s="19" t="n"/>
      <c r="I331" s="19" t="n"/>
      <c r="J331" s="13" t="n"/>
      <c r="K331" s="9">
        <f>IF(AND(C331&lt;&gt;"",N(D331)&gt;0,I331&lt;&gt;"Cancelado"),D331*IF(N(E331)&gt;0,E331,IFERROR(VLOOKUP(C331,Produtos!$A$4:$O$53,15,0),0))+N(G331),"")</f>
        <v/>
      </c>
      <c r="L331" s="9">
        <f>IF(K331="","",K331*IFERROR(VLOOKUP(H331,Config!$B$15:$C$19,2,0),0))</f>
        <v/>
      </c>
      <c r="M331" s="9">
        <f>IF(K331="","",D331*IFERROR(VLOOKUP(C331,Produtos!$A$4:$I$53,9,0),0))</f>
        <v/>
      </c>
      <c r="N331" s="9">
        <f>IF(K331="","",D331*IFERROR(VLOOKUP(C331,Produtos!$A$4:$J$53,10,0),0))</f>
        <v/>
      </c>
      <c r="O331" s="9">
        <f>IF(OR(K331="",F331=""),IF(K331="","",0),IFERROR(VLOOKUP(F331,Entrega!$A$4:$E$43,5,0),0))</f>
        <v/>
      </c>
      <c r="P331" s="9">
        <f>IF(K331="","",K331-L331-M331-N331-O331)</f>
        <v/>
      </c>
      <c r="Q331" s="9">
        <f>IF(K331="","",IF(I331="Entregue",0,K331-N(J331)))</f>
        <v/>
      </c>
      <c r="R331" s="12">
        <f>IF(ISNUMBER(A331),MONTH(A331),"")</f>
        <v/>
      </c>
      <c r="S331" s="12">
        <f>IF(ISNUMBER(A331),YEAR(A331),"")</f>
        <v/>
      </c>
    </row>
    <row r="332">
      <c r="A332" s="23" t="n"/>
      <c r="B332" s="19" t="n"/>
      <c r="C332" s="19" t="n"/>
      <c r="D332" s="7" t="n"/>
      <c r="E332" s="13" t="n"/>
      <c r="F332" s="19" t="n"/>
      <c r="G332" s="13" t="n"/>
      <c r="H332" s="19" t="n"/>
      <c r="I332" s="19" t="n"/>
      <c r="J332" s="13" t="n"/>
      <c r="K332" s="9">
        <f>IF(AND(C332&lt;&gt;"",N(D332)&gt;0,I332&lt;&gt;"Cancelado"),D332*IF(N(E332)&gt;0,E332,IFERROR(VLOOKUP(C332,Produtos!$A$4:$O$53,15,0),0))+N(G332),"")</f>
        <v/>
      </c>
      <c r="L332" s="9">
        <f>IF(K332="","",K332*IFERROR(VLOOKUP(H332,Config!$B$15:$C$19,2,0),0))</f>
        <v/>
      </c>
      <c r="M332" s="9">
        <f>IF(K332="","",D332*IFERROR(VLOOKUP(C332,Produtos!$A$4:$I$53,9,0),0))</f>
        <v/>
      </c>
      <c r="N332" s="9">
        <f>IF(K332="","",D332*IFERROR(VLOOKUP(C332,Produtos!$A$4:$J$53,10,0),0))</f>
        <v/>
      </c>
      <c r="O332" s="9">
        <f>IF(OR(K332="",F332=""),IF(K332="","",0),IFERROR(VLOOKUP(F332,Entrega!$A$4:$E$43,5,0),0))</f>
        <v/>
      </c>
      <c r="P332" s="9">
        <f>IF(K332="","",K332-L332-M332-N332-O332)</f>
        <v/>
      </c>
      <c r="Q332" s="9">
        <f>IF(K332="","",IF(I332="Entregue",0,K332-N(J332)))</f>
        <v/>
      </c>
      <c r="R332" s="12">
        <f>IF(ISNUMBER(A332),MONTH(A332),"")</f>
        <v/>
      </c>
      <c r="S332" s="12">
        <f>IF(ISNUMBER(A332),YEAR(A332),"")</f>
        <v/>
      </c>
    </row>
    <row r="333">
      <c r="A333" s="23" t="n"/>
      <c r="B333" s="19" t="n"/>
      <c r="C333" s="19" t="n"/>
      <c r="D333" s="7" t="n"/>
      <c r="E333" s="13" t="n"/>
      <c r="F333" s="19" t="n"/>
      <c r="G333" s="13" t="n"/>
      <c r="H333" s="19" t="n"/>
      <c r="I333" s="19" t="n"/>
      <c r="J333" s="13" t="n"/>
      <c r="K333" s="9">
        <f>IF(AND(C333&lt;&gt;"",N(D333)&gt;0,I333&lt;&gt;"Cancelado"),D333*IF(N(E333)&gt;0,E333,IFERROR(VLOOKUP(C333,Produtos!$A$4:$O$53,15,0),0))+N(G333),"")</f>
        <v/>
      </c>
      <c r="L333" s="9">
        <f>IF(K333="","",K333*IFERROR(VLOOKUP(H333,Config!$B$15:$C$19,2,0),0))</f>
        <v/>
      </c>
      <c r="M333" s="9">
        <f>IF(K333="","",D333*IFERROR(VLOOKUP(C333,Produtos!$A$4:$I$53,9,0),0))</f>
        <v/>
      </c>
      <c r="N333" s="9">
        <f>IF(K333="","",D333*IFERROR(VLOOKUP(C333,Produtos!$A$4:$J$53,10,0),0))</f>
        <v/>
      </c>
      <c r="O333" s="9">
        <f>IF(OR(K333="",F333=""),IF(K333="","",0),IFERROR(VLOOKUP(F333,Entrega!$A$4:$E$43,5,0),0))</f>
        <v/>
      </c>
      <c r="P333" s="9">
        <f>IF(K333="","",K333-L333-M333-N333-O333)</f>
        <v/>
      </c>
      <c r="Q333" s="9">
        <f>IF(K333="","",IF(I333="Entregue",0,K333-N(J333)))</f>
        <v/>
      </c>
      <c r="R333" s="12">
        <f>IF(ISNUMBER(A333),MONTH(A333),"")</f>
        <v/>
      </c>
      <c r="S333" s="12">
        <f>IF(ISNUMBER(A333),YEAR(A333),"")</f>
        <v/>
      </c>
    </row>
    <row r="334">
      <c r="A334" s="23" t="n"/>
      <c r="B334" s="19" t="n"/>
      <c r="C334" s="19" t="n"/>
      <c r="D334" s="7" t="n"/>
      <c r="E334" s="13" t="n"/>
      <c r="F334" s="19" t="n"/>
      <c r="G334" s="13" t="n"/>
      <c r="H334" s="19" t="n"/>
      <c r="I334" s="19" t="n"/>
      <c r="J334" s="13" t="n"/>
      <c r="K334" s="9">
        <f>IF(AND(C334&lt;&gt;"",N(D334)&gt;0,I334&lt;&gt;"Cancelado"),D334*IF(N(E334)&gt;0,E334,IFERROR(VLOOKUP(C334,Produtos!$A$4:$O$53,15,0),0))+N(G334),"")</f>
        <v/>
      </c>
      <c r="L334" s="9">
        <f>IF(K334="","",K334*IFERROR(VLOOKUP(H334,Config!$B$15:$C$19,2,0),0))</f>
        <v/>
      </c>
      <c r="M334" s="9">
        <f>IF(K334="","",D334*IFERROR(VLOOKUP(C334,Produtos!$A$4:$I$53,9,0),0))</f>
        <v/>
      </c>
      <c r="N334" s="9">
        <f>IF(K334="","",D334*IFERROR(VLOOKUP(C334,Produtos!$A$4:$J$53,10,0),0))</f>
        <v/>
      </c>
      <c r="O334" s="9">
        <f>IF(OR(K334="",F334=""),IF(K334="","",0),IFERROR(VLOOKUP(F334,Entrega!$A$4:$E$43,5,0),0))</f>
        <v/>
      </c>
      <c r="P334" s="9">
        <f>IF(K334="","",K334-L334-M334-N334-O334)</f>
        <v/>
      </c>
      <c r="Q334" s="9">
        <f>IF(K334="","",IF(I334="Entregue",0,K334-N(J334)))</f>
        <v/>
      </c>
      <c r="R334" s="12">
        <f>IF(ISNUMBER(A334),MONTH(A334),"")</f>
        <v/>
      </c>
      <c r="S334" s="12">
        <f>IF(ISNUMBER(A334),YEAR(A334),"")</f>
        <v/>
      </c>
    </row>
    <row r="335">
      <c r="A335" s="23" t="n"/>
      <c r="B335" s="19" t="n"/>
      <c r="C335" s="19" t="n"/>
      <c r="D335" s="7" t="n"/>
      <c r="E335" s="13" t="n"/>
      <c r="F335" s="19" t="n"/>
      <c r="G335" s="13" t="n"/>
      <c r="H335" s="19" t="n"/>
      <c r="I335" s="19" t="n"/>
      <c r="J335" s="13" t="n"/>
      <c r="K335" s="9">
        <f>IF(AND(C335&lt;&gt;"",N(D335)&gt;0,I335&lt;&gt;"Cancelado"),D335*IF(N(E335)&gt;0,E335,IFERROR(VLOOKUP(C335,Produtos!$A$4:$O$53,15,0),0))+N(G335),"")</f>
        <v/>
      </c>
      <c r="L335" s="9">
        <f>IF(K335="","",K335*IFERROR(VLOOKUP(H335,Config!$B$15:$C$19,2,0),0))</f>
        <v/>
      </c>
      <c r="M335" s="9">
        <f>IF(K335="","",D335*IFERROR(VLOOKUP(C335,Produtos!$A$4:$I$53,9,0),0))</f>
        <v/>
      </c>
      <c r="N335" s="9">
        <f>IF(K335="","",D335*IFERROR(VLOOKUP(C335,Produtos!$A$4:$J$53,10,0),0))</f>
        <v/>
      </c>
      <c r="O335" s="9">
        <f>IF(OR(K335="",F335=""),IF(K335="","",0),IFERROR(VLOOKUP(F335,Entrega!$A$4:$E$43,5,0),0))</f>
        <v/>
      </c>
      <c r="P335" s="9">
        <f>IF(K335="","",K335-L335-M335-N335-O335)</f>
        <v/>
      </c>
      <c r="Q335" s="9">
        <f>IF(K335="","",IF(I335="Entregue",0,K335-N(J335)))</f>
        <v/>
      </c>
      <c r="R335" s="12">
        <f>IF(ISNUMBER(A335),MONTH(A335),"")</f>
        <v/>
      </c>
      <c r="S335" s="12">
        <f>IF(ISNUMBER(A335),YEAR(A335),"")</f>
        <v/>
      </c>
    </row>
    <row r="336">
      <c r="A336" s="23" t="n"/>
      <c r="B336" s="19" t="n"/>
      <c r="C336" s="19" t="n"/>
      <c r="D336" s="7" t="n"/>
      <c r="E336" s="13" t="n"/>
      <c r="F336" s="19" t="n"/>
      <c r="G336" s="13" t="n"/>
      <c r="H336" s="19" t="n"/>
      <c r="I336" s="19" t="n"/>
      <c r="J336" s="13" t="n"/>
      <c r="K336" s="9">
        <f>IF(AND(C336&lt;&gt;"",N(D336)&gt;0,I336&lt;&gt;"Cancelado"),D336*IF(N(E336)&gt;0,E336,IFERROR(VLOOKUP(C336,Produtos!$A$4:$O$53,15,0),0))+N(G336),"")</f>
        <v/>
      </c>
      <c r="L336" s="9">
        <f>IF(K336="","",K336*IFERROR(VLOOKUP(H336,Config!$B$15:$C$19,2,0),0))</f>
        <v/>
      </c>
      <c r="M336" s="9">
        <f>IF(K336="","",D336*IFERROR(VLOOKUP(C336,Produtos!$A$4:$I$53,9,0),0))</f>
        <v/>
      </c>
      <c r="N336" s="9">
        <f>IF(K336="","",D336*IFERROR(VLOOKUP(C336,Produtos!$A$4:$J$53,10,0),0))</f>
        <v/>
      </c>
      <c r="O336" s="9">
        <f>IF(OR(K336="",F336=""),IF(K336="","",0),IFERROR(VLOOKUP(F336,Entrega!$A$4:$E$43,5,0),0))</f>
        <v/>
      </c>
      <c r="P336" s="9">
        <f>IF(K336="","",K336-L336-M336-N336-O336)</f>
        <v/>
      </c>
      <c r="Q336" s="9">
        <f>IF(K336="","",IF(I336="Entregue",0,K336-N(J336)))</f>
        <v/>
      </c>
      <c r="R336" s="12">
        <f>IF(ISNUMBER(A336),MONTH(A336),"")</f>
        <v/>
      </c>
      <c r="S336" s="12">
        <f>IF(ISNUMBER(A336),YEAR(A336),"")</f>
        <v/>
      </c>
    </row>
    <row r="337">
      <c r="A337" s="23" t="n"/>
      <c r="B337" s="19" t="n"/>
      <c r="C337" s="19" t="n"/>
      <c r="D337" s="7" t="n"/>
      <c r="E337" s="13" t="n"/>
      <c r="F337" s="19" t="n"/>
      <c r="G337" s="13" t="n"/>
      <c r="H337" s="19" t="n"/>
      <c r="I337" s="19" t="n"/>
      <c r="J337" s="13" t="n"/>
      <c r="K337" s="9">
        <f>IF(AND(C337&lt;&gt;"",N(D337)&gt;0,I337&lt;&gt;"Cancelado"),D337*IF(N(E337)&gt;0,E337,IFERROR(VLOOKUP(C337,Produtos!$A$4:$O$53,15,0),0))+N(G337),"")</f>
        <v/>
      </c>
      <c r="L337" s="9">
        <f>IF(K337="","",K337*IFERROR(VLOOKUP(H337,Config!$B$15:$C$19,2,0),0))</f>
        <v/>
      </c>
      <c r="M337" s="9">
        <f>IF(K337="","",D337*IFERROR(VLOOKUP(C337,Produtos!$A$4:$I$53,9,0),0))</f>
        <v/>
      </c>
      <c r="N337" s="9">
        <f>IF(K337="","",D337*IFERROR(VLOOKUP(C337,Produtos!$A$4:$J$53,10,0),0))</f>
        <v/>
      </c>
      <c r="O337" s="9">
        <f>IF(OR(K337="",F337=""),IF(K337="","",0),IFERROR(VLOOKUP(F337,Entrega!$A$4:$E$43,5,0),0))</f>
        <v/>
      </c>
      <c r="P337" s="9">
        <f>IF(K337="","",K337-L337-M337-N337-O337)</f>
        <v/>
      </c>
      <c r="Q337" s="9">
        <f>IF(K337="","",IF(I337="Entregue",0,K337-N(J337)))</f>
        <v/>
      </c>
      <c r="R337" s="12">
        <f>IF(ISNUMBER(A337),MONTH(A337),"")</f>
        <v/>
      </c>
      <c r="S337" s="12">
        <f>IF(ISNUMBER(A337),YEAR(A337),"")</f>
        <v/>
      </c>
    </row>
    <row r="338">
      <c r="A338" s="23" t="n"/>
      <c r="B338" s="19" t="n"/>
      <c r="C338" s="19" t="n"/>
      <c r="D338" s="7" t="n"/>
      <c r="E338" s="13" t="n"/>
      <c r="F338" s="19" t="n"/>
      <c r="G338" s="13" t="n"/>
      <c r="H338" s="19" t="n"/>
      <c r="I338" s="19" t="n"/>
      <c r="J338" s="13" t="n"/>
      <c r="K338" s="9">
        <f>IF(AND(C338&lt;&gt;"",N(D338)&gt;0,I338&lt;&gt;"Cancelado"),D338*IF(N(E338)&gt;0,E338,IFERROR(VLOOKUP(C338,Produtos!$A$4:$O$53,15,0),0))+N(G338),"")</f>
        <v/>
      </c>
      <c r="L338" s="9">
        <f>IF(K338="","",K338*IFERROR(VLOOKUP(H338,Config!$B$15:$C$19,2,0),0))</f>
        <v/>
      </c>
      <c r="M338" s="9">
        <f>IF(K338="","",D338*IFERROR(VLOOKUP(C338,Produtos!$A$4:$I$53,9,0),0))</f>
        <v/>
      </c>
      <c r="N338" s="9">
        <f>IF(K338="","",D338*IFERROR(VLOOKUP(C338,Produtos!$A$4:$J$53,10,0),0))</f>
        <v/>
      </c>
      <c r="O338" s="9">
        <f>IF(OR(K338="",F338=""),IF(K338="","",0),IFERROR(VLOOKUP(F338,Entrega!$A$4:$E$43,5,0),0))</f>
        <v/>
      </c>
      <c r="P338" s="9">
        <f>IF(K338="","",K338-L338-M338-N338-O338)</f>
        <v/>
      </c>
      <c r="Q338" s="9">
        <f>IF(K338="","",IF(I338="Entregue",0,K338-N(J338)))</f>
        <v/>
      </c>
      <c r="R338" s="12">
        <f>IF(ISNUMBER(A338),MONTH(A338),"")</f>
        <v/>
      </c>
      <c r="S338" s="12">
        <f>IF(ISNUMBER(A338),YEAR(A338),"")</f>
        <v/>
      </c>
    </row>
    <row r="339">
      <c r="A339" s="23" t="n"/>
      <c r="B339" s="19" t="n"/>
      <c r="C339" s="19" t="n"/>
      <c r="D339" s="7" t="n"/>
      <c r="E339" s="13" t="n"/>
      <c r="F339" s="19" t="n"/>
      <c r="G339" s="13" t="n"/>
      <c r="H339" s="19" t="n"/>
      <c r="I339" s="19" t="n"/>
      <c r="J339" s="13" t="n"/>
      <c r="K339" s="9">
        <f>IF(AND(C339&lt;&gt;"",N(D339)&gt;0,I339&lt;&gt;"Cancelado"),D339*IF(N(E339)&gt;0,E339,IFERROR(VLOOKUP(C339,Produtos!$A$4:$O$53,15,0),0))+N(G339),"")</f>
        <v/>
      </c>
      <c r="L339" s="9">
        <f>IF(K339="","",K339*IFERROR(VLOOKUP(H339,Config!$B$15:$C$19,2,0),0))</f>
        <v/>
      </c>
      <c r="M339" s="9">
        <f>IF(K339="","",D339*IFERROR(VLOOKUP(C339,Produtos!$A$4:$I$53,9,0),0))</f>
        <v/>
      </c>
      <c r="N339" s="9">
        <f>IF(K339="","",D339*IFERROR(VLOOKUP(C339,Produtos!$A$4:$J$53,10,0),0))</f>
        <v/>
      </c>
      <c r="O339" s="9">
        <f>IF(OR(K339="",F339=""),IF(K339="","",0),IFERROR(VLOOKUP(F339,Entrega!$A$4:$E$43,5,0),0))</f>
        <v/>
      </c>
      <c r="P339" s="9">
        <f>IF(K339="","",K339-L339-M339-N339-O339)</f>
        <v/>
      </c>
      <c r="Q339" s="9">
        <f>IF(K339="","",IF(I339="Entregue",0,K339-N(J339)))</f>
        <v/>
      </c>
      <c r="R339" s="12">
        <f>IF(ISNUMBER(A339),MONTH(A339),"")</f>
        <v/>
      </c>
      <c r="S339" s="12">
        <f>IF(ISNUMBER(A339),YEAR(A339),"")</f>
        <v/>
      </c>
    </row>
    <row r="340">
      <c r="A340" s="23" t="n"/>
      <c r="B340" s="19" t="n"/>
      <c r="C340" s="19" t="n"/>
      <c r="D340" s="7" t="n"/>
      <c r="E340" s="13" t="n"/>
      <c r="F340" s="19" t="n"/>
      <c r="G340" s="13" t="n"/>
      <c r="H340" s="19" t="n"/>
      <c r="I340" s="19" t="n"/>
      <c r="J340" s="13" t="n"/>
      <c r="K340" s="9">
        <f>IF(AND(C340&lt;&gt;"",N(D340)&gt;0,I340&lt;&gt;"Cancelado"),D340*IF(N(E340)&gt;0,E340,IFERROR(VLOOKUP(C340,Produtos!$A$4:$O$53,15,0),0))+N(G340),"")</f>
        <v/>
      </c>
      <c r="L340" s="9">
        <f>IF(K340="","",K340*IFERROR(VLOOKUP(H340,Config!$B$15:$C$19,2,0),0))</f>
        <v/>
      </c>
      <c r="M340" s="9">
        <f>IF(K340="","",D340*IFERROR(VLOOKUP(C340,Produtos!$A$4:$I$53,9,0),0))</f>
        <v/>
      </c>
      <c r="N340" s="9">
        <f>IF(K340="","",D340*IFERROR(VLOOKUP(C340,Produtos!$A$4:$J$53,10,0),0))</f>
        <v/>
      </c>
      <c r="O340" s="9">
        <f>IF(OR(K340="",F340=""),IF(K340="","",0),IFERROR(VLOOKUP(F340,Entrega!$A$4:$E$43,5,0),0))</f>
        <v/>
      </c>
      <c r="P340" s="9">
        <f>IF(K340="","",K340-L340-M340-N340-O340)</f>
        <v/>
      </c>
      <c r="Q340" s="9">
        <f>IF(K340="","",IF(I340="Entregue",0,K340-N(J340)))</f>
        <v/>
      </c>
      <c r="R340" s="12">
        <f>IF(ISNUMBER(A340),MONTH(A340),"")</f>
        <v/>
      </c>
      <c r="S340" s="12">
        <f>IF(ISNUMBER(A340),YEAR(A340),"")</f>
        <v/>
      </c>
    </row>
    <row r="341">
      <c r="A341" s="23" t="n"/>
      <c r="B341" s="19" t="n"/>
      <c r="C341" s="19" t="n"/>
      <c r="D341" s="7" t="n"/>
      <c r="E341" s="13" t="n"/>
      <c r="F341" s="19" t="n"/>
      <c r="G341" s="13" t="n"/>
      <c r="H341" s="19" t="n"/>
      <c r="I341" s="19" t="n"/>
      <c r="J341" s="13" t="n"/>
      <c r="K341" s="9">
        <f>IF(AND(C341&lt;&gt;"",N(D341)&gt;0,I341&lt;&gt;"Cancelado"),D341*IF(N(E341)&gt;0,E341,IFERROR(VLOOKUP(C341,Produtos!$A$4:$O$53,15,0),0))+N(G341),"")</f>
        <v/>
      </c>
      <c r="L341" s="9">
        <f>IF(K341="","",K341*IFERROR(VLOOKUP(H341,Config!$B$15:$C$19,2,0),0))</f>
        <v/>
      </c>
      <c r="M341" s="9">
        <f>IF(K341="","",D341*IFERROR(VLOOKUP(C341,Produtos!$A$4:$I$53,9,0),0))</f>
        <v/>
      </c>
      <c r="N341" s="9">
        <f>IF(K341="","",D341*IFERROR(VLOOKUP(C341,Produtos!$A$4:$J$53,10,0),0))</f>
        <v/>
      </c>
      <c r="O341" s="9">
        <f>IF(OR(K341="",F341=""),IF(K341="","",0),IFERROR(VLOOKUP(F341,Entrega!$A$4:$E$43,5,0),0))</f>
        <v/>
      </c>
      <c r="P341" s="9">
        <f>IF(K341="","",K341-L341-M341-N341-O341)</f>
        <v/>
      </c>
      <c r="Q341" s="9">
        <f>IF(K341="","",IF(I341="Entregue",0,K341-N(J341)))</f>
        <v/>
      </c>
      <c r="R341" s="12">
        <f>IF(ISNUMBER(A341),MONTH(A341),"")</f>
        <v/>
      </c>
      <c r="S341" s="12">
        <f>IF(ISNUMBER(A341),YEAR(A341),"")</f>
        <v/>
      </c>
    </row>
    <row r="342">
      <c r="A342" s="23" t="n"/>
      <c r="B342" s="19" t="n"/>
      <c r="C342" s="19" t="n"/>
      <c r="D342" s="7" t="n"/>
      <c r="E342" s="13" t="n"/>
      <c r="F342" s="19" t="n"/>
      <c r="G342" s="13" t="n"/>
      <c r="H342" s="19" t="n"/>
      <c r="I342" s="19" t="n"/>
      <c r="J342" s="13" t="n"/>
      <c r="K342" s="9">
        <f>IF(AND(C342&lt;&gt;"",N(D342)&gt;0,I342&lt;&gt;"Cancelado"),D342*IF(N(E342)&gt;0,E342,IFERROR(VLOOKUP(C342,Produtos!$A$4:$O$53,15,0),0))+N(G342),"")</f>
        <v/>
      </c>
      <c r="L342" s="9">
        <f>IF(K342="","",K342*IFERROR(VLOOKUP(H342,Config!$B$15:$C$19,2,0),0))</f>
        <v/>
      </c>
      <c r="M342" s="9">
        <f>IF(K342="","",D342*IFERROR(VLOOKUP(C342,Produtos!$A$4:$I$53,9,0),0))</f>
        <v/>
      </c>
      <c r="N342" s="9">
        <f>IF(K342="","",D342*IFERROR(VLOOKUP(C342,Produtos!$A$4:$J$53,10,0),0))</f>
        <v/>
      </c>
      <c r="O342" s="9">
        <f>IF(OR(K342="",F342=""),IF(K342="","",0),IFERROR(VLOOKUP(F342,Entrega!$A$4:$E$43,5,0),0))</f>
        <v/>
      </c>
      <c r="P342" s="9">
        <f>IF(K342="","",K342-L342-M342-N342-O342)</f>
        <v/>
      </c>
      <c r="Q342" s="9">
        <f>IF(K342="","",IF(I342="Entregue",0,K342-N(J342)))</f>
        <v/>
      </c>
      <c r="R342" s="12">
        <f>IF(ISNUMBER(A342),MONTH(A342),"")</f>
        <v/>
      </c>
      <c r="S342" s="12">
        <f>IF(ISNUMBER(A342),YEAR(A342),"")</f>
        <v/>
      </c>
    </row>
    <row r="343">
      <c r="A343" s="23" t="n"/>
      <c r="B343" s="19" t="n"/>
      <c r="C343" s="19" t="n"/>
      <c r="D343" s="7" t="n"/>
      <c r="E343" s="13" t="n"/>
      <c r="F343" s="19" t="n"/>
      <c r="G343" s="13" t="n"/>
      <c r="H343" s="19" t="n"/>
      <c r="I343" s="19" t="n"/>
      <c r="J343" s="13" t="n"/>
      <c r="K343" s="9">
        <f>IF(AND(C343&lt;&gt;"",N(D343)&gt;0,I343&lt;&gt;"Cancelado"),D343*IF(N(E343)&gt;0,E343,IFERROR(VLOOKUP(C343,Produtos!$A$4:$O$53,15,0),0))+N(G343),"")</f>
        <v/>
      </c>
      <c r="L343" s="9">
        <f>IF(K343="","",K343*IFERROR(VLOOKUP(H343,Config!$B$15:$C$19,2,0),0))</f>
        <v/>
      </c>
      <c r="M343" s="9">
        <f>IF(K343="","",D343*IFERROR(VLOOKUP(C343,Produtos!$A$4:$I$53,9,0),0))</f>
        <v/>
      </c>
      <c r="N343" s="9">
        <f>IF(K343="","",D343*IFERROR(VLOOKUP(C343,Produtos!$A$4:$J$53,10,0),0))</f>
        <v/>
      </c>
      <c r="O343" s="9">
        <f>IF(OR(K343="",F343=""),IF(K343="","",0),IFERROR(VLOOKUP(F343,Entrega!$A$4:$E$43,5,0),0))</f>
        <v/>
      </c>
      <c r="P343" s="9">
        <f>IF(K343="","",K343-L343-M343-N343-O343)</f>
        <v/>
      </c>
      <c r="Q343" s="9">
        <f>IF(K343="","",IF(I343="Entregue",0,K343-N(J343)))</f>
        <v/>
      </c>
      <c r="R343" s="12">
        <f>IF(ISNUMBER(A343),MONTH(A343),"")</f>
        <v/>
      </c>
      <c r="S343" s="12">
        <f>IF(ISNUMBER(A343),YEAR(A343),"")</f>
        <v/>
      </c>
    </row>
    <row r="344">
      <c r="A344" s="23" t="n"/>
      <c r="B344" s="19" t="n"/>
      <c r="C344" s="19" t="n"/>
      <c r="D344" s="7" t="n"/>
      <c r="E344" s="13" t="n"/>
      <c r="F344" s="19" t="n"/>
      <c r="G344" s="13" t="n"/>
      <c r="H344" s="19" t="n"/>
      <c r="I344" s="19" t="n"/>
      <c r="J344" s="13" t="n"/>
      <c r="K344" s="9">
        <f>IF(AND(C344&lt;&gt;"",N(D344)&gt;0,I344&lt;&gt;"Cancelado"),D344*IF(N(E344)&gt;0,E344,IFERROR(VLOOKUP(C344,Produtos!$A$4:$O$53,15,0),0))+N(G344),"")</f>
        <v/>
      </c>
      <c r="L344" s="9">
        <f>IF(K344="","",K344*IFERROR(VLOOKUP(H344,Config!$B$15:$C$19,2,0),0))</f>
        <v/>
      </c>
      <c r="M344" s="9">
        <f>IF(K344="","",D344*IFERROR(VLOOKUP(C344,Produtos!$A$4:$I$53,9,0),0))</f>
        <v/>
      </c>
      <c r="N344" s="9">
        <f>IF(K344="","",D344*IFERROR(VLOOKUP(C344,Produtos!$A$4:$J$53,10,0),0))</f>
        <v/>
      </c>
      <c r="O344" s="9">
        <f>IF(OR(K344="",F344=""),IF(K344="","",0),IFERROR(VLOOKUP(F344,Entrega!$A$4:$E$43,5,0),0))</f>
        <v/>
      </c>
      <c r="P344" s="9">
        <f>IF(K344="","",K344-L344-M344-N344-O344)</f>
        <v/>
      </c>
      <c r="Q344" s="9">
        <f>IF(K344="","",IF(I344="Entregue",0,K344-N(J344)))</f>
        <v/>
      </c>
      <c r="R344" s="12">
        <f>IF(ISNUMBER(A344),MONTH(A344),"")</f>
        <v/>
      </c>
      <c r="S344" s="12">
        <f>IF(ISNUMBER(A344),YEAR(A344),"")</f>
        <v/>
      </c>
    </row>
    <row r="345">
      <c r="A345" s="23" t="n"/>
      <c r="B345" s="19" t="n"/>
      <c r="C345" s="19" t="n"/>
      <c r="D345" s="7" t="n"/>
      <c r="E345" s="13" t="n"/>
      <c r="F345" s="19" t="n"/>
      <c r="G345" s="13" t="n"/>
      <c r="H345" s="19" t="n"/>
      <c r="I345" s="19" t="n"/>
      <c r="J345" s="13" t="n"/>
      <c r="K345" s="9">
        <f>IF(AND(C345&lt;&gt;"",N(D345)&gt;0,I345&lt;&gt;"Cancelado"),D345*IF(N(E345)&gt;0,E345,IFERROR(VLOOKUP(C345,Produtos!$A$4:$O$53,15,0),0))+N(G345),"")</f>
        <v/>
      </c>
      <c r="L345" s="9">
        <f>IF(K345="","",K345*IFERROR(VLOOKUP(H345,Config!$B$15:$C$19,2,0),0))</f>
        <v/>
      </c>
      <c r="M345" s="9">
        <f>IF(K345="","",D345*IFERROR(VLOOKUP(C345,Produtos!$A$4:$I$53,9,0),0))</f>
        <v/>
      </c>
      <c r="N345" s="9">
        <f>IF(K345="","",D345*IFERROR(VLOOKUP(C345,Produtos!$A$4:$J$53,10,0),0))</f>
        <v/>
      </c>
      <c r="O345" s="9">
        <f>IF(OR(K345="",F345=""),IF(K345="","",0),IFERROR(VLOOKUP(F345,Entrega!$A$4:$E$43,5,0),0))</f>
        <v/>
      </c>
      <c r="P345" s="9">
        <f>IF(K345="","",K345-L345-M345-N345-O345)</f>
        <v/>
      </c>
      <c r="Q345" s="9">
        <f>IF(K345="","",IF(I345="Entregue",0,K345-N(J345)))</f>
        <v/>
      </c>
      <c r="R345" s="12">
        <f>IF(ISNUMBER(A345),MONTH(A345),"")</f>
        <v/>
      </c>
      <c r="S345" s="12">
        <f>IF(ISNUMBER(A345),YEAR(A345),"")</f>
        <v/>
      </c>
    </row>
    <row r="346">
      <c r="A346" s="23" t="n"/>
      <c r="B346" s="19" t="n"/>
      <c r="C346" s="19" t="n"/>
      <c r="D346" s="7" t="n"/>
      <c r="E346" s="13" t="n"/>
      <c r="F346" s="19" t="n"/>
      <c r="G346" s="13" t="n"/>
      <c r="H346" s="19" t="n"/>
      <c r="I346" s="19" t="n"/>
      <c r="J346" s="13" t="n"/>
      <c r="K346" s="9">
        <f>IF(AND(C346&lt;&gt;"",N(D346)&gt;0,I346&lt;&gt;"Cancelado"),D346*IF(N(E346)&gt;0,E346,IFERROR(VLOOKUP(C346,Produtos!$A$4:$O$53,15,0),0))+N(G346),"")</f>
        <v/>
      </c>
      <c r="L346" s="9">
        <f>IF(K346="","",K346*IFERROR(VLOOKUP(H346,Config!$B$15:$C$19,2,0),0))</f>
        <v/>
      </c>
      <c r="M346" s="9">
        <f>IF(K346="","",D346*IFERROR(VLOOKUP(C346,Produtos!$A$4:$I$53,9,0),0))</f>
        <v/>
      </c>
      <c r="N346" s="9">
        <f>IF(K346="","",D346*IFERROR(VLOOKUP(C346,Produtos!$A$4:$J$53,10,0),0))</f>
        <v/>
      </c>
      <c r="O346" s="9">
        <f>IF(OR(K346="",F346=""),IF(K346="","",0),IFERROR(VLOOKUP(F346,Entrega!$A$4:$E$43,5,0),0))</f>
        <v/>
      </c>
      <c r="P346" s="9">
        <f>IF(K346="","",K346-L346-M346-N346-O346)</f>
        <v/>
      </c>
      <c r="Q346" s="9">
        <f>IF(K346="","",IF(I346="Entregue",0,K346-N(J346)))</f>
        <v/>
      </c>
      <c r="R346" s="12">
        <f>IF(ISNUMBER(A346),MONTH(A346),"")</f>
        <v/>
      </c>
      <c r="S346" s="12">
        <f>IF(ISNUMBER(A346),YEAR(A346),"")</f>
        <v/>
      </c>
    </row>
    <row r="347">
      <c r="A347" s="23" t="n"/>
      <c r="B347" s="19" t="n"/>
      <c r="C347" s="19" t="n"/>
      <c r="D347" s="7" t="n"/>
      <c r="E347" s="13" t="n"/>
      <c r="F347" s="19" t="n"/>
      <c r="G347" s="13" t="n"/>
      <c r="H347" s="19" t="n"/>
      <c r="I347" s="19" t="n"/>
      <c r="J347" s="13" t="n"/>
      <c r="K347" s="9">
        <f>IF(AND(C347&lt;&gt;"",N(D347)&gt;0,I347&lt;&gt;"Cancelado"),D347*IF(N(E347)&gt;0,E347,IFERROR(VLOOKUP(C347,Produtos!$A$4:$O$53,15,0),0))+N(G347),"")</f>
        <v/>
      </c>
      <c r="L347" s="9">
        <f>IF(K347="","",K347*IFERROR(VLOOKUP(H347,Config!$B$15:$C$19,2,0),0))</f>
        <v/>
      </c>
      <c r="M347" s="9">
        <f>IF(K347="","",D347*IFERROR(VLOOKUP(C347,Produtos!$A$4:$I$53,9,0),0))</f>
        <v/>
      </c>
      <c r="N347" s="9">
        <f>IF(K347="","",D347*IFERROR(VLOOKUP(C347,Produtos!$A$4:$J$53,10,0),0))</f>
        <v/>
      </c>
      <c r="O347" s="9">
        <f>IF(OR(K347="",F347=""),IF(K347="","",0),IFERROR(VLOOKUP(F347,Entrega!$A$4:$E$43,5,0),0))</f>
        <v/>
      </c>
      <c r="P347" s="9">
        <f>IF(K347="","",K347-L347-M347-N347-O347)</f>
        <v/>
      </c>
      <c r="Q347" s="9">
        <f>IF(K347="","",IF(I347="Entregue",0,K347-N(J347)))</f>
        <v/>
      </c>
      <c r="R347" s="12">
        <f>IF(ISNUMBER(A347),MONTH(A347),"")</f>
        <v/>
      </c>
      <c r="S347" s="12">
        <f>IF(ISNUMBER(A347),YEAR(A347),"")</f>
        <v/>
      </c>
    </row>
    <row r="348">
      <c r="A348" s="23" t="n"/>
      <c r="B348" s="19" t="n"/>
      <c r="C348" s="19" t="n"/>
      <c r="D348" s="7" t="n"/>
      <c r="E348" s="13" t="n"/>
      <c r="F348" s="19" t="n"/>
      <c r="G348" s="13" t="n"/>
      <c r="H348" s="19" t="n"/>
      <c r="I348" s="19" t="n"/>
      <c r="J348" s="13" t="n"/>
      <c r="K348" s="9">
        <f>IF(AND(C348&lt;&gt;"",N(D348)&gt;0,I348&lt;&gt;"Cancelado"),D348*IF(N(E348)&gt;0,E348,IFERROR(VLOOKUP(C348,Produtos!$A$4:$O$53,15,0),0))+N(G348),"")</f>
        <v/>
      </c>
      <c r="L348" s="9">
        <f>IF(K348="","",K348*IFERROR(VLOOKUP(H348,Config!$B$15:$C$19,2,0),0))</f>
        <v/>
      </c>
      <c r="M348" s="9">
        <f>IF(K348="","",D348*IFERROR(VLOOKUP(C348,Produtos!$A$4:$I$53,9,0),0))</f>
        <v/>
      </c>
      <c r="N348" s="9">
        <f>IF(K348="","",D348*IFERROR(VLOOKUP(C348,Produtos!$A$4:$J$53,10,0),0))</f>
        <v/>
      </c>
      <c r="O348" s="9">
        <f>IF(OR(K348="",F348=""),IF(K348="","",0),IFERROR(VLOOKUP(F348,Entrega!$A$4:$E$43,5,0),0))</f>
        <v/>
      </c>
      <c r="P348" s="9">
        <f>IF(K348="","",K348-L348-M348-N348-O348)</f>
        <v/>
      </c>
      <c r="Q348" s="9">
        <f>IF(K348="","",IF(I348="Entregue",0,K348-N(J348)))</f>
        <v/>
      </c>
      <c r="R348" s="12">
        <f>IF(ISNUMBER(A348),MONTH(A348),"")</f>
        <v/>
      </c>
      <c r="S348" s="12">
        <f>IF(ISNUMBER(A348),YEAR(A348),"")</f>
        <v/>
      </c>
    </row>
    <row r="349">
      <c r="A349" s="23" t="n"/>
      <c r="B349" s="19" t="n"/>
      <c r="C349" s="19" t="n"/>
      <c r="D349" s="7" t="n"/>
      <c r="E349" s="13" t="n"/>
      <c r="F349" s="19" t="n"/>
      <c r="G349" s="13" t="n"/>
      <c r="H349" s="19" t="n"/>
      <c r="I349" s="19" t="n"/>
      <c r="J349" s="13" t="n"/>
      <c r="K349" s="9">
        <f>IF(AND(C349&lt;&gt;"",N(D349)&gt;0,I349&lt;&gt;"Cancelado"),D349*IF(N(E349)&gt;0,E349,IFERROR(VLOOKUP(C349,Produtos!$A$4:$O$53,15,0),0))+N(G349),"")</f>
        <v/>
      </c>
      <c r="L349" s="9">
        <f>IF(K349="","",K349*IFERROR(VLOOKUP(H349,Config!$B$15:$C$19,2,0),0))</f>
        <v/>
      </c>
      <c r="M349" s="9">
        <f>IF(K349="","",D349*IFERROR(VLOOKUP(C349,Produtos!$A$4:$I$53,9,0),0))</f>
        <v/>
      </c>
      <c r="N349" s="9">
        <f>IF(K349="","",D349*IFERROR(VLOOKUP(C349,Produtos!$A$4:$J$53,10,0),0))</f>
        <v/>
      </c>
      <c r="O349" s="9">
        <f>IF(OR(K349="",F349=""),IF(K349="","",0),IFERROR(VLOOKUP(F349,Entrega!$A$4:$E$43,5,0),0))</f>
        <v/>
      </c>
      <c r="P349" s="9">
        <f>IF(K349="","",K349-L349-M349-N349-O349)</f>
        <v/>
      </c>
      <c r="Q349" s="9">
        <f>IF(K349="","",IF(I349="Entregue",0,K349-N(J349)))</f>
        <v/>
      </c>
      <c r="R349" s="12">
        <f>IF(ISNUMBER(A349),MONTH(A349),"")</f>
        <v/>
      </c>
      <c r="S349" s="12">
        <f>IF(ISNUMBER(A349),YEAR(A349),"")</f>
        <v/>
      </c>
    </row>
    <row r="350">
      <c r="A350" s="23" t="n"/>
      <c r="B350" s="19" t="n"/>
      <c r="C350" s="19" t="n"/>
      <c r="D350" s="7" t="n"/>
      <c r="E350" s="13" t="n"/>
      <c r="F350" s="19" t="n"/>
      <c r="G350" s="13" t="n"/>
      <c r="H350" s="19" t="n"/>
      <c r="I350" s="19" t="n"/>
      <c r="J350" s="13" t="n"/>
      <c r="K350" s="9">
        <f>IF(AND(C350&lt;&gt;"",N(D350)&gt;0,I350&lt;&gt;"Cancelado"),D350*IF(N(E350)&gt;0,E350,IFERROR(VLOOKUP(C350,Produtos!$A$4:$O$53,15,0),0))+N(G350),"")</f>
        <v/>
      </c>
      <c r="L350" s="9">
        <f>IF(K350="","",K350*IFERROR(VLOOKUP(H350,Config!$B$15:$C$19,2,0),0))</f>
        <v/>
      </c>
      <c r="M350" s="9">
        <f>IF(K350="","",D350*IFERROR(VLOOKUP(C350,Produtos!$A$4:$I$53,9,0),0))</f>
        <v/>
      </c>
      <c r="N350" s="9">
        <f>IF(K350="","",D350*IFERROR(VLOOKUP(C350,Produtos!$A$4:$J$53,10,0),0))</f>
        <v/>
      </c>
      <c r="O350" s="9">
        <f>IF(OR(K350="",F350=""),IF(K350="","",0),IFERROR(VLOOKUP(F350,Entrega!$A$4:$E$43,5,0),0))</f>
        <v/>
      </c>
      <c r="P350" s="9">
        <f>IF(K350="","",K350-L350-M350-N350-O350)</f>
        <v/>
      </c>
      <c r="Q350" s="9">
        <f>IF(K350="","",IF(I350="Entregue",0,K350-N(J350)))</f>
        <v/>
      </c>
      <c r="R350" s="12">
        <f>IF(ISNUMBER(A350),MONTH(A350),"")</f>
        <v/>
      </c>
      <c r="S350" s="12">
        <f>IF(ISNUMBER(A350),YEAR(A350),"")</f>
        <v/>
      </c>
    </row>
    <row r="351">
      <c r="A351" s="23" t="n"/>
      <c r="B351" s="19" t="n"/>
      <c r="C351" s="19" t="n"/>
      <c r="D351" s="7" t="n"/>
      <c r="E351" s="13" t="n"/>
      <c r="F351" s="19" t="n"/>
      <c r="G351" s="13" t="n"/>
      <c r="H351" s="19" t="n"/>
      <c r="I351" s="19" t="n"/>
      <c r="J351" s="13" t="n"/>
      <c r="K351" s="9">
        <f>IF(AND(C351&lt;&gt;"",N(D351)&gt;0,I351&lt;&gt;"Cancelado"),D351*IF(N(E351)&gt;0,E351,IFERROR(VLOOKUP(C351,Produtos!$A$4:$O$53,15,0),0))+N(G351),"")</f>
        <v/>
      </c>
      <c r="L351" s="9">
        <f>IF(K351="","",K351*IFERROR(VLOOKUP(H351,Config!$B$15:$C$19,2,0),0))</f>
        <v/>
      </c>
      <c r="M351" s="9">
        <f>IF(K351="","",D351*IFERROR(VLOOKUP(C351,Produtos!$A$4:$I$53,9,0),0))</f>
        <v/>
      </c>
      <c r="N351" s="9">
        <f>IF(K351="","",D351*IFERROR(VLOOKUP(C351,Produtos!$A$4:$J$53,10,0),0))</f>
        <v/>
      </c>
      <c r="O351" s="9">
        <f>IF(OR(K351="",F351=""),IF(K351="","",0),IFERROR(VLOOKUP(F351,Entrega!$A$4:$E$43,5,0),0))</f>
        <v/>
      </c>
      <c r="P351" s="9">
        <f>IF(K351="","",K351-L351-M351-N351-O351)</f>
        <v/>
      </c>
      <c r="Q351" s="9">
        <f>IF(K351="","",IF(I351="Entregue",0,K351-N(J351)))</f>
        <v/>
      </c>
      <c r="R351" s="12">
        <f>IF(ISNUMBER(A351),MONTH(A351),"")</f>
        <v/>
      </c>
      <c r="S351" s="12">
        <f>IF(ISNUMBER(A351),YEAR(A351),"")</f>
        <v/>
      </c>
    </row>
    <row r="352">
      <c r="A352" s="23" t="n"/>
      <c r="B352" s="19" t="n"/>
      <c r="C352" s="19" t="n"/>
      <c r="D352" s="7" t="n"/>
      <c r="E352" s="13" t="n"/>
      <c r="F352" s="19" t="n"/>
      <c r="G352" s="13" t="n"/>
      <c r="H352" s="19" t="n"/>
      <c r="I352" s="19" t="n"/>
      <c r="J352" s="13" t="n"/>
      <c r="K352" s="9">
        <f>IF(AND(C352&lt;&gt;"",N(D352)&gt;0,I352&lt;&gt;"Cancelado"),D352*IF(N(E352)&gt;0,E352,IFERROR(VLOOKUP(C352,Produtos!$A$4:$O$53,15,0),0))+N(G352),"")</f>
        <v/>
      </c>
      <c r="L352" s="9">
        <f>IF(K352="","",K352*IFERROR(VLOOKUP(H352,Config!$B$15:$C$19,2,0),0))</f>
        <v/>
      </c>
      <c r="M352" s="9">
        <f>IF(K352="","",D352*IFERROR(VLOOKUP(C352,Produtos!$A$4:$I$53,9,0),0))</f>
        <v/>
      </c>
      <c r="N352" s="9">
        <f>IF(K352="","",D352*IFERROR(VLOOKUP(C352,Produtos!$A$4:$J$53,10,0),0))</f>
        <v/>
      </c>
      <c r="O352" s="9">
        <f>IF(OR(K352="",F352=""),IF(K352="","",0),IFERROR(VLOOKUP(F352,Entrega!$A$4:$E$43,5,0),0))</f>
        <v/>
      </c>
      <c r="P352" s="9">
        <f>IF(K352="","",K352-L352-M352-N352-O352)</f>
        <v/>
      </c>
      <c r="Q352" s="9">
        <f>IF(K352="","",IF(I352="Entregue",0,K352-N(J352)))</f>
        <v/>
      </c>
      <c r="R352" s="12">
        <f>IF(ISNUMBER(A352),MONTH(A352),"")</f>
        <v/>
      </c>
      <c r="S352" s="12">
        <f>IF(ISNUMBER(A352),YEAR(A352),"")</f>
        <v/>
      </c>
    </row>
    <row r="353">
      <c r="A353" s="23" t="n"/>
      <c r="B353" s="19" t="n"/>
      <c r="C353" s="19" t="n"/>
      <c r="D353" s="7" t="n"/>
      <c r="E353" s="13" t="n"/>
      <c r="F353" s="19" t="n"/>
      <c r="G353" s="13" t="n"/>
      <c r="H353" s="19" t="n"/>
      <c r="I353" s="19" t="n"/>
      <c r="J353" s="13" t="n"/>
      <c r="K353" s="9">
        <f>IF(AND(C353&lt;&gt;"",N(D353)&gt;0,I353&lt;&gt;"Cancelado"),D353*IF(N(E353)&gt;0,E353,IFERROR(VLOOKUP(C353,Produtos!$A$4:$O$53,15,0),0))+N(G353),"")</f>
        <v/>
      </c>
      <c r="L353" s="9">
        <f>IF(K353="","",K353*IFERROR(VLOOKUP(H353,Config!$B$15:$C$19,2,0),0))</f>
        <v/>
      </c>
      <c r="M353" s="9">
        <f>IF(K353="","",D353*IFERROR(VLOOKUP(C353,Produtos!$A$4:$I$53,9,0),0))</f>
        <v/>
      </c>
      <c r="N353" s="9">
        <f>IF(K353="","",D353*IFERROR(VLOOKUP(C353,Produtos!$A$4:$J$53,10,0),0))</f>
        <v/>
      </c>
      <c r="O353" s="9">
        <f>IF(OR(K353="",F353=""),IF(K353="","",0),IFERROR(VLOOKUP(F353,Entrega!$A$4:$E$43,5,0),0))</f>
        <v/>
      </c>
      <c r="P353" s="9">
        <f>IF(K353="","",K353-L353-M353-N353-O353)</f>
        <v/>
      </c>
      <c r="Q353" s="9">
        <f>IF(K353="","",IF(I353="Entregue",0,K353-N(J353)))</f>
        <v/>
      </c>
      <c r="R353" s="12">
        <f>IF(ISNUMBER(A353),MONTH(A353),"")</f>
        <v/>
      </c>
      <c r="S353" s="12">
        <f>IF(ISNUMBER(A353),YEAR(A353),"")</f>
        <v/>
      </c>
    </row>
    <row r="354">
      <c r="A354" s="23" t="n"/>
      <c r="B354" s="19" t="n"/>
      <c r="C354" s="19" t="n"/>
      <c r="D354" s="7" t="n"/>
      <c r="E354" s="13" t="n"/>
      <c r="F354" s="19" t="n"/>
      <c r="G354" s="13" t="n"/>
      <c r="H354" s="19" t="n"/>
      <c r="I354" s="19" t="n"/>
      <c r="J354" s="13" t="n"/>
      <c r="K354" s="9">
        <f>IF(AND(C354&lt;&gt;"",N(D354)&gt;0,I354&lt;&gt;"Cancelado"),D354*IF(N(E354)&gt;0,E354,IFERROR(VLOOKUP(C354,Produtos!$A$4:$O$53,15,0),0))+N(G354),"")</f>
        <v/>
      </c>
      <c r="L354" s="9">
        <f>IF(K354="","",K354*IFERROR(VLOOKUP(H354,Config!$B$15:$C$19,2,0),0))</f>
        <v/>
      </c>
      <c r="M354" s="9">
        <f>IF(K354="","",D354*IFERROR(VLOOKUP(C354,Produtos!$A$4:$I$53,9,0),0))</f>
        <v/>
      </c>
      <c r="N354" s="9">
        <f>IF(K354="","",D354*IFERROR(VLOOKUP(C354,Produtos!$A$4:$J$53,10,0),0))</f>
        <v/>
      </c>
      <c r="O354" s="9">
        <f>IF(OR(K354="",F354=""),IF(K354="","",0),IFERROR(VLOOKUP(F354,Entrega!$A$4:$E$43,5,0),0))</f>
        <v/>
      </c>
      <c r="P354" s="9">
        <f>IF(K354="","",K354-L354-M354-N354-O354)</f>
        <v/>
      </c>
      <c r="Q354" s="9">
        <f>IF(K354="","",IF(I354="Entregue",0,K354-N(J354)))</f>
        <v/>
      </c>
      <c r="R354" s="12">
        <f>IF(ISNUMBER(A354),MONTH(A354),"")</f>
        <v/>
      </c>
      <c r="S354" s="12">
        <f>IF(ISNUMBER(A354),YEAR(A354),"")</f>
        <v/>
      </c>
    </row>
    <row r="355">
      <c r="A355" s="23" t="n"/>
      <c r="B355" s="19" t="n"/>
      <c r="C355" s="19" t="n"/>
      <c r="D355" s="7" t="n"/>
      <c r="E355" s="13" t="n"/>
      <c r="F355" s="19" t="n"/>
      <c r="G355" s="13" t="n"/>
      <c r="H355" s="19" t="n"/>
      <c r="I355" s="19" t="n"/>
      <c r="J355" s="13" t="n"/>
      <c r="K355" s="9">
        <f>IF(AND(C355&lt;&gt;"",N(D355)&gt;0,I355&lt;&gt;"Cancelado"),D355*IF(N(E355)&gt;0,E355,IFERROR(VLOOKUP(C355,Produtos!$A$4:$O$53,15,0),0))+N(G355),"")</f>
        <v/>
      </c>
      <c r="L355" s="9">
        <f>IF(K355="","",K355*IFERROR(VLOOKUP(H355,Config!$B$15:$C$19,2,0),0))</f>
        <v/>
      </c>
      <c r="M355" s="9">
        <f>IF(K355="","",D355*IFERROR(VLOOKUP(C355,Produtos!$A$4:$I$53,9,0),0))</f>
        <v/>
      </c>
      <c r="N355" s="9">
        <f>IF(K355="","",D355*IFERROR(VLOOKUP(C355,Produtos!$A$4:$J$53,10,0),0))</f>
        <v/>
      </c>
      <c r="O355" s="9">
        <f>IF(OR(K355="",F355=""),IF(K355="","",0),IFERROR(VLOOKUP(F355,Entrega!$A$4:$E$43,5,0),0))</f>
        <v/>
      </c>
      <c r="P355" s="9">
        <f>IF(K355="","",K355-L355-M355-N355-O355)</f>
        <v/>
      </c>
      <c r="Q355" s="9">
        <f>IF(K355="","",IF(I355="Entregue",0,K355-N(J355)))</f>
        <v/>
      </c>
      <c r="R355" s="12">
        <f>IF(ISNUMBER(A355),MONTH(A355),"")</f>
        <v/>
      </c>
      <c r="S355" s="12">
        <f>IF(ISNUMBER(A355),YEAR(A355),"")</f>
        <v/>
      </c>
    </row>
    <row r="356">
      <c r="A356" s="23" t="n"/>
      <c r="B356" s="19" t="n"/>
      <c r="C356" s="19" t="n"/>
      <c r="D356" s="7" t="n"/>
      <c r="E356" s="13" t="n"/>
      <c r="F356" s="19" t="n"/>
      <c r="G356" s="13" t="n"/>
      <c r="H356" s="19" t="n"/>
      <c r="I356" s="19" t="n"/>
      <c r="J356" s="13" t="n"/>
      <c r="K356" s="9">
        <f>IF(AND(C356&lt;&gt;"",N(D356)&gt;0,I356&lt;&gt;"Cancelado"),D356*IF(N(E356)&gt;0,E356,IFERROR(VLOOKUP(C356,Produtos!$A$4:$O$53,15,0),0))+N(G356),"")</f>
        <v/>
      </c>
      <c r="L356" s="9">
        <f>IF(K356="","",K356*IFERROR(VLOOKUP(H356,Config!$B$15:$C$19,2,0),0))</f>
        <v/>
      </c>
      <c r="M356" s="9">
        <f>IF(K356="","",D356*IFERROR(VLOOKUP(C356,Produtos!$A$4:$I$53,9,0),0))</f>
        <v/>
      </c>
      <c r="N356" s="9">
        <f>IF(K356="","",D356*IFERROR(VLOOKUP(C356,Produtos!$A$4:$J$53,10,0),0))</f>
        <v/>
      </c>
      <c r="O356" s="9">
        <f>IF(OR(K356="",F356=""),IF(K356="","",0),IFERROR(VLOOKUP(F356,Entrega!$A$4:$E$43,5,0),0))</f>
        <v/>
      </c>
      <c r="P356" s="9">
        <f>IF(K356="","",K356-L356-M356-N356-O356)</f>
        <v/>
      </c>
      <c r="Q356" s="9">
        <f>IF(K356="","",IF(I356="Entregue",0,K356-N(J356)))</f>
        <v/>
      </c>
      <c r="R356" s="12">
        <f>IF(ISNUMBER(A356),MONTH(A356),"")</f>
        <v/>
      </c>
      <c r="S356" s="12">
        <f>IF(ISNUMBER(A356),YEAR(A356),"")</f>
        <v/>
      </c>
    </row>
    <row r="357">
      <c r="A357" s="23" t="n"/>
      <c r="B357" s="19" t="n"/>
      <c r="C357" s="19" t="n"/>
      <c r="D357" s="7" t="n"/>
      <c r="E357" s="13" t="n"/>
      <c r="F357" s="19" t="n"/>
      <c r="G357" s="13" t="n"/>
      <c r="H357" s="19" t="n"/>
      <c r="I357" s="19" t="n"/>
      <c r="J357" s="13" t="n"/>
      <c r="K357" s="9">
        <f>IF(AND(C357&lt;&gt;"",N(D357)&gt;0,I357&lt;&gt;"Cancelado"),D357*IF(N(E357)&gt;0,E357,IFERROR(VLOOKUP(C357,Produtos!$A$4:$O$53,15,0),0))+N(G357),"")</f>
        <v/>
      </c>
      <c r="L357" s="9">
        <f>IF(K357="","",K357*IFERROR(VLOOKUP(H357,Config!$B$15:$C$19,2,0),0))</f>
        <v/>
      </c>
      <c r="M357" s="9">
        <f>IF(K357="","",D357*IFERROR(VLOOKUP(C357,Produtos!$A$4:$I$53,9,0),0))</f>
        <v/>
      </c>
      <c r="N357" s="9">
        <f>IF(K357="","",D357*IFERROR(VLOOKUP(C357,Produtos!$A$4:$J$53,10,0),0))</f>
        <v/>
      </c>
      <c r="O357" s="9">
        <f>IF(OR(K357="",F357=""),IF(K357="","",0),IFERROR(VLOOKUP(F357,Entrega!$A$4:$E$43,5,0),0))</f>
        <v/>
      </c>
      <c r="P357" s="9">
        <f>IF(K357="","",K357-L357-M357-N357-O357)</f>
        <v/>
      </c>
      <c r="Q357" s="9">
        <f>IF(K357="","",IF(I357="Entregue",0,K357-N(J357)))</f>
        <v/>
      </c>
      <c r="R357" s="12">
        <f>IF(ISNUMBER(A357),MONTH(A357),"")</f>
        <v/>
      </c>
      <c r="S357" s="12">
        <f>IF(ISNUMBER(A357),YEAR(A357),"")</f>
        <v/>
      </c>
    </row>
    <row r="358">
      <c r="A358" s="23" t="n"/>
      <c r="B358" s="19" t="n"/>
      <c r="C358" s="19" t="n"/>
      <c r="D358" s="7" t="n"/>
      <c r="E358" s="13" t="n"/>
      <c r="F358" s="19" t="n"/>
      <c r="G358" s="13" t="n"/>
      <c r="H358" s="19" t="n"/>
      <c r="I358" s="19" t="n"/>
      <c r="J358" s="13" t="n"/>
      <c r="K358" s="9">
        <f>IF(AND(C358&lt;&gt;"",N(D358)&gt;0,I358&lt;&gt;"Cancelado"),D358*IF(N(E358)&gt;0,E358,IFERROR(VLOOKUP(C358,Produtos!$A$4:$O$53,15,0),0))+N(G358),"")</f>
        <v/>
      </c>
      <c r="L358" s="9">
        <f>IF(K358="","",K358*IFERROR(VLOOKUP(H358,Config!$B$15:$C$19,2,0),0))</f>
        <v/>
      </c>
      <c r="M358" s="9">
        <f>IF(K358="","",D358*IFERROR(VLOOKUP(C358,Produtos!$A$4:$I$53,9,0),0))</f>
        <v/>
      </c>
      <c r="N358" s="9">
        <f>IF(K358="","",D358*IFERROR(VLOOKUP(C358,Produtos!$A$4:$J$53,10,0),0))</f>
        <v/>
      </c>
      <c r="O358" s="9">
        <f>IF(OR(K358="",F358=""),IF(K358="","",0),IFERROR(VLOOKUP(F358,Entrega!$A$4:$E$43,5,0),0))</f>
        <v/>
      </c>
      <c r="P358" s="9">
        <f>IF(K358="","",K358-L358-M358-N358-O358)</f>
        <v/>
      </c>
      <c r="Q358" s="9">
        <f>IF(K358="","",IF(I358="Entregue",0,K358-N(J358)))</f>
        <v/>
      </c>
      <c r="R358" s="12">
        <f>IF(ISNUMBER(A358),MONTH(A358),"")</f>
        <v/>
      </c>
      <c r="S358" s="12">
        <f>IF(ISNUMBER(A358),YEAR(A358),"")</f>
        <v/>
      </c>
    </row>
    <row r="359">
      <c r="A359" s="23" t="n"/>
      <c r="B359" s="19" t="n"/>
      <c r="C359" s="19" t="n"/>
      <c r="D359" s="7" t="n"/>
      <c r="E359" s="13" t="n"/>
      <c r="F359" s="19" t="n"/>
      <c r="G359" s="13" t="n"/>
      <c r="H359" s="19" t="n"/>
      <c r="I359" s="19" t="n"/>
      <c r="J359" s="13" t="n"/>
      <c r="K359" s="9">
        <f>IF(AND(C359&lt;&gt;"",N(D359)&gt;0,I359&lt;&gt;"Cancelado"),D359*IF(N(E359)&gt;0,E359,IFERROR(VLOOKUP(C359,Produtos!$A$4:$O$53,15,0),0))+N(G359),"")</f>
        <v/>
      </c>
      <c r="L359" s="9">
        <f>IF(K359="","",K359*IFERROR(VLOOKUP(H359,Config!$B$15:$C$19,2,0),0))</f>
        <v/>
      </c>
      <c r="M359" s="9">
        <f>IF(K359="","",D359*IFERROR(VLOOKUP(C359,Produtos!$A$4:$I$53,9,0),0))</f>
        <v/>
      </c>
      <c r="N359" s="9">
        <f>IF(K359="","",D359*IFERROR(VLOOKUP(C359,Produtos!$A$4:$J$53,10,0),0))</f>
        <v/>
      </c>
      <c r="O359" s="9">
        <f>IF(OR(K359="",F359=""),IF(K359="","",0),IFERROR(VLOOKUP(F359,Entrega!$A$4:$E$43,5,0),0))</f>
        <v/>
      </c>
      <c r="P359" s="9">
        <f>IF(K359="","",K359-L359-M359-N359-O359)</f>
        <v/>
      </c>
      <c r="Q359" s="9">
        <f>IF(K359="","",IF(I359="Entregue",0,K359-N(J359)))</f>
        <v/>
      </c>
      <c r="R359" s="12">
        <f>IF(ISNUMBER(A359),MONTH(A359),"")</f>
        <v/>
      </c>
      <c r="S359" s="12">
        <f>IF(ISNUMBER(A359),YEAR(A359),"")</f>
        <v/>
      </c>
    </row>
    <row r="360">
      <c r="A360" s="23" t="n"/>
      <c r="B360" s="19" t="n"/>
      <c r="C360" s="19" t="n"/>
      <c r="D360" s="7" t="n"/>
      <c r="E360" s="13" t="n"/>
      <c r="F360" s="19" t="n"/>
      <c r="G360" s="13" t="n"/>
      <c r="H360" s="19" t="n"/>
      <c r="I360" s="19" t="n"/>
      <c r="J360" s="13" t="n"/>
      <c r="K360" s="9">
        <f>IF(AND(C360&lt;&gt;"",N(D360)&gt;0,I360&lt;&gt;"Cancelado"),D360*IF(N(E360)&gt;0,E360,IFERROR(VLOOKUP(C360,Produtos!$A$4:$O$53,15,0),0))+N(G360),"")</f>
        <v/>
      </c>
      <c r="L360" s="9">
        <f>IF(K360="","",K360*IFERROR(VLOOKUP(H360,Config!$B$15:$C$19,2,0),0))</f>
        <v/>
      </c>
      <c r="M360" s="9">
        <f>IF(K360="","",D360*IFERROR(VLOOKUP(C360,Produtos!$A$4:$I$53,9,0),0))</f>
        <v/>
      </c>
      <c r="N360" s="9">
        <f>IF(K360="","",D360*IFERROR(VLOOKUP(C360,Produtos!$A$4:$J$53,10,0),0))</f>
        <v/>
      </c>
      <c r="O360" s="9">
        <f>IF(OR(K360="",F360=""),IF(K360="","",0),IFERROR(VLOOKUP(F360,Entrega!$A$4:$E$43,5,0),0))</f>
        <v/>
      </c>
      <c r="P360" s="9">
        <f>IF(K360="","",K360-L360-M360-N360-O360)</f>
        <v/>
      </c>
      <c r="Q360" s="9">
        <f>IF(K360="","",IF(I360="Entregue",0,K360-N(J360)))</f>
        <v/>
      </c>
      <c r="R360" s="12">
        <f>IF(ISNUMBER(A360),MONTH(A360),"")</f>
        <v/>
      </c>
      <c r="S360" s="12">
        <f>IF(ISNUMBER(A360),YEAR(A360),"")</f>
        <v/>
      </c>
    </row>
    <row r="361">
      <c r="A361" s="23" t="n"/>
      <c r="B361" s="19" t="n"/>
      <c r="C361" s="19" t="n"/>
      <c r="D361" s="7" t="n"/>
      <c r="E361" s="13" t="n"/>
      <c r="F361" s="19" t="n"/>
      <c r="G361" s="13" t="n"/>
      <c r="H361" s="19" t="n"/>
      <c r="I361" s="19" t="n"/>
      <c r="J361" s="13" t="n"/>
      <c r="K361" s="9">
        <f>IF(AND(C361&lt;&gt;"",N(D361)&gt;0,I361&lt;&gt;"Cancelado"),D361*IF(N(E361)&gt;0,E361,IFERROR(VLOOKUP(C361,Produtos!$A$4:$O$53,15,0),0))+N(G361),"")</f>
        <v/>
      </c>
      <c r="L361" s="9">
        <f>IF(K361="","",K361*IFERROR(VLOOKUP(H361,Config!$B$15:$C$19,2,0),0))</f>
        <v/>
      </c>
      <c r="M361" s="9">
        <f>IF(K361="","",D361*IFERROR(VLOOKUP(C361,Produtos!$A$4:$I$53,9,0),0))</f>
        <v/>
      </c>
      <c r="N361" s="9">
        <f>IF(K361="","",D361*IFERROR(VLOOKUP(C361,Produtos!$A$4:$J$53,10,0),0))</f>
        <v/>
      </c>
      <c r="O361" s="9">
        <f>IF(OR(K361="",F361=""),IF(K361="","",0),IFERROR(VLOOKUP(F361,Entrega!$A$4:$E$43,5,0),0))</f>
        <v/>
      </c>
      <c r="P361" s="9">
        <f>IF(K361="","",K361-L361-M361-N361-O361)</f>
        <v/>
      </c>
      <c r="Q361" s="9">
        <f>IF(K361="","",IF(I361="Entregue",0,K361-N(J361)))</f>
        <v/>
      </c>
      <c r="R361" s="12">
        <f>IF(ISNUMBER(A361),MONTH(A361),"")</f>
        <v/>
      </c>
      <c r="S361" s="12">
        <f>IF(ISNUMBER(A361),YEAR(A361),"")</f>
        <v/>
      </c>
    </row>
    <row r="362">
      <c r="A362" s="23" t="n"/>
      <c r="B362" s="19" t="n"/>
      <c r="C362" s="19" t="n"/>
      <c r="D362" s="7" t="n"/>
      <c r="E362" s="13" t="n"/>
      <c r="F362" s="19" t="n"/>
      <c r="G362" s="13" t="n"/>
      <c r="H362" s="19" t="n"/>
      <c r="I362" s="19" t="n"/>
      <c r="J362" s="13" t="n"/>
      <c r="K362" s="9">
        <f>IF(AND(C362&lt;&gt;"",N(D362)&gt;0,I362&lt;&gt;"Cancelado"),D362*IF(N(E362)&gt;0,E362,IFERROR(VLOOKUP(C362,Produtos!$A$4:$O$53,15,0),0))+N(G362),"")</f>
        <v/>
      </c>
      <c r="L362" s="9">
        <f>IF(K362="","",K362*IFERROR(VLOOKUP(H362,Config!$B$15:$C$19,2,0),0))</f>
        <v/>
      </c>
      <c r="M362" s="9">
        <f>IF(K362="","",D362*IFERROR(VLOOKUP(C362,Produtos!$A$4:$I$53,9,0),0))</f>
        <v/>
      </c>
      <c r="N362" s="9">
        <f>IF(K362="","",D362*IFERROR(VLOOKUP(C362,Produtos!$A$4:$J$53,10,0),0))</f>
        <v/>
      </c>
      <c r="O362" s="9">
        <f>IF(OR(K362="",F362=""),IF(K362="","",0),IFERROR(VLOOKUP(F362,Entrega!$A$4:$E$43,5,0),0))</f>
        <v/>
      </c>
      <c r="P362" s="9">
        <f>IF(K362="","",K362-L362-M362-N362-O362)</f>
        <v/>
      </c>
      <c r="Q362" s="9">
        <f>IF(K362="","",IF(I362="Entregue",0,K362-N(J362)))</f>
        <v/>
      </c>
      <c r="R362" s="12">
        <f>IF(ISNUMBER(A362),MONTH(A362),"")</f>
        <v/>
      </c>
      <c r="S362" s="12">
        <f>IF(ISNUMBER(A362),YEAR(A362),"")</f>
        <v/>
      </c>
    </row>
    <row r="363">
      <c r="A363" s="23" t="n"/>
      <c r="B363" s="19" t="n"/>
      <c r="C363" s="19" t="n"/>
      <c r="D363" s="7" t="n"/>
      <c r="E363" s="13" t="n"/>
      <c r="F363" s="19" t="n"/>
      <c r="G363" s="13" t="n"/>
      <c r="H363" s="19" t="n"/>
      <c r="I363" s="19" t="n"/>
      <c r="J363" s="13" t="n"/>
      <c r="K363" s="9">
        <f>IF(AND(C363&lt;&gt;"",N(D363)&gt;0,I363&lt;&gt;"Cancelado"),D363*IF(N(E363)&gt;0,E363,IFERROR(VLOOKUP(C363,Produtos!$A$4:$O$53,15,0),0))+N(G363),"")</f>
        <v/>
      </c>
      <c r="L363" s="9">
        <f>IF(K363="","",K363*IFERROR(VLOOKUP(H363,Config!$B$15:$C$19,2,0),0))</f>
        <v/>
      </c>
      <c r="M363" s="9">
        <f>IF(K363="","",D363*IFERROR(VLOOKUP(C363,Produtos!$A$4:$I$53,9,0),0))</f>
        <v/>
      </c>
      <c r="N363" s="9">
        <f>IF(K363="","",D363*IFERROR(VLOOKUP(C363,Produtos!$A$4:$J$53,10,0),0))</f>
        <v/>
      </c>
      <c r="O363" s="9">
        <f>IF(OR(K363="",F363=""),IF(K363="","",0),IFERROR(VLOOKUP(F363,Entrega!$A$4:$E$43,5,0),0))</f>
        <v/>
      </c>
      <c r="P363" s="9">
        <f>IF(K363="","",K363-L363-M363-N363-O363)</f>
        <v/>
      </c>
      <c r="Q363" s="9">
        <f>IF(K363="","",IF(I363="Entregue",0,K363-N(J363)))</f>
        <v/>
      </c>
      <c r="R363" s="12">
        <f>IF(ISNUMBER(A363),MONTH(A363),"")</f>
        <v/>
      </c>
      <c r="S363" s="12">
        <f>IF(ISNUMBER(A363),YEAR(A363),"")</f>
        <v/>
      </c>
    </row>
    <row r="364">
      <c r="A364" s="23" t="n"/>
      <c r="B364" s="19" t="n"/>
      <c r="C364" s="19" t="n"/>
      <c r="D364" s="7" t="n"/>
      <c r="E364" s="13" t="n"/>
      <c r="F364" s="19" t="n"/>
      <c r="G364" s="13" t="n"/>
      <c r="H364" s="19" t="n"/>
      <c r="I364" s="19" t="n"/>
      <c r="J364" s="13" t="n"/>
      <c r="K364" s="9">
        <f>IF(AND(C364&lt;&gt;"",N(D364)&gt;0,I364&lt;&gt;"Cancelado"),D364*IF(N(E364)&gt;0,E364,IFERROR(VLOOKUP(C364,Produtos!$A$4:$O$53,15,0),0))+N(G364),"")</f>
        <v/>
      </c>
      <c r="L364" s="9">
        <f>IF(K364="","",K364*IFERROR(VLOOKUP(H364,Config!$B$15:$C$19,2,0),0))</f>
        <v/>
      </c>
      <c r="M364" s="9">
        <f>IF(K364="","",D364*IFERROR(VLOOKUP(C364,Produtos!$A$4:$I$53,9,0),0))</f>
        <v/>
      </c>
      <c r="N364" s="9">
        <f>IF(K364="","",D364*IFERROR(VLOOKUP(C364,Produtos!$A$4:$J$53,10,0),0))</f>
        <v/>
      </c>
      <c r="O364" s="9">
        <f>IF(OR(K364="",F364=""),IF(K364="","",0),IFERROR(VLOOKUP(F364,Entrega!$A$4:$E$43,5,0),0))</f>
        <v/>
      </c>
      <c r="P364" s="9">
        <f>IF(K364="","",K364-L364-M364-N364-O364)</f>
        <v/>
      </c>
      <c r="Q364" s="9">
        <f>IF(K364="","",IF(I364="Entregue",0,K364-N(J364)))</f>
        <v/>
      </c>
      <c r="R364" s="12">
        <f>IF(ISNUMBER(A364),MONTH(A364),"")</f>
        <v/>
      </c>
      <c r="S364" s="12">
        <f>IF(ISNUMBER(A364),YEAR(A364),"")</f>
        <v/>
      </c>
    </row>
    <row r="365">
      <c r="A365" s="23" t="n"/>
      <c r="B365" s="19" t="n"/>
      <c r="C365" s="19" t="n"/>
      <c r="D365" s="7" t="n"/>
      <c r="E365" s="13" t="n"/>
      <c r="F365" s="19" t="n"/>
      <c r="G365" s="13" t="n"/>
      <c r="H365" s="19" t="n"/>
      <c r="I365" s="19" t="n"/>
      <c r="J365" s="13" t="n"/>
      <c r="K365" s="9">
        <f>IF(AND(C365&lt;&gt;"",N(D365)&gt;0,I365&lt;&gt;"Cancelado"),D365*IF(N(E365)&gt;0,E365,IFERROR(VLOOKUP(C365,Produtos!$A$4:$O$53,15,0),0))+N(G365),"")</f>
        <v/>
      </c>
      <c r="L365" s="9">
        <f>IF(K365="","",K365*IFERROR(VLOOKUP(H365,Config!$B$15:$C$19,2,0),0))</f>
        <v/>
      </c>
      <c r="M365" s="9">
        <f>IF(K365="","",D365*IFERROR(VLOOKUP(C365,Produtos!$A$4:$I$53,9,0),0))</f>
        <v/>
      </c>
      <c r="N365" s="9">
        <f>IF(K365="","",D365*IFERROR(VLOOKUP(C365,Produtos!$A$4:$J$53,10,0),0))</f>
        <v/>
      </c>
      <c r="O365" s="9">
        <f>IF(OR(K365="",F365=""),IF(K365="","",0),IFERROR(VLOOKUP(F365,Entrega!$A$4:$E$43,5,0),0))</f>
        <v/>
      </c>
      <c r="P365" s="9">
        <f>IF(K365="","",K365-L365-M365-N365-O365)</f>
        <v/>
      </c>
      <c r="Q365" s="9">
        <f>IF(K365="","",IF(I365="Entregue",0,K365-N(J365)))</f>
        <v/>
      </c>
      <c r="R365" s="12">
        <f>IF(ISNUMBER(A365),MONTH(A365),"")</f>
        <v/>
      </c>
      <c r="S365" s="12">
        <f>IF(ISNUMBER(A365),YEAR(A365),"")</f>
        <v/>
      </c>
    </row>
    <row r="366">
      <c r="A366" s="23" t="n"/>
      <c r="B366" s="19" t="n"/>
      <c r="C366" s="19" t="n"/>
      <c r="D366" s="7" t="n"/>
      <c r="E366" s="13" t="n"/>
      <c r="F366" s="19" t="n"/>
      <c r="G366" s="13" t="n"/>
      <c r="H366" s="19" t="n"/>
      <c r="I366" s="19" t="n"/>
      <c r="J366" s="13" t="n"/>
      <c r="K366" s="9">
        <f>IF(AND(C366&lt;&gt;"",N(D366)&gt;0,I366&lt;&gt;"Cancelado"),D366*IF(N(E366)&gt;0,E366,IFERROR(VLOOKUP(C366,Produtos!$A$4:$O$53,15,0),0))+N(G366),"")</f>
        <v/>
      </c>
      <c r="L366" s="9">
        <f>IF(K366="","",K366*IFERROR(VLOOKUP(H366,Config!$B$15:$C$19,2,0),0))</f>
        <v/>
      </c>
      <c r="M366" s="9">
        <f>IF(K366="","",D366*IFERROR(VLOOKUP(C366,Produtos!$A$4:$I$53,9,0),0))</f>
        <v/>
      </c>
      <c r="N366" s="9">
        <f>IF(K366="","",D366*IFERROR(VLOOKUP(C366,Produtos!$A$4:$J$53,10,0),0))</f>
        <v/>
      </c>
      <c r="O366" s="9">
        <f>IF(OR(K366="",F366=""),IF(K366="","",0),IFERROR(VLOOKUP(F366,Entrega!$A$4:$E$43,5,0),0))</f>
        <v/>
      </c>
      <c r="P366" s="9">
        <f>IF(K366="","",K366-L366-M366-N366-O366)</f>
        <v/>
      </c>
      <c r="Q366" s="9">
        <f>IF(K366="","",IF(I366="Entregue",0,K366-N(J366)))</f>
        <v/>
      </c>
      <c r="R366" s="12">
        <f>IF(ISNUMBER(A366),MONTH(A366),"")</f>
        <v/>
      </c>
      <c r="S366" s="12">
        <f>IF(ISNUMBER(A366),YEAR(A366),"")</f>
        <v/>
      </c>
    </row>
    <row r="367">
      <c r="A367" s="23" t="n"/>
      <c r="B367" s="19" t="n"/>
      <c r="C367" s="19" t="n"/>
      <c r="D367" s="7" t="n"/>
      <c r="E367" s="13" t="n"/>
      <c r="F367" s="19" t="n"/>
      <c r="G367" s="13" t="n"/>
      <c r="H367" s="19" t="n"/>
      <c r="I367" s="19" t="n"/>
      <c r="J367" s="13" t="n"/>
      <c r="K367" s="9">
        <f>IF(AND(C367&lt;&gt;"",N(D367)&gt;0,I367&lt;&gt;"Cancelado"),D367*IF(N(E367)&gt;0,E367,IFERROR(VLOOKUP(C367,Produtos!$A$4:$O$53,15,0),0))+N(G367),"")</f>
        <v/>
      </c>
      <c r="L367" s="9">
        <f>IF(K367="","",K367*IFERROR(VLOOKUP(H367,Config!$B$15:$C$19,2,0),0))</f>
        <v/>
      </c>
      <c r="M367" s="9">
        <f>IF(K367="","",D367*IFERROR(VLOOKUP(C367,Produtos!$A$4:$I$53,9,0),0))</f>
        <v/>
      </c>
      <c r="N367" s="9">
        <f>IF(K367="","",D367*IFERROR(VLOOKUP(C367,Produtos!$A$4:$J$53,10,0),0))</f>
        <v/>
      </c>
      <c r="O367" s="9">
        <f>IF(OR(K367="",F367=""),IF(K367="","",0),IFERROR(VLOOKUP(F367,Entrega!$A$4:$E$43,5,0),0))</f>
        <v/>
      </c>
      <c r="P367" s="9">
        <f>IF(K367="","",K367-L367-M367-N367-O367)</f>
        <v/>
      </c>
      <c r="Q367" s="9">
        <f>IF(K367="","",IF(I367="Entregue",0,K367-N(J367)))</f>
        <v/>
      </c>
      <c r="R367" s="12">
        <f>IF(ISNUMBER(A367),MONTH(A367),"")</f>
        <v/>
      </c>
      <c r="S367" s="12">
        <f>IF(ISNUMBER(A367),YEAR(A367),"")</f>
        <v/>
      </c>
    </row>
    <row r="368">
      <c r="A368" s="23" t="n"/>
      <c r="B368" s="19" t="n"/>
      <c r="C368" s="19" t="n"/>
      <c r="D368" s="7" t="n"/>
      <c r="E368" s="13" t="n"/>
      <c r="F368" s="19" t="n"/>
      <c r="G368" s="13" t="n"/>
      <c r="H368" s="19" t="n"/>
      <c r="I368" s="19" t="n"/>
      <c r="J368" s="13" t="n"/>
      <c r="K368" s="9">
        <f>IF(AND(C368&lt;&gt;"",N(D368)&gt;0,I368&lt;&gt;"Cancelado"),D368*IF(N(E368)&gt;0,E368,IFERROR(VLOOKUP(C368,Produtos!$A$4:$O$53,15,0),0))+N(G368),"")</f>
        <v/>
      </c>
      <c r="L368" s="9">
        <f>IF(K368="","",K368*IFERROR(VLOOKUP(H368,Config!$B$15:$C$19,2,0),0))</f>
        <v/>
      </c>
      <c r="M368" s="9">
        <f>IF(K368="","",D368*IFERROR(VLOOKUP(C368,Produtos!$A$4:$I$53,9,0),0))</f>
        <v/>
      </c>
      <c r="N368" s="9">
        <f>IF(K368="","",D368*IFERROR(VLOOKUP(C368,Produtos!$A$4:$J$53,10,0),0))</f>
        <v/>
      </c>
      <c r="O368" s="9">
        <f>IF(OR(K368="",F368=""),IF(K368="","",0),IFERROR(VLOOKUP(F368,Entrega!$A$4:$E$43,5,0),0))</f>
        <v/>
      </c>
      <c r="P368" s="9">
        <f>IF(K368="","",K368-L368-M368-N368-O368)</f>
        <v/>
      </c>
      <c r="Q368" s="9">
        <f>IF(K368="","",IF(I368="Entregue",0,K368-N(J368)))</f>
        <v/>
      </c>
      <c r="R368" s="12">
        <f>IF(ISNUMBER(A368),MONTH(A368),"")</f>
        <v/>
      </c>
      <c r="S368" s="12">
        <f>IF(ISNUMBER(A368),YEAR(A368),"")</f>
        <v/>
      </c>
    </row>
    <row r="369">
      <c r="A369" s="23" t="n"/>
      <c r="B369" s="19" t="n"/>
      <c r="C369" s="19" t="n"/>
      <c r="D369" s="7" t="n"/>
      <c r="E369" s="13" t="n"/>
      <c r="F369" s="19" t="n"/>
      <c r="G369" s="13" t="n"/>
      <c r="H369" s="19" t="n"/>
      <c r="I369" s="19" t="n"/>
      <c r="J369" s="13" t="n"/>
      <c r="K369" s="9">
        <f>IF(AND(C369&lt;&gt;"",N(D369)&gt;0,I369&lt;&gt;"Cancelado"),D369*IF(N(E369)&gt;0,E369,IFERROR(VLOOKUP(C369,Produtos!$A$4:$O$53,15,0),0))+N(G369),"")</f>
        <v/>
      </c>
      <c r="L369" s="9">
        <f>IF(K369="","",K369*IFERROR(VLOOKUP(H369,Config!$B$15:$C$19,2,0),0))</f>
        <v/>
      </c>
      <c r="M369" s="9">
        <f>IF(K369="","",D369*IFERROR(VLOOKUP(C369,Produtos!$A$4:$I$53,9,0),0))</f>
        <v/>
      </c>
      <c r="N369" s="9">
        <f>IF(K369="","",D369*IFERROR(VLOOKUP(C369,Produtos!$A$4:$J$53,10,0),0))</f>
        <v/>
      </c>
      <c r="O369" s="9">
        <f>IF(OR(K369="",F369=""),IF(K369="","",0),IFERROR(VLOOKUP(F369,Entrega!$A$4:$E$43,5,0),0))</f>
        <v/>
      </c>
      <c r="P369" s="9">
        <f>IF(K369="","",K369-L369-M369-N369-O369)</f>
        <v/>
      </c>
      <c r="Q369" s="9">
        <f>IF(K369="","",IF(I369="Entregue",0,K369-N(J369)))</f>
        <v/>
      </c>
      <c r="R369" s="12">
        <f>IF(ISNUMBER(A369),MONTH(A369),"")</f>
        <v/>
      </c>
      <c r="S369" s="12">
        <f>IF(ISNUMBER(A369),YEAR(A369),"")</f>
        <v/>
      </c>
    </row>
    <row r="370">
      <c r="A370" s="23" t="n"/>
      <c r="B370" s="19" t="n"/>
      <c r="C370" s="19" t="n"/>
      <c r="D370" s="7" t="n"/>
      <c r="E370" s="13" t="n"/>
      <c r="F370" s="19" t="n"/>
      <c r="G370" s="13" t="n"/>
      <c r="H370" s="19" t="n"/>
      <c r="I370" s="19" t="n"/>
      <c r="J370" s="13" t="n"/>
      <c r="K370" s="9">
        <f>IF(AND(C370&lt;&gt;"",N(D370)&gt;0,I370&lt;&gt;"Cancelado"),D370*IF(N(E370)&gt;0,E370,IFERROR(VLOOKUP(C370,Produtos!$A$4:$O$53,15,0),0))+N(G370),"")</f>
        <v/>
      </c>
      <c r="L370" s="9">
        <f>IF(K370="","",K370*IFERROR(VLOOKUP(H370,Config!$B$15:$C$19,2,0),0))</f>
        <v/>
      </c>
      <c r="M370" s="9">
        <f>IF(K370="","",D370*IFERROR(VLOOKUP(C370,Produtos!$A$4:$I$53,9,0),0))</f>
        <v/>
      </c>
      <c r="N370" s="9">
        <f>IF(K370="","",D370*IFERROR(VLOOKUP(C370,Produtos!$A$4:$J$53,10,0),0))</f>
        <v/>
      </c>
      <c r="O370" s="9">
        <f>IF(OR(K370="",F370=""),IF(K370="","",0),IFERROR(VLOOKUP(F370,Entrega!$A$4:$E$43,5,0),0))</f>
        <v/>
      </c>
      <c r="P370" s="9">
        <f>IF(K370="","",K370-L370-M370-N370-O370)</f>
        <v/>
      </c>
      <c r="Q370" s="9">
        <f>IF(K370="","",IF(I370="Entregue",0,K370-N(J370)))</f>
        <v/>
      </c>
      <c r="R370" s="12">
        <f>IF(ISNUMBER(A370),MONTH(A370),"")</f>
        <v/>
      </c>
      <c r="S370" s="12">
        <f>IF(ISNUMBER(A370),YEAR(A370),"")</f>
        <v/>
      </c>
    </row>
    <row r="371">
      <c r="A371" s="23" t="n"/>
      <c r="B371" s="19" t="n"/>
      <c r="C371" s="19" t="n"/>
      <c r="D371" s="7" t="n"/>
      <c r="E371" s="13" t="n"/>
      <c r="F371" s="19" t="n"/>
      <c r="G371" s="13" t="n"/>
      <c r="H371" s="19" t="n"/>
      <c r="I371" s="19" t="n"/>
      <c r="J371" s="13" t="n"/>
      <c r="K371" s="9">
        <f>IF(AND(C371&lt;&gt;"",N(D371)&gt;0,I371&lt;&gt;"Cancelado"),D371*IF(N(E371)&gt;0,E371,IFERROR(VLOOKUP(C371,Produtos!$A$4:$O$53,15,0),0))+N(G371),"")</f>
        <v/>
      </c>
      <c r="L371" s="9">
        <f>IF(K371="","",K371*IFERROR(VLOOKUP(H371,Config!$B$15:$C$19,2,0),0))</f>
        <v/>
      </c>
      <c r="M371" s="9">
        <f>IF(K371="","",D371*IFERROR(VLOOKUP(C371,Produtos!$A$4:$I$53,9,0),0))</f>
        <v/>
      </c>
      <c r="N371" s="9">
        <f>IF(K371="","",D371*IFERROR(VLOOKUP(C371,Produtos!$A$4:$J$53,10,0),0))</f>
        <v/>
      </c>
      <c r="O371" s="9">
        <f>IF(OR(K371="",F371=""),IF(K371="","",0),IFERROR(VLOOKUP(F371,Entrega!$A$4:$E$43,5,0),0))</f>
        <v/>
      </c>
      <c r="P371" s="9">
        <f>IF(K371="","",K371-L371-M371-N371-O371)</f>
        <v/>
      </c>
      <c r="Q371" s="9">
        <f>IF(K371="","",IF(I371="Entregue",0,K371-N(J371)))</f>
        <v/>
      </c>
      <c r="R371" s="12">
        <f>IF(ISNUMBER(A371),MONTH(A371),"")</f>
        <v/>
      </c>
      <c r="S371" s="12">
        <f>IF(ISNUMBER(A371),YEAR(A371),"")</f>
        <v/>
      </c>
    </row>
    <row r="372">
      <c r="A372" s="23" t="n"/>
      <c r="B372" s="19" t="n"/>
      <c r="C372" s="19" t="n"/>
      <c r="D372" s="7" t="n"/>
      <c r="E372" s="13" t="n"/>
      <c r="F372" s="19" t="n"/>
      <c r="G372" s="13" t="n"/>
      <c r="H372" s="19" t="n"/>
      <c r="I372" s="19" t="n"/>
      <c r="J372" s="13" t="n"/>
      <c r="K372" s="9">
        <f>IF(AND(C372&lt;&gt;"",N(D372)&gt;0,I372&lt;&gt;"Cancelado"),D372*IF(N(E372)&gt;0,E372,IFERROR(VLOOKUP(C372,Produtos!$A$4:$O$53,15,0),0))+N(G372),"")</f>
        <v/>
      </c>
      <c r="L372" s="9">
        <f>IF(K372="","",K372*IFERROR(VLOOKUP(H372,Config!$B$15:$C$19,2,0),0))</f>
        <v/>
      </c>
      <c r="M372" s="9">
        <f>IF(K372="","",D372*IFERROR(VLOOKUP(C372,Produtos!$A$4:$I$53,9,0),0))</f>
        <v/>
      </c>
      <c r="N372" s="9">
        <f>IF(K372="","",D372*IFERROR(VLOOKUP(C372,Produtos!$A$4:$J$53,10,0),0))</f>
        <v/>
      </c>
      <c r="O372" s="9">
        <f>IF(OR(K372="",F372=""),IF(K372="","",0),IFERROR(VLOOKUP(F372,Entrega!$A$4:$E$43,5,0),0))</f>
        <v/>
      </c>
      <c r="P372" s="9">
        <f>IF(K372="","",K372-L372-M372-N372-O372)</f>
        <v/>
      </c>
      <c r="Q372" s="9">
        <f>IF(K372="","",IF(I372="Entregue",0,K372-N(J372)))</f>
        <v/>
      </c>
      <c r="R372" s="12">
        <f>IF(ISNUMBER(A372),MONTH(A372),"")</f>
        <v/>
      </c>
      <c r="S372" s="12">
        <f>IF(ISNUMBER(A372),YEAR(A372),"")</f>
        <v/>
      </c>
    </row>
    <row r="373">
      <c r="A373" s="23" t="n"/>
      <c r="B373" s="19" t="n"/>
      <c r="C373" s="19" t="n"/>
      <c r="D373" s="7" t="n"/>
      <c r="E373" s="13" t="n"/>
      <c r="F373" s="19" t="n"/>
      <c r="G373" s="13" t="n"/>
      <c r="H373" s="19" t="n"/>
      <c r="I373" s="19" t="n"/>
      <c r="J373" s="13" t="n"/>
      <c r="K373" s="9">
        <f>IF(AND(C373&lt;&gt;"",N(D373)&gt;0,I373&lt;&gt;"Cancelado"),D373*IF(N(E373)&gt;0,E373,IFERROR(VLOOKUP(C373,Produtos!$A$4:$O$53,15,0),0))+N(G373),"")</f>
        <v/>
      </c>
      <c r="L373" s="9">
        <f>IF(K373="","",K373*IFERROR(VLOOKUP(H373,Config!$B$15:$C$19,2,0),0))</f>
        <v/>
      </c>
      <c r="M373" s="9">
        <f>IF(K373="","",D373*IFERROR(VLOOKUP(C373,Produtos!$A$4:$I$53,9,0),0))</f>
        <v/>
      </c>
      <c r="N373" s="9">
        <f>IF(K373="","",D373*IFERROR(VLOOKUP(C373,Produtos!$A$4:$J$53,10,0),0))</f>
        <v/>
      </c>
      <c r="O373" s="9">
        <f>IF(OR(K373="",F373=""),IF(K373="","",0),IFERROR(VLOOKUP(F373,Entrega!$A$4:$E$43,5,0),0))</f>
        <v/>
      </c>
      <c r="P373" s="9">
        <f>IF(K373="","",K373-L373-M373-N373-O373)</f>
        <v/>
      </c>
      <c r="Q373" s="9">
        <f>IF(K373="","",IF(I373="Entregue",0,K373-N(J373)))</f>
        <v/>
      </c>
      <c r="R373" s="12">
        <f>IF(ISNUMBER(A373),MONTH(A373),"")</f>
        <v/>
      </c>
      <c r="S373" s="12">
        <f>IF(ISNUMBER(A373),YEAR(A373),"")</f>
        <v/>
      </c>
    </row>
    <row r="374">
      <c r="A374" s="23" t="n"/>
      <c r="B374" s="19" t="n"/>
      <c r="C374" s="19" t="n"/>
      <c r="D374" s="7" t="n"/>
      <c r="E374" s="13" t="n"/>
      <c r="F374" s="19" t="n"/>
      <c r="G374" s="13" t="n"/>
      <c r="H374" s="19" t="n"/>
      <c r="I374" s="19" t="n"/>
      <c r="J374" s="13" t="n"/>
      <c r="K374" s="9">
        <f>IF(AND(C374&lt;&gt;"",N(D374)&gt;0,I374&lt;&gt;"Cancelado"),D374*IF(N(E374)&gt;0,E374,IFERROR(VLOOKUP(C374,Produtos!$A$4:$O$53,15,0),0))+N(G374),"")</f>
        <v/>
      </c>
      <c r="L374" s="9">
        <f>IF(K374="","",K374*IFERROR(VLOOKUP(H374,Config!$B$15:$C$19,2,0),0))</f>
        <v/>
      </c>
      <c r="M374" s="9">
        <f>IF(K374="","",D374*IFERROR(VLOOKUP(C374,Produtos!$A$4:$I$53,9,0),0))</f>
        <v/>
      </c>
      <c r="N374" s="9">
        <f>IF(K374="","",D374*IFERROR(VLOOKUP(C374,Produtos!$A$4:$J$53,10,0),0))</f>
        <v/>
      </c>
      <c r="O374" s="9">
        <f>IF(OR(K374="",F374=""),IF(K374="","",0),IFERROR(VLOOKUP(F374,Entrega!$A$4:$E$43,5,0),0))</f>
        <v/>
      </c>
      <c r="P374" s="9">
        <f>IF(K374="","",K374-L374-M374-N374-O374)</f>
        <v/>
      </c>
      <c r="Q374" s="9">
        <f>IF(K374="","",IF(I374="Entregue",0,K374-N(J374)))</f>
        <v/>
      </c>
      <c r="R374" s="12">
        <f>IF(ISNUMBER(A374),MONTH(A374),"")</f>
        <v/>
      </c>
      <c r="S374" s="12">
        <f>IF(ISNUMBER(A374),YEAR(A374),"")</f>
        <v/>
      </c>
    </row>
    <row r="375">
      <c r="A375" s="23" t="n"/>
      <c r="B375" s="19" t="n"/>
      <c r="C375" s="19" t="n"/>
      <c r="D375" s="7" t="n"/>
      <c r="E375" s="13" t="n"/>
      <c r="F375" s="19" t="n"/>
      <c r="G375" s="13" t="n"/>
      <c r="H375" s="19" t="n"/>
      <c r="I375" s="19" t="n"/>
      <c r="J375" s="13" t="n"/>
      <c r="K375" s="9">
        <f>IF(AND(C375&lt;&gt;"",N(D375)&gt;0,I375&lt;&gt;"Cancelado"),D375*IF(N(E375)&gt;0,E375,IFERROR(VLOOKUP(C375,Produtos!$A$4:$O$53,15,0),0))+N(G375),"")</f>
        <v/>
      </c>
      <c r="L375" s="9">
        <f>IF(K375="","",K375*IFERROR(VLOOKUP(H375,Config!$B$15:$C$19,2,0),0))</f>
        <v/>
      </c>
      <c r="M375" s="9">
        <f>IF(K375="","",D375*IFERROR(VLOOKUP(C375,Produtos!$A$4:$I$53,9,0),0))</f>
        <v/>
      </c>
      <c r="N375" s="9">
        <f>IF(K375="","",D375*IFERROR(VLOOKUP(C375,Produtos!$A$4:$J$53,10,0),0))</f>
        <v/>
      </c>
      <c r="O375" s="9">
        <f>IF(OR(K375="",F375=""),IF(K375="","",0),IFERROR(VLOOKUP(F375,Entrega!$A$4:$E$43,5,0),0))</f>
        <v/>
      </c>
      <c r="P375" s="9">
        <f>IF(K375="","",K375-L375-M375-N375-O375)</f>
        <v/>
      </c>
      <c r="Q375" s="9">
        <f>IF(K375="","",IF(I375="Entregue",0,K375-N(J375)))</f>
        <v/>
      </c>
      <c r="R375" s="12">
        <f>IF(ISNUMBER(A375),MONTH(A375),"")</f>
        <v/>
      </c>
      <c r="S375" s="12">
        <f>IF(ISNUMBER(A375),YEAR(A375),"")</f>
        <v/>
      </c>
    </row>
    <row r="376">
      <c r="A376" s="23" t="n"/>
      <c r="B376" s="19" t="n"/>
      <c r="C376" s="19" t="n"/>
      <c r="D376" s="7" t="n"/>
      <c r="E376" s="13" t="n"/>
      <c r="F376" s="19" t="n"/>
      <c r="G376" s="13" t="n"/>
      <c r="H376" s="19" t="n"/>
      <c r="I376" s="19" t="n"/>
      <c r="J376" s="13" t="n"/>
      <c r="K376" s="9">
        <f>IF(AND(C376&lt;&gt;"",N(D376)&gt;0,I376&lt;&gt;"Cancelado"),D376*IF(N(E376)&gt;0,E376,IFERROR(VLOOKUP(C376,Produtos!$A$4:$O$53,15,0),0))+N(G376),"")</f>
        <v/>
      </c>
      <c r="L376" s="9">
        <f>IF(K376="","",K376*IFERROR(VLOOKUP(H376,Config!$B$15:$C$19,2,0),0))</f>
        <v/>
      </c>
      <c r="M376" s="9">
        <f>IF(K376="","",D376*IFERROR(VLOOKUP(C376,Produtos!$A$4:$I$53,9,0),0))</f>
        <v/>
      </c>
      <c r="N376" s="9">
        <f>IF(K376="","",D376*IFERROR(VLOOKUP(C376,Produtos!$A$4:$J$53,10,0),0))</f>
        <v/>
      </c>
      <c r="O376" s="9">
        <f>IF(OR(K376="",F376=""),IF(K376="","",0),IFERROR(VLOOKUP(F376,Entrega!$A$4:$E$43,5,0),0))</f>
        <v/>
      </c>
      <c r="P376" s="9">
        <f>IF(K376="","",K376-L376-M376-N376-O376)</f>
        <v/>
      </c>
      <c r="Q376" s="9">
        <f>IF(K376="","",IF(I376="Entregue",0,K376-N(J376)))</f>
        <v/>
      </c>
      <c r="R376" s="12">
        <f>IF(ISNUMBER(A376),MONTH(A376),"")</f>
        <v/>
      </c>
      <c r="S376" s="12">
        <f>IF(ISNUMBER(A376),YEAR(A376),"")</f>
        <v/>
      </c>
    </row>
    <row r="377">
      <c r="A377" s="23" t="n"/>
      <c r="B377" s="19" t="n"/>
      <c r="C377" s="19" t="n"/>
      <c r="D377" s="7" t="n"/>
      <c r="E377" s="13" t="n"/>
      <c r="F377" s="19" t="n"/>
      <c r="G377" s="13" t="n"/>
      <c r="H377" s="19" t="n"/>
      <c r="I377" s="19" t="n"/>
      <c r="J377" s="13" t="n"/>
      <c r="K377" s="9">
        <f>IF(AND(C377&lt;&gt;"",N(D377)&gt;0,I377&lt;&gt;"Cancelado"),D377*IF(N(E377)&gt;0,E377,IFERROR(VLOOKUP(C377,Produtos!$A$4:$O$53,15,0),0))+N(G377),"")</f>
        <v/>
      </c>
      <c r="L377" s="9">
        <f>IF(K377="","",K377*IFERROR(VLOOKUP(H377,Config!$B$15:$C$19,2,0),0))</f>
        <v/>
      </c>
      <c r="M377" s="9">
        <f>IF(K377="","",D377*IFERROR(VLOOKUP(C377,Produtos!$A$4:$I$53,9,0),0))</f>
        <v/>
      </c>
      <c r="N377" s="9">
        <f>IF(K377="","",D377*IFERROR(VLOOKUP(C377,Produtos!$A$4:$J$53,10,0),0))</f>
        <v/>
      </c>
      <c r="O377" s="9">
        <f>IF(OR(K377="",F377=""),IF(K377="","",0),IFERROR(VLOOKUP(F377,Entrega!$A$4:$E$43,5,0),0))</f>
        <v/>
      </c>
      <c r="P377" s="9">
        <f>IF(K377="","",K377-L377-M377-N377-O377)</f>
        <v/>
      </c>
      <c r="Q377" s="9">
        <f>IF(K377="","",IF(I377="Entregue",0,K377-N(J377)))</f>
        <v/>
      </c>
      <c r="R377" s="12">
        <f>IF(ISNUMBER(A377),MONTH(A377),"")</f>
        <v/>
      </c>
      <c r="S377" s="12">
        <f>IF(ISNUMBER(A377),YEAR(A377),"")</f>
        <v/>
      </c>
    </row>
    <row r="378">
      <c r="A378" s="23" t="n"/>
      <c r="B378" s="19" t="n"/>
      <c r="C378" s="19" t="n"/>
      <c r="D378" s="7" t="n"/>
      <c r="E378" s="13" t="n"/>
      <c r="F378" s="19" t="n"/>
      <c r="G378" s="13" t="n"/>
      <c r="H378" s="19" t="n"/>
      <c r="I378" s="19" t="n"/>
      <c r="J378" s="13" t="n"/>
      <c r="K378" s="9">
        <f>IF(AND(C378&lt;&gt;"",N(D378)&gt;0,I378&lt;&gt;"Cancelado"),D378*IF(N(E378)&gt;0,E378,IFERROR(VLOOKUP(C378,Produtos!$A$4:$O$53,15,0),0))+N(G378),"")</f>
        <v/>
      </c>
      <c r="L378" s="9">
        <f>IF(K378="","",K378*IFERROR(VLOOKUP(H378,Config!$B$15:$C$19,2,0),0))</f>
        <v/>
      </c>
      <c r="M378" s="9">
        <f>IF(K378="","",D378*IFERROR(VLOOKUP(C378,Produtos!$A$4:$I$53,9,0),0))</f>
        <v/>
      </c>
      <c r="N378" s="9">
        <f>IF(K378="","",D378*IFERROR(VLOOKUP(C378,Produtos!$A$4:$J$53,10,0),0))</f>
        <v/>
      </c>
      <c r="O378" s="9">
        <f>IF(OR(K378="",F378=""),IF(K378="","",0),IFERROR(VLOOKUP(F378,Entrega!$A$4:$E$43,5,0),0))</f>
        <v/>
      </c>
      <c r="P378" s="9">
        <f>IF(K378="","",K378-L378-M378-N378-O378)</f>
        <v/>
      </c>
      <c r="Q378" s="9">
        <f>IF(K378="","",IF(I378="Entregue",0,K378-N(J378)))</f>
        <v/>
      </c>
      <c r="R378" s="12">
        <f>IF(ISNUMBER(A378),MONTH(A378),"")</f>
        <v/>
      </c>
      <c r="S378" s="12">
        <f>IF(ISNUMBER(A378),YEAR(A378),"")</f>
        <v/>
      </c>
    </row>
    <row r="379">
      <c r="A379" s="23" t="n"/>
      <c r="B379" s="19" t="n"/>
      <c r="C379" s="19" t="n"/>
      <c r="D379" s="7" t="n"/>
      <c r="E379" s="13" t="n"/>
      <c r="F379" s="19" t="n"/>
      <c r="G379" s="13" t="n"/>
      <c r="H379" s="19" t="n"/>
      <c r="I379" s="19" t="n"/>
      <c r="J379" s="13" t="n"/>
      <c r="K379" s="9">
        <f>IF(AND(C379&lt;&gt;"",N(D379)&gt;0,I379&lt;&gt;"Cancelado"),D379*IF(N(E379)&gt;0,E379,IFERROR(VLOOKUP(C379,Produtos!$A$4:$O$53,15,0),0))+N(G379),"")</f>
        <v/>
      </c>
      <c r="L379" s="9">
        <f>IF(K379="","",K379*IFERROR(VLOOKUP(H379,Config!$B$15:$C$19,2,0),0))</f>
        <v/>
      </c>
      <c r="M379" s="9">
        <f>IF(K379="","",D379*IFERROR(VLOOKUP(C379,Produtos!$A$4:$I$53,9,0),0))</f>
        <v/>
      </c>
      <c r="N379" s="9">
        <f>IF(K379="","",D379*IFERROR(VLOOKUP(C379,Produtos!$A$4:$J$53,10,0),0))</f>
        <v/>
      </c>
      <c r="O379" s="9">
        <f>IF(OR(K379="",F379=""),IF(K379="","",0),IFERROR(VLOOKUP(F379,Entrega!$A$4:$E$43,5,0),0))</f>
        <v/>
      </c>
      <c r="P379" s="9">
        <f>IF(K379="","",K379-L379-M379-N379-O379)</f>
        <v/>
      </c>
      <c r="Q379" s="9">
        <f>IF(K379="","",IF(I379="Entregue",0,K379-N(J379)))</f>
        <v/>
      </c>
      <c r="R379" s="12">
        <f>IF(ISNUMBER(A379),MONTH(A379),"")</f>
        <v/>
      </c>
      <c r="S379" s="12">
        <f>IF(ISNUMBER(A379),YEAR(A379),"")</f>
        <v/>
      </c>
    </row>
    <row r="380">
      <c r="A380" s="23" t="n"/>
      <c r="B380" s="19" t="n"/>
      <c r="C380" s="19" t="n"/>
      <c r="D380" s="7" t="n"/>
      <c r="E380" s="13" t="n"/>
      <c r="F380" s="19" t="n"/>
      <c r="G380" s="13" t="n"/>
      <c r="H380" s="19" t="n"/>
      <c r="I380" s="19" t="n"/>
      <c r="J380" s="13" t="n"/>
      <c r="K380" s="9">
        <f>IF(AND(C380&lt;&gt;"",N(D380)&gt;0,I380&lt;&gt;"Cancelado"),D380*IF(N(E380)&gt;0,E380,IFERROR(VLOOKUP(C380,Produtos!$A$4:$O$53,15,0),0))+N(G380),"")</f>
        <v/>
      </c>
      <c r="L380" s="9">
        <f>IF(K380="","",K380*IFERROR(VLOOKUP(H380,Config!$B$15:$C$19,2,0),0))</f>
        <v/>
      </c>
      <c r="M380" s="9">
        <f>IF(K380="","",D380*IFERROR(VLOOKUP(C380,Produtos!$A$4:$I$53,9,0),0))</f>
        <v/>
      </c>
      <c r="N380" s="9">
        <f>IF(K380="","",D380*IFERROR(VLOOKUP(C380,Produtos!$A$4:$J$53,10,0),0))</f>
        <v/>
      </c>
      <c r="O380" s="9">
        <f>IF(OR(K380="",F380=""),IF(K380="","",0),IFERROR(VLOOKUP(F380,Entrega!$A$4:$E$43,5,0),0))</f>
        <v/>
      </c>
      <c r="P380" s="9">
        <f>IF(K380="","",K380-L380-M380-N380-O380)</f>
        <v/>
      </c>
      <c r="Q380" s="9">
        <f>IF(K380="","",IF(I380="Entregue",0,K380-N(J380)))</f>
        <v/>
      </c>
      <c r="R380" s="12">
        <f>IF(ISNUMBER(A380),MONTH(A380),"")</f>
        <v/>
      </c>
      <c r="S380" s="12">
        <f>IF(ISNUMBER(A380),YEAR(A380),"")</f>
        <v/>
      </c>
    </row>
    <row r="381">
      <c r="A381" s="23" t="n"/>
      <c r="B381" s="19" t="n"/>
      <c r="C381" s="19" t="n"/>
      <c r="D381" s="7" t="n"/>
      <c r="E381" s="13" t="n"/>
      <c r="F381" s="19" t="n"/>
      <c r="G381" s="13" t="n"/>
      <c r="H381" s="19" t="n"/>
      <c r="I381" s="19" t="n"/>
      <c r="J381" s="13" t="n"/>
      <c r="K381" s="9">
        <f>IF(AND(C381&lt;&gt;"",N(D381)&gt;0,I381&lt;&gt;"Cancelado"),D381*IF(N(E381)&gt;0,E381,IFERROR(VLOOKUP(C381,Produtos!$A$4:$O$53,15,0),0))+N(G381),"")</f>
        <v/>
      </c>
      <c r="L381" s="9">
        <f>IF(K381="","",K381*IFERROR(VLOOKUP(H381,Config!$B$15:$C$19,2,0),0))</f>
        <v/>
      </c>
      <c r="M381" s="9">
        <f>IF(K381="","",D381*IFERROR(VLOOKUP(C381,Produtos!$A$4:$I$53,9,0),0))</f>
        <v/>
      </c>
      <c r="N381" s="9">
        <f>IF(K381="","",D381*IFERROR(VLOOKUP(C381,Produtos!$A$4:$J$53,10,0),0))</f>
        <v/>
      </c>
      <c r="O381" s="9">
        <f>IF(OR(K381="",F381=""),IF(K381="","",0),IFERROR(VLOOKUP(F381,Entrega!$A$4:$E$43,5,0),0))</f>
        <v/>
      </c>
      <c r="P381" s="9">
        <f>IF(K381="","",K381-L381-M381-N381-O381)</f>
        <v/>
      </c>
      <c r="Q381" s="9">
        <f>IF(K381="","",IF(I381="Entregue",0,K381-N(J381)))</f>
        <v/>
      </c>
      <c r="R381" s="12">
        <f>IF(ISNUMBER(A381),MONTH(A381),"")</f>
        <v/>
      </c>
      <c r="S381" s="12">
        <f>IF(ISNUMBER(A381),YEAR(A381),"")</f>
        <v/>
      </c>
    </row>
    <row r="382">
      <c r="A382" s="23" t="n"/>
      <c r="B382" s="19" t="n"/>
      <c r="C382" s="19" t="n"/>
      <c r="D382" s="7" t="n"/>
      <c r="E382" s="13" t="n"/>
      <c r="F382" s="19" t="n"/>
      <c r="G382" s="13" t="n"/>
      <c r="H382" s="19" t="n"/>
      <c r="I382" s="19" t="n"/>
      <c r="J382" s="13" t="n"/>
      <c r="K382" s="9">
        <f>IF(AND(C382&lt;&gt;"",N(D382)&gt;0,I382&lt;&gt;"Cancelado"),D382*IF(N(E382)&gt;0,E382,IFERROR(VLOOKUP(C382,Produtos!$A$4:$O$53,15,0),0))+N(G382),"")</f>
        <v/>
      </c>
      <c r="L382" s="9">
        <f>IF(K382="","",K382*IFERROR(VLOOKUP(H382,Config!$B$15:$C$19,2,0),0))</f>
        <v/>
      </c>
      <c r="M382" s="9">
        <f>IF(K382="","",D382*IFERROR(VLOOKUP(C382,Produtos!$A$4:$I$53,9,0),0))</f>
        <v/>
      </c>
      <c r="N382" s="9">
        <f>IF(K382="","",D382*IFERROR(VLOOKUP(C382,Produtos!$A$4:$J$53,10,0),0))</f>
        <v/>
      </c>
      <c r="O382" s="9">
        <f>IF(OR(K382="",F382=""),IF(K382="","",0),IFERROR(VLOOKUP(F382,Entrega!$A$4:$E$43,5,0),0))</f>
        <v/>
      </c>
      <c r="P382" s="9">
        <f>IF(K382="","",K382-L382-M382-N382-O382)</f>
        <v/>
      </c>
      <c r="Q382" s="9">
        <f>IF(K382="","",IF(I382="Entregue",0,K382-N(J382)))</f>
        <v/>
      </c>
      <c r="R382" s="12">
        <f>IF(ISNUMBER(A382),MONTH(A382),"")</f>
        <v/>
      </c>
      <c r="S382" s="12">
        <f>IF(ISNUMBER(A382),YEAR(A382),"")</f>
        <v/>
      </c>
    </row>
    <row r="383">
      <c r="A383" s="23" t="n"/>
      <c r="B383" s="19" t="n"/>
      <c r="C383" s="19" t="n"/>
      <c r="D383" s="7" t="n"/>
      <c r="E383" s="13" t="n"/>
      <c r="F383" s="19" t="n"/>
      <c r="G383" s="13" t="n"/>
      <c r="H383" s="19" t="n"/>
      <c r="I383" s="19" t="n"/>
      <c r="J383" s="13" t="n"/>
      <c r="K383" s="9">
        <f>IF(AND(C383&lt;&gt;"",N(D383)&gt;0,I383&lt;&gt;"Cancelado"),D383*IF(N(E383)&gt;0,E383,IFERROR(VLOOKUP(C383,Produtos!$A$4:$O$53,15,0),0))+N(G383),"")</f>
        <v/>
      </c>
      <c r="L383" s="9">
        <f>IF(K383="","",K383*IFERROR(VLOOKUP(H383,Config!$B$15:$C$19,2,0),0))</f>
        <v/>
      </c>
      <c r="M383" s="9">
        <f>IF(K383="","",D383*IFERROR(VLOOKUP(C383,Produtos!$A$4:$I$53,9,0),0))</f>
        <v/>
      </c>
      <c r="N383" s="9">
        <f>IF(K383="","",D383*IFERROR(VLOOKUP(C383,Produtos!$A$4:$J$53,10,0),0))</f>
        <v/>
      </c>
      <c r="O383" s="9">
        <f>IF(OR(K383="",F383=""),IF(K383="","",0),IFERROR(VLOOKUP(F383,Entrega!$A$4:$E$43,5,0),0))</f>
        <v/>
      </c>
      <c r="P383" s="9">
        <f>IF(K383="","",K383-L383-M383-N383-O383)</f>
        <v/>
      </c>
      <c r="Q383" s="9">
        <f>IF(K383="","",IF(I383="Entregue",0,K383-N(J383)))</f>
        <v/>
      </c>
      <c r="R383" s="12">
        <f>IF(ISNUMBER(A383),MONTH(A383),"")</f>
        <v/>
      </c>
      <c r="S383" s="12">
        <f>IF(ISNUMBER(A383),YEAR(A383),"")</f>
        <v/>
      </c>
    </row>
    <row r="384">
      <c r="A384" s="23" t="n"/>
      <c r="B384" s="19" t="n"/>
      <c r="C384" s="19" t="n"/>
      <c r="D384" s="7" t="n"/>
      <c r="E384" s="13" t="n"/>
      <c r="F384" s="19" t="n"/>
      <c r="G384" s="13" t="n"/>
      <c r="H384" s="19" t="n"/>
      <c r="I384" s="19" t="n"/>
      <c r="J384" s="13" t="n"/>
      <c r="K384" s="9">
        <f>IF(AND(C384&lt;&gt;"",N(D384)&gt;0,I384&lt;&gt;"Cancelado"),D384*IF(N(E384)&gt;0,E384,IFERROR(VLOOKUP(C384,Produtos!$A$4:$O$53,15,0),0))+N(G384),"")</f>
        <v/>
      </c>
      <c r="L384" s="9">
        <f>IF(K384="","",K384*IFERROR(VLOOKUP(H384,Config!$B$15:$C$19,2,0),0))</f>
        <v/>
      </c>
      <c r="M384" s="9">
        <f>IF(K384="","",D384*IFERROR(VLOOKUP(C384,Produtos!$A$4:$I$53,9,0),0))</f>
        <v/>
      </c>
      <c r="N384" s="9">
        <f>IF(K384="","",D384*IFERROR(VLOOKUP(C384,Produtos!$A$4:$J$53,10,0),0))</f>
        <v/>
      </c>
      <c r="O384" s="9">
        <f>IF(OR(K384="",F384=""),IF(K384="","",0),IFERROR(VLOOKUP(F384,Entrega!$A$4:$E$43,5,0),0))</f>
        <v/>
      </c>
      <c r="P384" s="9">
        <f>IF(K384="","",K384-L384-M384-N384-O384)</f>
        <v/>
      </c>
      <c r="Q384" s="9">
        <f>IF(K384="","",IF(I384="Entregue",0,K384-N(J384)))</f>
        <v/>
      </c>
      <c r="R384" s="12">
        <f>IF(ISNUMBER(A384),MONTH(A384),"")</f>
        <v/>
      </c>
      <c r="S384" s="12">
        <f>IF(ISNUMBER(A384),YEAR(A384),"")</f>
        <v/>
      </c>
    </row>
    <row r="385">
      <c r="A385" s="23" t="n"/>
      <c r="B385" s="19" t="n"/>
      <c r="C385" s="19" t="n"/>
      <c r="D385" s="7" t="n"/>
      <c r="E385" s="13" t="n"/>
      <c r="F385" s="19" t="n"/>
      <c r="G385" s="13" t="n"/>
      <c r="H385" s="19" t="n"/>
      <c r="I385" s="19" t="n"/>
      <c r="J385" s="13" t="n"/>
      <c r="K385" s="9">
        <f>IF(AND(C385&lt;&gt;"",N(D385)&gt;0,I385&lt;&gt;"Cancelado"),D385*IF(N(E385)&gt;0,E385,IFERROR(VLOOKUP(C385,Produtos!$A$4:$O$53,15,0),0))+N(G385),"")</f>
        <v/>
      </c>
      <c r="L385" s="9">
        <f>IF(K385="","",K385*IFERROR(VLOOKUP(H385,Config!$B$15:$C$19,2,0),0))</f>
        <v/>
      </c>
      <c r="M385" s="9">
        <f>IF(K385="","",D385*IFERROR(VLOOKUP(C385,Produtos!$A$4:$I$53,9,0),0))</f>
        <v/>
      </c>
      <c r="N385" s="9">
        <f>IF(K385="","",D385*IFERROR(VLOOKUP(C385,Produtos!$A$4:$J$53,10,0),0))</f>
        <v/>
      </c>
      <c r="O385" s="9">
        <f>IF(OR(K385="",F385=""),IF(K385="","",0),IFERROR(VLOOKUP(F385,Entrega!$A$4:$E$43,5,0),0))</f>
        <v/>
      </c>
      <c r="P385" s="9">
        <f>IF(K385="","",K385-L385-M385-N385-O385)</f>
        <v/>
      </c>
      <c r="Q385" s="9">
        <f>IF(K385="","",IF(I385="Entregue",0,K385-N(J385)))</f>
        <v/>
      </c>
      <c r="R385" s="12">
        <f>IF(ISNUMBER(A385),MONTH(A385),"")</f>
        <v/>
      </c>
      <c r="S385" s="12">
        <f>IF(ISNUMBER(A385),YEAR(A385),"")</f>
        <v/>
      </c>
    </row>
    <row r="386">
      <c r="A386" s="23" t="n"/>
      <c r="B386" s="19" t="n"/>
      <c r="C386" s="19" t="n"/>
      <c r="D386" s="7" t="n"/>
      <c r="E386" s="13" t="n"/>
      <c r="F386" s="19" t="n"/>
      <c r="G386" s="13" t="n"/>
      <c r="H386" s="19" t="n"/>
      <c r="I386" s="19" t="n"/>
      <c r="J386" s="13" t="n"/>
      <c r="K386" s="9">
        <f>IF(AND(C386&lt;&gt;"",N(D386)&gt;0,I386&lt;&gt;"Cancelado"),D386*IF(N(E386)&gt;0,E386,IFERROR(VLOOKUP(C386,Produtos!$A$4:$O$53,15,0),0))+N(G386),"")</f>
        <v/>
      </c>
      <c r="L386" s="9">
        <f>IF(K386="","",K386*IFERROR(VLOOKUP(H386,Config!$B$15:$C$19,2,0),0))</f>
        <v/>
      </c>
      <c r="M386" s="9">
        <f>IF(K386="","",D386*IFERROR(VLOOKUP(C386,Produtos!$A$4:$I$53,9,0),0))</f>
        <v/>
      </c>
      <c r="N386" s="9">
        <f>IF(K386="","",D386*IFERROR(VLOOKUP(C386,Produtos!$A$4:$J$53,10,0),0))</f>
        <v/>
      </c>
      <c r="O386" s="9">
        <f>IF(OR(K386="",F386=""),IF(K386="","",0),IFERROR(VLOOKUP(F386,Entrega!$A$4:$E$43,5,0),0))</f>
        <v/>
      </c>
      <c r="P386" s="9">
        <f>IF(K386="","",K386-L386-M386-N386-O386)</f>
        <v/>
      </c>
      <c r="Q386" s="9">
        <f>IF(K386="","",IF(I386="Entregue",0,K386-N(J386)))</f>
        <v/>
      </c>
      <c r="R386" s="12">
        <f>IF(ISNUMBER(A386),MONTH(A386),"")</f>
        <v/>
      </c>
      <c r="S386" s="12">
        <f>IF(ISNUMBER(A386),YEAR(A386),"")</f>
        <v/>
      </c>
    </row>
    <row r="387">
      <c r="A387" s="23" t="n"/>
      <c r="B387" s="19" t="n"/>
      <c r="C387" s="19" t="n"/>
      <c r="D387" s="7" t="n"/>
      <c r="E387" s="13" t="n"/>
      <c r="F387" s="19" t="n"/>
      <c r="G387" s="13" t="n"/>
      <c r="H387" s="19" t="n"/>
      <c r="I387" s="19" t="n"/>
      <c r="J387" s="13" t="n"/>
      <c r="K387" s="9">
        <f>IF(AND(C387&lt;&gt;"",N(D387)&gt;0,I387&lt;&gt;"Cancelado"),D387*IF(N(E387)&gt;0,E387,IFERROR(VLOOKUP(C387,Produtos!$A$4:$O$53,15,0),0))+N(G387),"")</f>
        <v/>
      </c>
      <c r="L387" s="9">
        <f>IF(K387="","",K387*IFERROR(VLOOKUP(H387,Config!$B$15:$C$19,2,0),0))</f>
        <v/>
      </c>
      <c r="M387" s="9">
        <f>IF(K387="","",D387*IFERROR(VLOOKUP(C387,Produtos!$A$4:$I$53,9,0),0))</f>
        <v/>
      </c>
      <c r="N387" s="9">
        <f>IF(K387="","",D387*IFERROR(VLOOKUP(C387,Produtos!$A$4:$J$53,10,0),0))</f>
        <v/>
      </c>
      <c r="O387" s="9">
        <f>IF(OR(K387="",F387=""),IF(K387="","",0),IFERROR(VLOOKUP(F387,Entrega!$A$4:$E$43,5,0),0))</f>
        <v/>
      </c>
      <c r="P387" s="9">
        <f>IF(K387="","",K387-L387-M387-N387-O387)</f>
        <v/>
      </c>
      <c r="Q387" s="9">
        <f>IF(K387="","",IF(I387="Entregue",0,K387-N(J387)))</f>
        <v/>
      </c>
      <c r="R387" s="12">
        <f>IF(ISNUMBER(A387),MONTH(A387),"")</f>
        <v/>
      </c>
      <c r="S387" s="12">
        <f>IF(ISNUMBER(A387),YEAR(A387),"")</f>
        <v/>
      </c>
    </row>
    <row r="388">
      <c r="A388" s="23" t="n"/>
      <c r="B388" s="19" t="n"/>
      <c r="C388" s="19" t="n"/>
      <c r="D388" s="7" t="n"/>
      <c r="E388" s="13" t="n"/>
      <c r="F388" s="19" t="n"/>
      <c r="G388" s="13" t="n"/>
      <c r="H388" s="19" t="n"/>
      <c r="I388" s="19" t="n"/>
      <c r="J388" s="13" t="n"/>
      <c r="K388" s="9">
        <f>IF(AND(C388&lt;&gt;"",N(D388)&gt;0,I388&lt;&gt;"Cancelado"),D388*IF(N(E388)&gt;0,E388,IFERROR(VLOOKUP(C388,Produtos!$A$4:$O$53,15,0),0))+N(G388),"")</f>
        <v/>
      </c>
      <c r="L388" s="9">
        <f>IF(K388="","",K388*IFERROR(VLOOKUP(H388,Config!$B$15:$C$19,2,0),0))</f>
        <v/>
      </c>
      <c r="M388" s="9">
        <f>IF(K388="","",D388*IFERROR(VLOOKUP(C388,Produtos!$A$4:$I$53,9,0),0))</f>
        <v/>
      </c>
      <c r="N388" s="9">
        <f>IF(K388="","",D388*IFERROR(VLOOKUP(C388,Produtos!$A$4:$J$53,10,0),0))</f>
        <v/>
      </c>
      <c r="O388" s="9">
        <f>IF(OR(K388="",F388=""),IF(K388="","",0),IFERROR(VLOOKUP(F388,Entrega!$A$4:$E$43,5,0),0))</f>
        <v/>
      </c>
      <c r="P388" s="9">
        <f>IF(K388="","",K388-L388-M388-N388-O388)</f>
        <v/>
      </c>
      <c r="Q388" s="9">
        <f>IF(K388="","",IF(I388="Entregue",0,K388-N(J388)))</f>
        <v/>
      </c>
      <c r="R388" s="12">
        <f>IF(ISNUMBER(A388),MONTH(A388),"")</f>
        <v/>
      </c>
      <c r="S388" s="12">
        <f>IF(ISNUMBER(A388),YEAR(A388),"")</f>
        <v/>
      </c>
    </row>
    <row r="389">
      <c r="A389" s="23" t="n"/>
      <c r="B389" s="19" t="n"/>
      <c r="C389" s="19" t="n"/>
      <c r="D389" s="7" t="n"/>
      <c r="E389" s="13" t="n"/>
      <c r="F389" s="19" t="n"/>
      <c r="G389" s="13" t="n"/>
      <c r="H389" s="19" t="n"/>
      <c r="I389" s="19" t="n"/>
      <c r="J389" s="13" t="n"/>
      <c r="K389" s="9">
        <f>IF(AND(C389&lt;&gt;"",N(D389)&gt;0,I389&lt;&gt;"Cancelado"),D389*IF(N(E389)&gt;0,E389,IFERROR(VLOOKUP(C389,Produtos!$A$4:$O$53,15,0),0))+N(G389),"")</f>
        <v/>
      </c>
      <c r="L389" s="9">
        <f>IF(K389="","",K389*IFERROR(VLOOKUP(H389,Config!$B$15:$C$19,2,0),0))</f>
        <v/>
      </c>
      <c r="M389" s="9">
        <f>IF(K389="","",D389*IFERROR(VLOOKUP(C389,Produtos!$A$4:$I$53,9,0),0))</f>
        <v/>
      </c>
      <c r="N389" s="9">
        <f>IF(K389="","",D389*IFERROR(VLOOKUP(C389,Produtos!$A$4:$J$53,10,0),0))</f>
        <v/>
      </c>
      <c r="O389" s="9">
        <f>IF(OR(K389="",F389=""),IF(K389="","",0),IFERROR(VLOOKUP(F389,Entrega!$A$4:$E$43,5,0),0))</f>
        <v/>
      </c>
      <c r="P389" s="9">
        <f>IF(K389="","",K389-L389-M389-N389-O389)</f>
        <v/>
      </c>
      <c r="Q389" s="9">
        <f>IF(K389="","",IF(I389="Entregue",0,K389-N(J389)))</f>
        <v/>
      </c>
      <c r="R389" s="12">
        <f>IF(ISNUMBER(A389),MONTH(A389),"")</f>
        <v/>
      </c>
      <c r="S389" s="12">
        <f>IF(ISNUMBER(A389),YEAR(A389),"")</f>
        <v/>
      </c>
    </row>
    <row r="390">
      <c r="A390" s="23" t="n"/>
      <c r="B390" s="19" t="n"/>
      <c r="C390" s="19" t="n"/>
      <c r="D390" s="7" t="n"/>
      <c r="E390" s="13" t="n"/>
      <c r="F390" s="19" t="n"/>
      <c r="G390" s="13" t="n"/>
      <c r="H390" s="19" t="n"/>
      <c r="I390" s="19" t="n"/>
      <c r="J390" s="13" t="n"/>
      <c r="K390" s="9">
        <f>IF(AND(C390&lt;&gt;"",N(D390)&gt;0,I390&lt;&gt;"Cancelado"),D390*IF(N(E390)&gt;0,E390,IFERROR(VLOOKUP(C390,Produtos!$A$4:$O$53,15,0),0))+N(G390),"")</f>
        <v/>
      </c>
      <c r="L390" s="9">
        <f>IF(K390="","",K390*IFERROR(VLOOKUP(H390,Config!$B$15:$C$19,2,0),0))</f>
        <v/>
      </c>
      <c r="M390" s="9">
        <f>IF(K390="","",D390*IFERROR(VLOOKUP(C390,Produtos!$A$4:$I$53,9,0),0))</f>
        <v/>
      </c>
      <c r="N390" s="9">
        <f>IF(K390="","",D390*IFERROR(VLOOKUP(C390,Produtos!$A$4:$J$53,10,0),0))</f>
        <v/>
      </c>
      <c r="O390" s="9">
        <f>IF(OR(K390="",F390=""),IF(K390="","",0),IFERROR(VLOOKUP(F390,Entrega!$A$4:$E$43,5,0),0))</f>
        <v/>
      </c>
      <c r="P390" s="9">
        <f>IF(K390="","",K390-L390-M390-N390-O390)</f>
        <v/>
      </c>
      <c r="Q390" s="9">
        <f>IF(K390="","",IF(I390="Entregue",0,K390-N(J390)))</f>
        <v/>
      </c>
      <c r="R390" s="12">
        <f>IF(ISNUMBER(A390),MONTH(A390),"")</f>
        <v/>
      </c>
      <c r="S390" s="12">
        <f>IF(ISNUMBER(A390),YEAR(A390),"")</f>
        <v/>
      </c>
    </row>
    <row r="391">
      <c r="A391" s="23" t="n"/>
      <c r="B391" s="19" t="n"/>
      <c r="C391" s="19" t="n"/>
      <c r="D391" s="7" t="n"/>
      <c r="E391" s="13" t="n"/>
      <c r="F391" s="19" t="n"/>
      <c r="G391" s="13" t="n"/>
      <c r="H391" s="19" t="n"/>
      <c r="I391" s="19" t="n"/>
      <c r="J391" s="13" t="n"/>
      <c r="K391" s="9">
        <f>IF(AND(C391&lt;&gt;"",N(D391)&gt;0,I391&lt;&gt;"Cancelado"),D391*IF(N(E391)&gt;0,E391,IFERROR(VLOOKUP(C391,Produtos!$A$4:$O$53,15,0),0))+N(G391),"")</f>
        <v/>
      </c>
      <c r="L391" s="9">
        <f>IF(K391="","",K391*IFERROR(VLOOKUP(H391,Config!$B$15:$C$19,2,0),0))</f>
        <v/>
      </c>
      <c r="M391" s="9">
        <f>IF(K391="","",D391*IFERROR(VLOOKUP(C391,Produtos!$A$4:$I$53,9,0),0))</f>
        <v/>
      </c>
      <c r="N391" s="9">
        <f>IF(K391="","",D391*IFERROR(VLOOKUP(C391,Produtos!$A$4:$J$53,10,0),0))</f>
        <v/>
      </c>
      <c r="O391" s="9">
        <f>IF(OR(K391="",F391=""),IF(K391="","",0),IFERROR(VLOOKUP(F391,Entrega!$A$4:$E$43,5,0),0))</f>
        <v/>
      </c>
      <c r="P391" s="9">
        <f>IF(K391="","",K391-L391-M391-N391-O391)</f>
        <v/>
      </c>
      <c r="Q391" s="9">
        <f>IF(K391="","",IF(I391="Entregue",0,K391-N(J391)))</f>
        <v/>
      </c>
      <c r="R391" s="12">
        <f>IF(ISNUMBER(A391),MONTH(A391),"")</f>
        <v/>
      </c>
      <c r="S391" s="12">
        <f>IF(ISNUMBER(A391),YEAR(A391),"")</f>
        <v/>
      </c>
    </row>
    <row r="392">
      <c r="A392" s="23" t="n"/>
      <c r="B392" s="19" t="n"/>
      <c r="C392" s="19" t="n"/>
      <c r="D392" s="7" t="n"/>
      <c r="E392" s="13" t="n"/>
      <c r="F392" s="19" t="n"/>
      <c r="G392" s="13" t="n"/>
      <c r="H392" s="19" t="n"/>
      <c r="I392" s="19" t="n"/>
      <c r="J392" s="13" t="n"/>
      <c r="K392" s="9">
        <f>IF(AND(C392&lt;&gt;"",N(D392)&gt;0,I392&lt;&gt;"Cancelado"),D392*IF(N(E392)&gt;0,E392,IFERROR(VLOOKUP(C392,Produtos!$A$4:$O$53,15,0),0))+N(G392),"")</f>
        <v/>
      </c>
      <c r="L392" s="9">
        <f>IF(K392="","",K392*IFERROR(VLOOKUP(H392,Config!$B$15:$C$19,2,0),0))</f>
        <v/>
      </c>
      <c r="M392" s="9">
        <f>IF(K392="","",D392*IFERROR(VLOOKUP(C392,Produtos!$A$4:$I$53,9,0),0))</f>
        <v/>
      </c>
      <c r="N392" s="9">
        <f>IF(K392="","",D392*IFERROR(VLOOKUP(C392,Produtos!$A$4:$J$53,10,0),0))</f>
        <v/>
      </c>
      <c r="O392" s="9">
        <f>IF(OR(K392="",F392=""),IF(K392="","",0),IFERROR(VLOOKUP(F392,Entrega!$A$4:$E$43,5,0),0))</f>
        <v/>
      </c>
      <c r="P392" s="9">
        <f>IF(K392="","",K392-L392-M392-N392-O392)</f>
        <v/>
      </c>
      <c r="Q392" s="9">
        <f>IF(K392="","",IF(I392="Entregue",0,K392-N(J392)))</f>
        <v/>
      </c>
      <c r="R392" s="12">
        <f>IF(ISNUMBER(A392),MONTH(A392),"")</f>
        <v/>
      </c>
      <c r="S392" s="12">
        <f>IF(ISNUMBER(A392),YEAR(A392),"")</f>
        <v/>
      </c>
    </row>
    <row r="393">
      <c r="A393" s="23" t="n"/>
      <c r="B393" s="19" t="n"/>
      <c r="C393" s="19" t="n"/>
      <c r="D393" s="7" t="n"/>
      <c r="E393" s="13" t="n"/>
      <c r="F393" s="19" t="n"/>
      <c r="G393" s="13" t="n"/>
      <c r="H393" s="19" t="n"/>
      <c r="I393" s="19" t="n"/>
      <c r="J393" s="13" t="n"/>
      <c r="K393" s="9">
        <f>IF(AND(C393&lt;&gt;"",N(D393)&gt;0,I393&lt;&gt;"Cancelado"),D393*IF(N(E393)&gt;0,E393,IFERROR(VLOOKUP(C393,Produtos!$A$4:$O$53,15,0),0))+N(G393),"")</f>
        <v/>
      </c>
      <c r="L393" s="9">
        <f>IF(K393="","",K393*IFERROR(VLOOKUP(H393,Config!$B$15:$C$19,2,0),0))</f>
        <v/>
      </c>
      <c r="M393" s="9">
        <f>IF(K393="","",D393*IFERROR(VLOOKUP(C393,Produtos!$A$4:$I$53,9,0),0))</f>
        <v/>
      </c>
      <c r="N393" s="9">
        <f>IF(K393="","",D393*IFERROR(VLOOKUP(C393,Produtos!$A$4:$J$53,10,0),0))</f>
        <v/>
      </c>
      <c r="O393" s="9">
        <f>IF(OR(K393="",F393=""),IF(K393="","",0),IFERROR(VLOOKUP(F393,Entrega!$A$4:$E$43,5,0),0))</f>
        <v/>
      </c>
      <c r="P393" s="9">
        <f>IF(K393="","",K393-L393-M393-N393-O393)</f>
        <v/>
      </c>
      <c r="Q393" s="9">
        <f>IF(K393="","",IF(I393="Entregue",0,K393-N(J393)))</f>
        <v/>
      </c>
      <c r="R393" s="12">
        <f>IF(ISNUMBER(A393),MONTH(A393),"")</f>
        <v/>
      </c>
      <c r="S393" s="12">
        <f>IF(ISNUMBER(A393),YEAR(A393),"")</f>
        <v/>
      </c>
    </row>
    <row r="394">
      <c r="A394" s="23" t="n"/>
      <c r="B394" s="19" t="n"/>
      <c r="C394" s="19" t="n"/>
      <c r="D394" s="7" t="n"/>
      <c r="E394" s="13" t="n"/>
      <c r="F394" s="19" t="n"/>
      <c r="G394" s="13" t="n"/>
      <c r="H394" s="19" t="n"/>
      <c r="I394" s="19" t="n"/>
      <c r="J394" s="13" t="n"/>
      <c r="K394" s="9">
        <f>IF(AND(C394&lt;&gt;"",N(D394)&gt;0,I394&lt;&gt;"Cancelado"),D394*IF(N(E394)&gt;0,E394,IFERROR(VLOOKUP(C394,Produtos!$A$4:$O$53,15,0),0))+N(G394),"")</f>
        <v/>
      </c>
      <c r="L394" s="9">
        <f>IF(K394="","",K394*IFERROR(VLOOKUP(H394,Config!$B$15:$C$19,2,0),0))</f>
        <v/>
      </c>
      <c r="M394" s="9">
        <f>IF(K394="","",D394*IFERROR(VLOOKUP(C394,Produtos!$A$4:$I$53,9,0),0))</f>
        <v/>
      </c>
      <c r="N394" s="9">
        <f>IF(K394="","",D394*IFERROR(VLOOKUP(C394,Produtos!$A$4:$J$53,10,0),0))</f>
        <v/>
      </c>
      <c r="O394" s="9">
        <f>IF(OR(K394="",F394=""),IF(K394="","",0),IFERROR(VLOOKUP(F394,Entrega!$A$4:$E$43,5,0),0))</f>
        <v/>
      </c>
      <c r="P394" s="9">
        <f>IF(K394="","",K394-L394-M394-N394-O394)</f>
        <v/>
      </c>
      <c r="Q394" s="9">
        <f>IF(K394="","",IF(I394="Entregue",0,K394-N(J394)))</f>
        <v/>
      </c>
      <c r="R394" s="12">
        <f>IF(ISNUMBER(A394),MONTH(A394),"")</f>
        <v/>
      </c>
      <c r="S394" s="12">
        <f>IF(ISNUMBER(A394),YEAR(A394),"")</f>
        <v/>
      </c>
    </row>
    <row r="395">
      <c r="A395" s="23" t="n"/>
      <c r="B395" s="19" t="n"/>
      <c r="C395" s="19" t="n"/>
      <c r="D395" s="7" t="n"/>
      <c r="E395" s="13" t="n"/>
      <c r="F395" s="19" t="n"/>
      <c r="G395" s="13" t="n"/>
      <c r="H395" s="19" t="n"/>
      <c r="I395" s="19" t="n"/>
      <c r="J395" s="13" t="n"/>
      <c r="K395" s="9">
        <f>IF(AND(C395&lt;&gt;"",N(D395)&gt;0,I395&lt;&gt;"Cancelado"),D395*IF(N(E395)&gt;0,E395,IFERROR(VLOOKUP(C395,Produtos!$A$4:$O$53,15,0),0))+N(G395),"")</f>
        <v/>
      </c>
      <c r="L395" s="9">
        <f>IF(K395="","",K395*IFERROR(VLOOKUP(H395,Config!$B$15:$C$19,2,0),0))</f>
        <v/>
      </c>
      <c r="M395" s="9">
        <f>IF(K395="","",D395*IFERROR(VLOOKUP(C395,Produtos!$A$4:$I$53,9,0),0))</f>
        <v/>
      </c>
      <c r="N395" s="9">
        <f>IF(K395="","",D395*IFERROR(VLOOKUP(C395,Produtos!$A$4:$J$53,10,0),0))</f>
        <v/>
      </c>
      <c r="O395" s="9">
        <f>IF(OR(K395="",F395=""),IF(K395="","",0),IFERROR(VLOOKUP(F395,Entrega!$A$4:$E$43,5,0),0))</f>
        <v/>
      </c>
      <c r="P395" s="9">
        <f>IF(K395="","",K395-L395-M395-N395-O395)</f>
        <v/>
      </c>
      <c r="Q395" s="9">
        <f>IF(K395="","",IF(I395="Entregue",0,K395-N(J395)))</f>
        <v/>
      </c>
      <c r="R395" s="12">
        <f>IF(ISNUMBER(A395),MONTH(A395),"")</f>
        <v/>
      </c>
      <c r="S395" s="12">
        <f>IF(ISNUMBER(A395),YEAR(A395),"")</f>
        <v/>
      </c>
    </row>
    <row r="396">
      <c r="A396" s="23" t="n"/>
      <c r="B396" s="19" t="n"/>
      <c r="C396" s="19" t="n"/>
      <c r="D396" s="7" t="n"/>
      <c r="E396" s="13" t="n"/>
      <c r="F396" s="19" t="n"/>
      <c r="G396" s="13" t="n"/>
      <c r="H396" s="19" t="n"/>
      <c r="I396" s="19" t="n"/>
      <c r="J396" s="13" t="n"/>
      <c r="K396" s="9">
        <f>IF(AND(C396&lt;&gt;"",N(D396)&gt;0,I396&lt;&gt;"Cancelado"),D396*IF(N(E396)&gt;0,E396,IFERROR(VLOOKUP(C396,Produtos!$A$4:$O$53,15,0),0))+N(G396),"")</f>
        <v/>
      </c>
      <c r="L396" s="9">
        <f>IF(K396="","",K396*IFERROR(VLOOKUP(H396,Config!$B$15:$C$19,2,0),0))</f>
        <v/>
      </c>
      <c r="M396" s="9">
        <f>IF(K396="","",D396*IFERROR(VLOOKUP(C396,Produtos!$A$4:$I$53,9,0),0))</f>
        <v/>
      </c>
      <c r="N396" s="9">
        <f>IF(K396="","",D396*IFERROR(VLOOKUP(C396,Produtos!$A$4:$J$53,10,0),0))</f>
        <v/>
      </c>
      <c r="O396" s="9">
        <f>IF(OR(K396="",F396=""),IF(K396="","",0),IFERROR(VLOOKUP(F396,Entrega!$A$4:$E$43,5,0),0))</f>
        <v/>
      </c>
      <c r="P396" s="9">
        <f>IF(K396="","",K396-L396-M396-N396-O396)</f>
        <v/>
      </c>
      <c r="Q396" s="9">
        <f>IF(K396="","",IF(I396="Entregue",0,K396-N(J396)))</f>
        <v/>
      </c>
      <c r="R396" s="12">
        <f>IF(ISNUMBER(A396),MONTH(A396),"")</f>
        <v/>
      </c>
      <c r="S396" s="12">
        <f>IF(ISNUMBER(A396),YEAR(A396),"")</f>
        <v/>
      </c>
    </row>
    <row r="397">
      <c r="A397" s="23" t="n"/>
      <c r="B397" s="19" t="n"/>
      <c r="C397" s="19" t="n"/>
      <c r="D397" s="7" t="n"/>
      <c r="E397" s="13" t="n"/>
      <c r="F397" s="19" t="n"/>
      <c r="G397" s="13" t="n"/>
      <c r="H397" s="19" t="n"/>
      <c r="I397" s="19" t="n"/>
      <c r="J397" s="13" t="n"/>
      <c r="K397" s="9">
        <f>IF(AND(C397&lt;&gt;"",N(D397)&gt;0,I397&lt;&gt;"Cancelado"),D397*IF(N(E397)&gt;0,E397,IFERROR(VLOOKUP(C397,Produtos!$A$4:$O$53,15,0),0))+N(G397),"")</f>
        <v/>
      </c>
      <c r="L397" s="9">
        <f>IF(K397="","",K397*IFERROR(VLOOKUP(H397,Config!$B$15:$C$19,2,0),0))</f>
        <v/>
      </c>
      <c r="M397" s="9">
        <f>IF(K397="","",D397*IFERROR(VLOOKUP(C397,Produtos!$A$4:$I$53,9,0),0))</f>
        <v/>
      </c>
      <c r="N397" s="9">
        <f>IF(K397="","",D397*IFERROR(VLOOKUP(C397,Produtos!$A$4:$J$53,10,0),0))</f>
        <v/>
      </c>
      <c r="O397" s="9">
        <f>IF(OR(K397="",F397=""),IF(K397="","",0),IFERROR(VLOOKUP(F397,Entrega!$A$4:$E$43,5,0),0))</f>
        <v/>
      </c>
      <c r="P397" s="9">
        <f>IF(K397="","",K397-L397-M397-N397-O397)</f>
        <v/>
      </c>
      <c r="Q397" s="9">
        <f>IF(K397="","",IF(I397="Entregue",0,K397-N(J397)))</f>
        <v/>
      </c>
      <c r="R397" s="12">
        <f>IF(ISNUMBER(A397),MONTH(A397),"")</f>
        <v/>
      </c>
      <c r="S397" s="12">
        <f>IF(ISNUMBER(A397),YEAR(A397),"")</f>
        <v/>
      </c>
    </row>
    <row r="398">
      <c r="A398" s="23" t="n"/>
      <c r="B398" s="19" t="n"/>
      <c r="C398" s="19" t="n"/>
      <c r="D398" s="7" t="n"/>
      <c r="E398" s="13" t="n"/>
      <c r="F398" s="19" t="n"/>
      <c r="G398" s="13" t="n"/>
      <c r="H398" s="19" t="n"/>
      <c r="I398" s="19" t="n"/>
      <c r="J398" s="13" t="n"/>
      <c r="K398" s="9">
        <f>IF(AND(C398&lt;&gt;"",N(D398)&gt;0,I398&lt;&gt;"Cancelado"),D398*IF(N(E398)&gt;0,E398,IFERROR(VLOOKUP(C398,Produtos!$A$4:$O$53,15,0),0))+N(G398),"")</f>
        <v/>
      </c>
      <c r="L398" s="9">
        <f>IF(K398="","",K398*IFERROR(VLOOKUP(H398,Config!$B$15:$C$19,2,0),0))</f>
        <v/>
      </c>
      <c r="M398" s="9">
        <f>IF(K398="","",D398*IFERROR(VLOOKUP(C398,Produtos!$A$4:$I$53,9,0),0))</f>
        <v/>
      </c>
      <c r="N398" s="9">
        <f>IF(K398="","",D398*IFERROR(VLOOKUP(C398,Produtos!$A$4:$J$53,10,0),0))</f>
        <v/>
      </c>
      <c r="O398" s="9">
        <f>IF(OR(K398="",F398=""),IF(K398="","",0),IFERROR(VLOOKUP(F398,Entrega!$A$4:$E$43,5,0),0))</f>
        <v/>
      </c>
      <c r="P398" s="9">
        <f>IF(K398="","",K398-L398-M398-N398-O398)</f>
        <v/>
      </c>
      <c r="Q398" s="9">
        <f>IF(K398="","",IF(I398="Entregue",0,K398-N(J398)))</f>
        <v/>
      </c>
      <c r="R398" s="12">
        <f>IF(ISNUMBER(A398),MONTH(A398),"")</f>
        <v/>
      </c>
      <c r="S398" s="12">
        <f>IF(ISNUMBER(A398),YEAR(A398),"")</f>
        <v/>
      </c>
    </row>
    <row r="399">
      <c r="A399" s="23" t="n"/>
      <c r="B399" s="19" t="n"/>
      <c r="C399" s="19" t="n"/>
      <c r="D399" s="7" t="n"/>
      <c r="E399" s="13" t="n"/>
      <c r="F399" s="19" t="n"/>
      <c r="G399" s="13" t="n"/>
      <c r="H399" s="19" t="n"/>
      <c r="I399" s="19" t="n"/>
      <c r="J399" s="13" t="n"/>
      <c r="K399" s="9">
        <f>IF(AND(C399&lt;&gt;"",N(D399)&gt;0,I399&lt;&gt;"Cancelado"),D399*IF(N(E399)&gt;0,E399,IFERROR(VLOOKUP(C399,Produtos!$A$4:$O$53,15,0),0))+N(G399),"")</f>
        <v/>
      </c>
      <c r="L399" s="9">
        <f>IF(K399="","",K399*IFERROR(VLOOKUP(H399,Config!$B$15:$C$19,2,0),0))</f>
        <v/>
      </c>
      <c r="M399" s="9">
        <f>IF(K399="","",D399*IFERROR(VLOOKUP(C399,Produtos!$A$4:$I$53,9,0),0))</f>
        <v/>
      </c>
      <c r="N399" s="9">
        <f>IF(K399="","",D399*IFERROR(VLOOKUP(C399,Produtos!$A$4:$J$53,10,0),0))</f>
        <v/>
      </c>
      <c r="O399" s="9">
        <f>IF(OR(K399="",F399=""),IF(K399="","",0),IFERROR(VLOOKUP(F399,Entrega!$A$4:$E$43,5,0),0))</f>
        <v/>
      </c>
      <c r="P399" s="9">
        <f>IF(K399="","",K399-L399-M399-N399-O399)</f>
        <v/>
      </c>
      <c r="Q399" s="9">
        <f>IF(K399="","",IF(I399="Entregue",0,K399-N(J399)))</f>
        <v/>
      </c>
      <c r="R399" s="12">
        <f>IF(ISNUMBER(A399),MONTH(A399),"")</f>
        <v/>
      </c>
      <c r="S399" s="12">
        <f>IF(ISNUMBER(A399),YEAR(A399),"")</f>
        <v/>
      </c>
    </row>
    <row r="400">
      <c r="A400" s="23" t="n"/>
      <c r="B400" s="19" t="n"/>
      <c r="C400" s="19" t="n"/>
      <c r="D400" s="7" t="n"/>
      <c r="E400" s="13" t="n"/>
      <c r="F400" s="19" t="n"/>
      <c r="G400" s="13" t="n"/>
      <c r="H400" s="19" t="n"/>
      <c r="I400" s="19" t="n"/>
      <c r="J400" s="13" t="n"/>
      <c r="K400" s="9">
        <f>IF(AND(C400&lt;&gt;"",N(D400)&gt;0,I400&lt;&gt;"Cancelado"),D400*IF(N(E400)&gt;0,E400,IFERROR(VLOOKUP(C400,Produtos!$A$4:$O$53,15,0),0))+N(G400),"")</f>
        <v/>
      </c>
      <c r="L400" s="9">
        <f>IF(K400="","",K400*IFERROR(VLOOKUP(H400,Config!$B$15:$C$19,2,0),0))</f>
        <v/>
      </c>
      <c r="M400" s="9">
        <f>IF(K400="","",D400*IFERROR(VLOOKUP(C400,Produtos!$A$4:$I$53,9,0),0))</f>
        <v/>
      </c>
      <c r="N400" s="9">
        <f>IF(K400="","",D400*IFERROR(VLOOKUP(C400,Produtos!$A$4:$J$53,10,0),0))</f>
        <v/>
      </c>
      <c r="O400" s="9">
        <f>IF(OR(K400="",F400=""),IF(K400="","",0),IFERROR(VLOOKUP(F400,Entrega!$A$4:$E$43,5,0),0))</f>
        <v/>
      </c>
      <c r="P400" s="9">
        <f>IF(K400="","",K400-L400-M400-N400-O400)</f>
        <v/>
      </c>
      <c r="Q400" s="9">
        <f>IF(K400="","",IF(I400="Entregue",0,K400-N(J400)))</f>
        <v/>
      </c>
      <c r="R400" s="12">
        <f>IF(ISNUMBER(A400),MONTH(A400),"")</f>
        <v/>
      </c>
      <c r="S400" s="12">
        <f>IF(ISNUMBER(A400),YEAR(A400),"")</f>
        <v/>
      </c>
    </row>
    <row r="401">
      <c r="A401" s="23" t="n"/>
      <c r="B401" s="19" t="n"/>
      <c r="C401" s="19" t="n"/>
      <c r="D401" s="7" t="n"/>
      <c r="E401" s="13" t="n"/>
      <c r="F401" s="19" t="n"/>
      <c r="G401" s="13" t="n"/>
      <c r="H401" s="19" t="n"/>
      <c r="I401" s="19" t="n"/>
      <c r="J401" s="13" t="n"/>
      <c r="K401" s="9">
        <f>IF(AND(C401&lt;&gt;"",N(D401)&gt;0,I401&lt;&gt;"Cancelado"),D401*IF(N(E401)&gt;0,E401,IFERROR(VLOOKUP(C401,Produtos!$A$4:$O$53,15,0),0))+N(G401),"")</f>
        <v/>
      </c>
      <c r="L401" s="9">
        <f>IF(K401="","",K401*IFERROR(VLOOKUP(H401,Config!$B$15:$C$19,2,0),0))</f>
        <v/>
      </c>
      <c r="M401" s="9">
        <f>IF(K401="","",D401*IFERROR(VLOOKUP(C401,Produtos!$A$4:$I$53,9,0),0))</f>
        <v/>
      </c>
      <c r="N401" s="9">
        <f>IF(K401="","",D401*IFERROR(VLOOKUP(C401,Produtos!$A$4:$J$53,10,0),0))</f>
        <v/>
      </c>
      <c r="O401" s="9">
        <f>IF(OR(K401="",F401=""),IF(K401="","",0),IFERROR(VLOOKUP(F401,Entrega!$A$4:$E$43,5,0),0))</f>
        <v/>
      </c>
      <c r="P401" s="9">
        <f>IF(K401="","",K401-L401-M401-N401-O401)</f>
        <v/>
      </c>
      <c r="Q401" s="9">
        <f>IF(K401="","",IF(I401="Entregue",0,K401-N(J401)))</f>
        <v/>
      </c>
      <c r="R401" s="12">
        <f>IF(ISNUMBER(A401),MONTH(A401),"")</f>
        <v/>
      </c>
      <c r="S401" s="12">
        <f>IF(ISNUMBER(A401),YEAR(A401),"")</f>
        <v/>
      </c>
    </row>
    <row r="402">
      <c r="A402" s="23" t="n"/>
      <c r="B402" s="19" t="n"/>
      <c r="C402" s="19" t="n"/>
      <c r="D402" s="7" t="n"/>
      <c r="E402" s="13" t="n"/>
      <c r="F402" s="19" t="n"/>
      <c r="G402" s="13" t="n"/>
      <c r="H402" s="19" t="n"/>
      <c r="I402" s="19" t="n"/>
      <c r="J402" s="13" t="n"/>
      <c r="K402" s="9">
        <f>IF(AND(C402&lt;&gt;"",N(D402)&gt;0,I402&lt;&gt;"Cancelado"),D402*IF(N(E402)&gt;0,E402,IFERROR(VLOOKUP(C402,Produtos!$A$4:$O$53,15,0),0))+N(G402),"")</f>
        <v/>
      </c>
      <c r="L402" s="9">
        <f>IF(K402="","",K402*IFERROR(VLOOKUP(H402,Config!$B$15:$C$19,2,0),0))</f>
        <v/>
      </c>
      <c r="M402" s="9">
        <f>IF(K402="","",D402*IFERROR(VLOOKUP(C402,Produtos!$A$4:$I$53,9,0),0))</f>
        <v/>
      </c>
      <c r="N402" s="9">
        <f>IF(K402="","",D402*IFERROR(VLOOKUP(C402,Produtos!$A$4:$J$53,10,0),0))</f>
        <v/>
      </c>
      <c r="O402" s="9">
        <f>IF(OR(K402="",F402=""),IF(K402="","",0),IFERROR(VLOOKUP(F402,Entrega!$A$4:$E$43,5,0),0))</f>
        <v/>
      </c>
      <c r="P402" s="9">
        <f>IF(K402="","",K402-L402-M402-N402-O402)</f>
        <v/>
      </c>
      <c r="Q402" s="9">
        <f>IF(K402="","",IF(I402="Entregue",0,K402-N(J402)))</f>
        <v/>
      </c>
      <c r="R402" s="12">
        <f>IF(ISNUMBER(A402),MONTH(A402),"")</f>
        <v/>
      </c>
      <c r="S402" s="12">
        <f>IF(ISNUMBER(A402),YEAR(A402),"")</f>
        <v/>
      </c>
    </row>
    <row r="403">
      <c r="A403" s="23" t="n"/>
      <c r="B403" s="19" t="n"/>
      <c r="C403" s="19" t="n"/>
      <c r="D403" s="7" t="n"/>
      <c r="E403" s="13" t="n"/>
      <c r="F403" s="19" t="n"/>
      <c r="G403" s="13" t="n"/>
      <c r="H403" s="19" t="n"/>
      <c r="I403" s="19" t="n"/>
      <c r="J403" s="13" t="n"/>
      <c r="K403" s="9">
        <f>IF(AND(C403&lt;&gt;"",N(D403)&gt;0,I403&lt;&gt;"Cancelado"),D403*IF(N(E403)&gt;0,E403,IFERROR(VLOOKUP(C403,Produtos!$A$4:$O$53,15,0),0))+N(G403),"")</f>
        <v/>
      </c>
      <c r="L403" s="9">
        <f>IF(K403="","",K403*IFERROR(VLOOKUP(H403,Config!$B$15:$C$19,2,0),0))</f>
        <v/>
      </c>
      <c r="M403" s="9">
        <f>IF(K403="","",D403*IFERROR(VLOOKUP(C403,Produtos!$A$4:$I$53,9,0),0))</f>
        <v/>
      </c>
      <c r="N403" s="9">
        <f>IF(K403="","",D403*IFERROR(VLOOKUP(C403,Produtos!$A$4:$J$53,10,0),0))</f>
        <v/>
      </c>
      <c r="O403" s="9">
        <f>IF(OR(K403="",F403=""),IF(K403="","",0),IFERROR(VLOOKUP(F403,Entrega!$A$4:$E$43,5,0),0))</f>
        <v/>
      </c>
      <c r="P403" s="9">
        <f>IF(K403="","",K403-L403-M403-N403-O403)</f>
        <v/>
      </c>
      <c r="Q403" s="9">
        <f>IF(K403="","",IF(I403="Entregue",0,K403-N(J403)))</f>
        <v/>
      </c>
      <c r="R403" s="12">
        <f>IF(ISNUMBER(A403),MONTH(A403),"")</f>
        <v/>
      </c>
      <c r="S403" s="12">
        <f>IF(ISNUMBER(A403),YEAR(A403),"")</f>
        <v/>
      </c>
    </row>
    <row r="404">
      <c r="A404" s="23" t="n"/>
      <c r="B404" s="19" t="n"/>
      <c r="C404" s="19" t="n"/>
      <c r="D404" s="7" t="n"/>
      <c r="E404" s="13" t="n"/>
      <c r="F404" s="19" t="n"/>
      <c r="G404" s="13" t="n"/>
      <c r="H404" s="19" t="n"/>
      <c r="I404" s="19" t="n"/>
      <c r="J404" s="13" t="n"/>
      <c r="K404" s="9">
        <f>IF(AND(C404&lt;&gt;"",N(D404)&gt;0,I404&lt;&gt;"Cancelado"),D404*IF(N(E404)&gt;0,E404,IFERROR(VLOOKUP(C404,Produtos!$A$4:$O$53,15,0),0))+N(G404),"")</f>
        <v/>
      </c>
      <c r="L404" s="9">
        <f>IF(K404="","",K404*IFERROR(VLOOKUP(H404,Config!$B$15:$C$19,2,0),0))</f>
        <v/>
      </c>
      <c r="M404" s="9">
        <f>IF(K404="","",D404*IFERROR(VLOOKUP(C404,Produtos!$A$4:$I$53,9,0),0))</f>
        <v/>
      </c>
      <c r="N404" s="9">
        <f>IF(K404="","",D404*IFERROR(VLOOKUP(C404,Produtos!$A$4:$J$53,10,0),0))</f>
        <v/>
      </c>
      <c r="O404" s="9">
        <f>IF(OR(K404="",F404=""),IF(K404="","",0),IFERROR(VLOOKUP(F404,Entrega!$A$4:$E$43,5,0),0))</f>
        <v/>
      </c>
      <c r="P404" s="9">
        <f>IF(K404="","",K404-L404-M404-N404-O404)</f>
        <v/>
      </c>
      <c r="Q404" s="9">
        <f>IF(K404="","",IF(I404="Entregue",0,K404-N(J404)))</f>
        <v/>
      </c>
      <c r="R404" s="12">
        <f>IF(ISNUMBER(A404),MONTH(A404),"")</f>
        <v/>
      </c>
      <c r="S404" s="12">
        <f>IF(ISNUMBER(A404),YEAR(A404),"")</f>
        <v/>
      </c>
    </row>
    <row r="405">
      <c r="A405" s="23" t="n"/>
      <c r="B405" s="19" t="n"/>
      <c r="C405" s="19" t="n"/>
      <c r="D405" s="7" t="n"/>
      <c r="E405" s="13" t="n"/>
      <c r="F405" s="19" t="n"/>
      <c r="G405" s="13" t="n"/>
      <c r="H405" s="19" t="n"/>
      <c r="I405" s="19" t="n"/>
      <c r="J405" s="13" t="n"/>
      <c r="K405" s="9">
        <f>IF(AND(C405&lt;&gt;"",N(D405)&gt;0,I405&lt;&gt;"Cancelado"),D405*IF(N(E405)&gt;0,E405,IFERROR(VLOOKUP(C405,Produtos!$A$4:$O$53,15,0),0))+N(G405),"")</f>
        <v/>
      </c>
      <c r="L405" s="9">
        <f>IF(K405="","",K405*IFERROR(VLOOKUP(H405,Config!$B$15:$C$19,2,0),0))</f>
        <v/>
      </c>
      <c r="M405" s="9">
        <f>IF(K405="","",D405*IFERROR(VLOOKUP(C405,Produtos!$A$4:$I$53,9,0),0))</f>
        <v/>
      </c>
      <c r="N405" s="9">
        <f>IF(K405="","",D405*IFERROR(VLOOKUP(C405,Produtos!$A$4:$J$53,10,0),0))</f>
        <v/>
      </c>
      <c r="O405" s="9">
        <f>IF(OR(K405="",F405=""),IF(K405="","",0),IFERROR(VLOOKUP(F405,Entrega!$A$4:$E$43,5,0),0))</f>
        <v/>
      </c>
      <c r="P405" s="9">
        <f>IF(K405="","",K405-L405-M405-N405-O405)</f>
        <v/>
      </c>
      <c r="Q405" s="9">
        <f>IF(K405="","",IF(I405="Entregue",0,K405-N(J405)))</f>
        <v/>
      </c>
      <c r="R405" s="12">
        <f>IF(ISNUMBER(A405),MONTH(A405),"")</f>
        <v/>
      </c>
      <c r="S405" s="12">
        <f>IF(ISNUMBER(A405),YEAR(A405),"")</f>
        <v/>
      </c>
    </row>
    <row r="406">
      <c r="A406" s="23" t="n"/>
      <c r="B406" s="19" t="n"/>
      <c r="C406" s="19" t="n"/>
      <c r="D406" s="7" t="n"/>
      <c r="E406" s="13" t="n"/>
      <c r="F406" s="19" t="n"/>
      <c r="G406" s="13" t="n"/>
      <c r="H406" s="19" t="n"/>
      <c r="I406" s="19" t="n"/>
      <c r="J406" s="13" t="n"/>
      <c r="K406" s="9">
        <f>IF(AND(C406&lt;&gt;"",N(D406)&gt;0,I406&lt;&gt;"Cancelado"),D406*IF(N(E406)&gt;0,E406,IFERROR(VLOOKUP(C406,Produtos!$A$4:$O$53,15,0),0))+N(G406),"")</f>
        <v/>
      </c>
      <c r="L406" s="9">
        <f>IF(K406="","",K406*IFERROR(VLOOKUP(H406,Config!$B$15:$C$19,2,0),0))</f>
        <v/>
      </c>
      <c r="M406" s="9">
        <f>IF(K406="","",D406*IFERROR(VLOOKUP(C406,Produtos!$A$4:$I$53,9,0),0))</f>
        <v/>
      </c>
      <c r="N406" s="9">
        <f>IF(K406="","",D406*IFERROR(VLOOKUP(C406,Produtos!$A$4:$J$53,10,0),0))</f>
        <v/>
      </c>
      <c r="O406" s="9">
        <f>IF(OR(K406="",F406=""),IF(K406="","",0),IFERROR(VLOOKUP(F406,Entrega!$A$4:$E$43,5,0),0))</f>
        <v/>
      </c>
      <c r="P406" s="9">
        <f>IF(K406="","",K406-L406-M406-N406-O406)</f>
        <v/>
      </c>
      <c r="Q406" s="9">
        <f>IF(K406="","",IF(I406="Entregue",0,K406-N(J406)))</f>
        <v/>
      </c>
      <c r="R406" s="12">
        <f>IF(ISNUMBER(A406),MONTH(A406),"")</f>
        <v/>
      </c>
      <c r="S406" s="12">
        <f>IF(ISNUMBER(A406),YEAR(A406),"")</f>
        <v/>
      </c>
    </row>
    <row r="407">
      <c r="A407" s="23" t="n"/>
      <c r="B407" s="19" t="n"/>
      <c r="C407" s="19" t="n"/>
      <c r="D407" s="7" t="n"/>
      <c r="E407" s="13" t="n"/>
      <c r="F407" s="19" t="n"/>
      <c r="G407" s="13" t="n"/>
      <c r="H407" s="19" t="n"/>
      <c r="I407" s="19" t="n"/>
      <c r="J407" s="13" t="n"/>
      <c r="K407" s="9">
        <f>IF(AND(C407&lt;&gt;"",N(D407)&gt;0,I407&lt;&gt;"Cancelado"),D407*IF(N(E407)&gt;0,E407,IFERROR(VLOOKUP(C407,Produtos!$A$4:$O$53,15,0),0))+N(G407),"")</f>
        <v/>
      </c>
      <c r="L407" s="9">
        <f>IF(K407="","",K407*IFERROR(VLOOKUP(H407,Config!$B$15:$C$19,2,0),0))</f>
        <v/>
      </c>
      <c r="M407" s="9">
        <f>IF(K407="","",D407*IFERROR(VLOOKUP(C407,Produtos!$A$4:$I$53,9,0),0))</f>
        <v/>
      </c>
      <c r="N407" s="9">
        <f>IF(K407="","",D407*IFERROR(VLOOKUP(C407,Produtos!$A$4:$J$53,10,0),0))</f>
        <v/>
      </c>
      <c r="O407" s="9">
        <f>IF(OR(K407="",F407=""),IF(K407="","",0),IFERROR(VLOOKUP(F407,Entrega!$A$4:$E$43,5,0),0))</f>
        <v/>
      </c>
      <c r="P407" s="9">
        <f>IF(K407="","",K407-L407-M407-N407-O407)</f>
        <v/>
      </c>
      <c r="Q407" s="9">
        <f>IF(K407="","",IF(I407="Entregue",0,K407-N(J407)))</f>
        <v/>
      </c>
      <c r="R407" s="12">
        <f>IF(ISNUMBER(A407),MONTH(A407),"")</f>
        <v/>
      </c>
      <c r="S407" s="12">
        <f>IF(ISNUMBER(A407),YEAR(A407),"")</f>
        <v/>
      </c>
    </row>
    <row r="408">
      <c r="A408" s="23" t="n"/>
      <c r="B408" s="19" t="n"/>
      <c r="C408" s="19" t="n"/>
      <c r="D408" s="7" t="n"/>
      <c r="E408" s="13" t="n"/>
      <c r="F408" s="19" t="n"/>
      <c r="G408" s="13" t="n"/>
      <c r="H408" s="19" t="n"/>
      <c r="I408" s="19" t="n"/>
      <c r="J408" s="13" t="n"/>
      <c r="K408" s="9">
        <f>IF(AND(C408&lt;&gt;"",N(D408)&gt;0,I408&lt;&gt;"Cancelado"),D408*IF(N(E408)&gt;0,E408,IFERROR(VLOOKUP(C408,Produtos!$A$4:$O$53,15,0),0))+N(G408),"")</f>
        <v/>
      </c>
      <c r="L408" s="9">
        <f>IF(K408="","",K408*IFERROR(VLOOKUP(H408,Config!$B$15:$C$19,2,0),0))</f>
        <v/>
      </c>
      <c r="M408" s="9">
        <f>IF(K408="","",D408*IFERROR(VLOOKUP(C408,Produtos!$A$4:$I$53,9,0),0))</f>
        <v/>
      </c>
      <c r="N408" s="9">
        <f>IF(K408="","",D408*IFERROR(VLOOKUP(C408,Produtos!$A$4:$J$53,10,0),0))</f>
        <v/>
      </c>
      <c r="O408" s="9">
        <f>IF(OR(K408="",F408=""),IF(K408="","",0),IFERROR(VLOOKUP(F408,Entrega!$A$4:$E$43,5,0),0))</f>
        <v/>
      </c>
      <c r="P408" s="9">
        <f>IF(K408="","",K408-L408-M408-N408-O408)</f>
        <v/>
      </c>
      <c r="Q408" s="9">
        <f>IF(K408="","",IF(I408="Entregue",0,K408-N(J408)))</f>
        <v/>
      </c>
      <c r="R408" s="12">
        <f>IF(ISNUMBER(A408),MONTH(A408),"")</f>
        <v/>
      </c>
      <c r="S408" s="12">
        <f>IF(ISNUMBER(A408),YEAR(A408),"")</f>
        <v/>
      </c>
    </row>
    <row r="409">
      <c r="A409" s="23" t="n"/>
      <c r="B409" s="19" t="n"/>
      <c r="C409" s="19" t="n"/>
      <c r="D409" s="7" t="n"/>
      <c r="E409" s="13" t="n"/>
      <c r="F409" s="19" t="n"/>
      <c r="G409" s="13" t="n"/>
      <c r="H409" s="19" t="n"/>
      <c r="I409" s="19" t="n"/>
      <c r="J409" s="13" t="n"/>
      <c r="K409" s="9">
        <f>IF(AND(C409&lt;&gt;"",N(D409)&gt;0,I409&lt;&gt;"Cancelado"),D409*IF(N(E409)&gt;0,E409,IFERROR(VLOOKUP(C409,Produtos!$A$4:$O$53,15,0),0))+N(G409),"")</f>
        <v/>
      </c>
      <c r="L409" s="9">
        <f>IF(K409="","",K409*IFERROR(VLOOKUP(H409,Config!$B$15:$C$19,2,0),0))</f>
        <v/>
      </c>
      <c r="M409" s="9">
        <f>IF(K409="","",D409*IFERROR(VLOOKUP(C409,Produtos!$A$4:$I$53,9,0),0))</f>
        <v/>
      </c>
      <c r="N409" s="9">
        <f>IF(K409="","",D409*IFERROR(VLOOKUP(C409,Produtos!$A$4:$J$53,10,0),0))</f>
        <v/>
      </c>
      <c r="O409" s="9">
        <f>IF(OR(K409="",F409=""),IF(K409="","",0),IFERROR(VLOOKUP(F409,Entrega!$A$4:$E$43,5,0),0))</f>
        <v/>
      </c>
      <c r="P409" s="9">
        <f>IF(K409="","",K409-L409-M409-N409-O409)</f>
        <v/>
      </c>
      <c r="Q409" s="9">
        <f>IF(K409="","",IF(I409="Entregue",0,K409-N(J409)))</f>
        <v/>
      </c>
      <c r="R409" s="12">
        <f>IF(ISNUMBER(A409),MONTH(A409),"")</f>
        <v/>
      </c>
      <c r="S409" s="12">
        <f>IF(ISNUMBER(A409),YEAR(A409),"")</f>
        <v/>
      </c>
    </row>
    <row r="410">
      <c r="A410" s="23" t="n"/>
      <c r="B410" s="19" t="n"/>
      <c r="C410" s="19" t="n"/>
      <c r="D410" s="7" t="n"/>
      <c r="E410" s="13" t="n"/>
      <c r="F410" s="19" t="n"/>
      <c r="G410" s="13" t="n"/>
      <c r="H410" s="19" t="n"/>
      <c r="I410" s="19" t="n"/>
      <c r="J410" s="13" t="n"/>
      <c r="K410" s="9">
        <f>IF(AND(C410&lt;&gt;"",N(D410)&gt;0,I410&lt;&gt;"Cancelado"),D410*IF(N(E410)&gt;0,E410,IFERROR(VLOOKUP(C410,Produtos!$A$4:$O$53,15,0),0))+N(G410),"")</f>
        <v/>
      </c>
      <c r="L410" s="9">
        <f>IF(K410="","",K410*IFERROR(VLOOKUP(H410,Config!$B$15:$C$19,2,0),0))</f>
        <v/>
      </c>
      <c r="M410" s="9">
        <f>IF(K410="","",D410*IFERROR(VLOOKUP(C410,Produtos!$A$4:$I$53,9,0),0))</f>
        <v/>
      </c>
      <c r="N410" s="9">
        <f>IF(K410="","",D410*IFERROR(VLOOKUP(C410,Produtos!$A$4:$J$53,10,0),0))</f>
        <v/>
      </c>
      <c r="O410" s="9">
        <f>IF(OR(K410="",F410=""),IF(K410="","",0),IFERROR(VLOOKUP(F410,Entrega!$A$4:$E$43,5,0),0))</f>
        <v/>
      </c>
      <c r="P410" s="9">
        <f>IF(K410="","",K410-L410-M410-N410-O410)</f>
        <v/>
      </c>
      <c r="Q410" s="9">
        <f>IF(K410="","",IF(I410="Entregue",0,K410-N(J410)))</f>
        <v/>
      </c>
      <c r="R410" s="12">
        <f>IF(ISNUMBER(A410),MONTH(A410),"")</f>
        <v/>
      </c>
      <c r="S410" s="12">
        <f>IF(ISNUMBER(A410),YEAR(A410),"")</f>
        <v/>
      </c>
    </row>
    <row r="411">
      <c r="A411" s="23" t="n"/>
      <c r="B411" s="19" t="n"/>
      <c r="C411" s="19" t="n"/>
      <c r="D411" s="7" t="n"/>
      <c r="E411" s="13" t="n"/>
      <c r="F411" s="19" t="n"/>
      <c r="G411" s="13" t="n"/>
      <c r="H411" s="19" t="n"/>
      <c r="I411" s="19" t="n"/>
      <c r="J411" s="13" t="n"/>
      <c r="K411" s="9">
        <f>IF(AND(C411&lt;&gt;"",N(D411)&gt;0,I411&lt;&gt;"Cancelado"),D411*IF(N(E411)&gt;0,E411,IFERROR(VLOOKUP(C411,Produtos!$A$4:$O$53,15,0),0))+N(G411),"")</f>
        <v/>
      </c>
      <c r="L411" s="9">
        <f>IF(K411="","",K411*IFERROR(VLOOKUP(H411,Config!$B$15:$C$19,2,0),0))</f>
        <v/>
      </c>
      <c r="M411" s="9">
        <f>IF(K411="","",D411*IFERROR(VLOOKUP(C411,Produtos!$A$4:$I$53,9,0),0))</f>
        <v/>
      </c>
      <c r="N411" s="9">
        <f>IF(K411="","",D411*IFERROR(VLOOKUP(C411,Produtos!$A$4:$J$53,10,0),0))</f>
        <v/>
      </c>
      <c r="O411" s="9">
        <f>IF(OR(K411="",F411=""),IF(K411="","",0),IFERROR(VLOOKUP(F411,Entrega!$A$4:$E$43,5,0),0))</f>
        <v/>
      </c>
      <c r="P411" s="9">
        <f>IF(K411="","",K411-L411-M411-N411-O411)</f>
        <v/>
      </c>
      <c r="Q411" s="9">
        <f>IF(K411="","",IF(I411="Entregue",0,K411-N(J411)))</f>
        <v/>
      </c>
      <c r="R411" s="12">
        <f>IF(ISNUMBER(A411),MONTH(A411),"")</f>
        <v/>
      </c>
      <c r="S411" s="12">
        <f>IF(ISNUMBER(A411),YEAR(A411),"")</f>
        <v/>
      </c>
    </row>
    <row r="412">
      <c r="A412" s="23" t="n"/>
      <c r="B412" s="19" t="n"/>
      <c r="C412" s="19" t="n"/>
      <c r="D412" s="7" t="n"/>
      <c r="E412" s="13" t="n"/>
      <c r="F412" s="19" t="n"/>
      <c r="G412" s="13" t="n"/>
      <c r="H412" s="19" t="n"/>
      <c r="I412" s="19" t="n"/>
      <c r="J412" s="13" t="n"/>
      <c r="K412" s="9">
        <f>IF(AND(C412&lt;&gt;"",N(D412)&gt;0,I412&lt;&gt;"Cancelado"),D412*IF(N(E412)&gt;0,E412,IFERROR(VLOOKUP(C412,Produtos!$A$4:$O$53,15,0),0))+N(G412),"")</f>
        <v/>
      </c>
      <c r="L412" s="9">
        <f>IF(K412="","",K412*IFERROR(VLOOKUP(H412,Config!$B$15:$C$19,2,0),0))</f>
        <v/>
      </c>
      <c r="M412" s="9">
        <f>IF(K412="","",D412*IFERROR(VLOOKUP(C412,Produtos!$A$4:$I$53,9,0),0))</f>
        <v/>
      </c>
      <c r="N412" s="9">
        <f>IF(K412="","",D412*IFERROR(VLOOKUP(C412,Produtos!$A$4:$J$53,10,0),0))</f>
        <v/>
      </c>
      <c r="O412" s="9">
        <f>IF(OR(K412="",F412=""),IF(K412="","",0),IFERROR(VLOOKUP(F412,Entrega!$A$4:$E$43,5,0),0))</f>
        <v/>
      </c>
      <c r="P412" s="9">
        <f>IF(K412="","",K412-L412-M412-N412-O412)</f>
        <v/>
      </c>
      <c r="Q412" s="9">
        <f>IF(K412="","",IF(I412="Entregue",0,K412-N(J412)))</f>
        <v/>
      </c>
      <c r="R412" s="12">
        <f>IF(ISNUMBER(A412),MONTH(A412),"")</f>
        <v/>
      </c>
      <c r="S412" s="12">
        <f>IF(ISNUMBER(A412),YEAR(A412),"")</f>
        <v/>
      </c>
    </row>
    <row r="413">
      <c r="A413" s="23" t="n"/>
      <c r="B413" s="19" t="n"/>
      <c r="C413" s="19" t="n"/>
      <c r="D413" s="7" t="n"/>
      <c r="E413" s="13" t="n"/>
      <c r="F413" s="19" t="n"/>
      <c r="G413" s="13" t="n"/>
      <c r="H413" s="19" t="n"/>
      <c r="I413" s="19" t="n"/>
      <c r="J413" s="13" t="n"/>
      <c r="K413" s="9">
        <f>IF(AND(C413&lt;&gt;"",N(D413)&gt;0,I413&lt;&gt;"Cancelado"),D413*IF(N(E413)&gt;0,E413,IFERROR(VLOOKUP(C413,Produtos!$A$4:$O$53,15,0),0))+N(G413),"")</f>
        <v/>
      </c>
      <c r="L413" s="9">
        <f>IF(K413="","",K413*IFERROR(VLOOKUP(H413,Config!$B$15:$C$19,2,0),0))</f>
        <v/>
      </c>
      <c r="M413" s="9">
        <f>IF(K413="","",D413*IFERROR(VLOOKUP(C413,Produtos!$A$4:$I$53,9,0),0))</f>
        <v/>
      </c>
      <c r="N413" s="9">
        <f>IF(K413="","",D413*IFERROR(VLOOKUP(C413,Produtos!$A$4:$J$53,10,0),0))</f>
        <v/>
      </c>
      <c r="O413" s="9">
        <f>IF(OR(K413="",F413=""),IF(K413="","",0),IFERROR(VLOOKUP(F413,Entrega!$A$4:$E$43,5,0),0))</f>
        <v/>
      </c>
      <c r="P413" s="9">
        <f>IF(K413="","",K413-L413-M413-N413-O413)</f>
        <v/>
      </c>
      <c r="Q413" s="9">
        <f>IF(K413="","",IF(I413="Entregue",0,K413-N(J413)))</f>
        <v/>
      </c>
      <c r="R413" s="12">
        <f>IF(ISNUMBER(A413),MONTH(A413),"")</f>
        <v/>
      </c>
      <c r="S413" s="12">
        <f>IF(ISNUMBER(A413),YEAR(A413),"")</f>
        <v/>
      </c>
    </row>
    <row r="414">
      <c r="A414" s="23" t="n"/>
      <c r="B414" s="19" t="n"/>
      <c r="C414" s="19" t="n"/>
      <c r="D414" s="7" t="n"/>
      <c r="E414" s="13" t="n"/>
      <c r="F414" s="19" t="n"/>
      <c r="G414" s="13" t="n"/>
      <c r="H414" s="19" t="n"/>
      <c r="I414" s="19" t="n"/>
      <c r="J414" s="13" t="n"/>
      <c r="K414" s="9">
        <f>IF(AND(C414&lt;&gt;"",N(D414)&gt;0,I414&lt;&gt;"Cancelado"),D414*IF(N(E414)&gt;0,E414,IFERROR(VLOOKUP(C414,Produtos!$A$4:$O$53,15,0),0))+N(G414),"")</f>
        <v/>
      </c>
      <c r="L414" s="9">
        <f>IF(K414="","",K414*IFERROR(VLOOKUP(H414,Config!$B$15:$C$19,2,0),0))</f>
        <v/>
      </c>
      <c r="M414" s="9">
        <f>IF(K414="","",D414*IFERROR(VLOOKUP(C414,Produtos!$A$4:$I$53,9,0),0))</f>
        <v/>
      </c>
      <c r="N414" s="9">
        <f>IF(K414="","",D414*IFERROR(VLOOKUP(C414,Produtos!$A$4:$J$53,10,0),0))</f>
        <v/>
      </c>
      <c r="O414" s="9">
        <f>IF(OR(K414="",F414=""),IF(K414="","",0),IFERROR(VLOOKUP(F414,Entrega!$A$4:$E$43,5,0),0))</f>
        <v/>
      </c>
      <c r="P414" s="9">
        <f>IF(K414="","",K414-L414-M414-N414-O414)</f>
        <v/>
      </c>
      <c r="Q414" s="9">
        <f>IF(K414="","",IF(I414="Entregue",0,K414-N(J414)))</f>
        <v/>
      </c>
      <c r="R414" s="12">
        <f>IF(ISNUMBER(A414),MONTH(A414),"")</f>
        <v/>
      </c>
      <c r="S414" s="12">
        <f>IF(ISNUMBER(A414),YEAR(A414),"")</f>
        <v/>
      </c>
    </row>
    <row r="415">
      <c r="A415" s="23" t="n"/>
      <c r="B415" s="19" t="n"/>
      <c r="C415" s="19" t="n"/>
      <c r="D415" s="7" t="n"/>
      <c r="E415" s="13" t="n"/>
      <c r="F415" s="19" t="n"/>
      <c r="G415" s="13" t="n"/>
      <c r="H415" s="19" t="n"/>
      <c r="I415" s="19" t="n"/>
      <c r="J415" s="13" t="n"/>
      <c r="K415" s="9">
        <f>IF(AND(C415&lt;&gt;"",N(D415)&gt;0,I415&lt;&gt;"Cancelado"),D415*IF(N(E415)&gt;0,E415,IFERROR(VLOOKUP(C415,Produtos!$A$4:$O$53,15,0),0))+N(G415),"")</f>
        <v/>
      </c>
      <c r="L415" s="9">
        <f>IF(K415="","",K415*IFERROR(VLOOKUP(H415,Config!$B$15:$C$19,2,0),0))</f>
        <v/>
      </c>
      <c r="M415" s="9">
        <f>IF(K415="","",D415*IFERROR(VLOOKUP(C415,Produtos!$A$4:$I$53,9,0),0))</f>
        <v/>
      </c>
      <c r="N415" s="9">
        <f>IF(K415="","",D415*IFERROR(VLOOKUP(C415,Produtos!$A$4:$J$53,10,0),0))</f>
        <v/>
      </c>
      <c r="O415" s="9">
        <f>IF(OR(K415="",F415=""),IF(K415="","",0),IFERROR(VLOOKUP(F415,Entrega!$A$4:$E$43,5,0),0))</f>
        <v/>
      </c>
      <c r="P415" s="9">
        <f>IF(K415="","",K415-L415-M415-N415-O415)</f>
        <v/>
      </c>
      <c r="Q415" s="9">
        <f>IF(K415="","",IF(I415="Entregue",0,K415-N(J415)))</f>
        <v/>
      </c>
      <c r="R415" s="12">
        <f>IF(ISNUMBER(A415),MONTH(A415),"")</f>
        <v/>
      </c>
      <c r="S415" s="12">
        <f>IF(ISNUMBER(A415),YEAR(A415),"")</f>
        <v/>
      </c>
    </row>
    <row r="416">
      <c r="A416" s="23" t="n"/>
      <c r="B416" s="19" t="n"/>
      <c r="C416" s="19" t="n"/>
      <c r="D416" s="7" t="n"/>
      <c r="E416" s="13" t="n"/>
      <c r="F416" s="19" t="n"/>
      <c r="G416" s="13" t="n"/>
      <c r="H416" s="19" t="n"/>
      <c r="I416" s="19" t="n"/>
      <c r="J416" s="13" t="n"/>
      <c r="K416" s="9">
        <f>IF(AND(C416&lt;&gt;"",N(D416)&gt;0,I416&lt;&gt;"Cancelado"),D416*IF(N(E416)&gt;0,E416,IFERROR(VLOOKUP(C416,Produtos!$A$4:$O$53,15,0),0))+N(G416),"")</f>
        <v/>
      </c>
      <c r="L416" s="9">
        <f>IF(K416="","",K416*IFERROR(VLOOKUP(H416,Config!$B$15:$C$19,2,0),0))</f>
        <v/>
      </c>
      <c r="M416" s="9">
        <f>IF(K416="","",D416*IFERROR(VLOOKUP(C416,Produtos!$A$4:$I$53,9,0),0))</f>
        <v/>
      </c>
      <c r="N416" s="9">
        <f>IF(K416="","",D416*IFERROR(VLOOKUP(C416,Produtos!$A$4:$J$53,10,0),0))</f>
        <v/>
      </c>
      <c r="O416" s="9">
        <f>IF(OR(K416="",F416=""),IF(K416="","",0),IFERROR(VLOOKUP(F416,Entrega!$A$4:$E$43,5,0),0))</f>
        <v/>
      </c>
      <c r="P416" s="9">
        <f>IF(K416="","",K416-L416-M416-N416-O416)</f>
        <v/>
      </c>
      <c r="Q416" s="9">
        <f>IF(K416="","",IF(I416="Entregue",0,K416-N(J416)))</f>
        <v/>
      </c>
      <c r="R416" s="12">
        <f>IF(ISNUMBER(A416),MONTH(A416),"")</f>
        <v/>
      </c>
      <c r="S416" s="12">
        <f>IF(ISNUMBER(A416),YEAR(A416),"")</f>
        <v/>
      </c>
    </row>
    <row r="417">
      <c r="A417" s="23" t="n"/>
      <c r="B417" s="19" t="n"/>
      <c r="C417" s="19" t="n"/>
      <c r="D417" s="7" t="n"/>
      <c r="E417" s="13" t="n"/>
      <c r="F417" s="19" t="n"/>
      <c r="G417" s="13" t="n"/>
      <c r="H417" s="19" t="n"/>
      <c r="I417" s="19" t="n"/>
      <c r="J417" s="13" t="n"/>
      <c r="K417" s="9">
        <f>IF(AND(C417&lt;&gt;"",N(D417)&gt;0,I417&lt;&gt;"Cancelado"),D417*IF(N(E417)&gt;0,E417,IFERROR(VLOOKUP(C417,Produtos!$A$4:$O$53,15,0),0))+N(G417),"")</f>
        <v/>
      </c>
      <c r="L417" s="9">
        <f>IF(K417="","",K417*IFERROR(VLOOKUP(H417,Config!$B$15:$C$19,2,0),0))</f>
        <v/>
      </c>
      <c r="M417" s="9">
        <f>IF(K417="","",D417*IFERROR(VLOOKUP(C417,Produtos!$A$4:$I$53,9,0),0))</f>
        <v/>
      </c>
      <c r="N417" s="9">
        <f>IF(K417="","",D417*IFERROR(VLOOKUP(C417,Produtos!$A$4:$J$53,10,0),0))</f>
        <v/>
      </c>
      <c r="O417" s="9">
        <f>IF(OR(K417="",F417=""),IF(K417="","",0),IFERROR(VLOOKUP(F417,Entrega!$A$4:$E$43,5,0),0))</f>
        <v/>
      </c>
      <c r="P417" s="9">
        <f>IF(K417="","",K417-L417-M417-N417-O417)</f>
        <v/>
      </c>
      <c r="Q417" s="9">
        <f>IF(K417="","",IF(I417="Entregue",0,K417-N(J417)))</f>
        <v/>
      </c>
      <c r="R417" s="12">
        <f>IF(ISNUMBER(A417),MONTH(A417),"")</f>
        <v/>
      </c>
      <c r="S417" s="12">
        <f>IF(ISNUMBER(A417),YEAR(A417),"")</f>
        <v/>
      </c>
    </row>
    <row r="418">
      <c r="A418" s="23" t="n"/>
      <c r="B418" s="19" t="n"/>
      <c r="C418" s="19" t="n"/>
      <c r="D418" s="7" t="n"/>
      <c r="E418" s="13" t="n"/>
      <c r="F418" s="19" t="n"/>
      <c r="G418" s="13" t="n"/>
      <c r="H418" s="19" t="n"/>
      <c r="I418" s="19" t="n"/>
      <c r="J418" s="13" t="n"/>
      <c r="K418" s="9">
        <f>IF(AND(C418&lt;&gt;"",N(D418)&gt;0,I418&lt;&gt;"Cancelado"),D418*IF(N(E418)&gt;0,E418,IFERROR(VLOOKUP(C418,Produtos!$A$4:$O$53,15,0),0))+N(G418),"")</f>
        <v/>
      </c>
      <c r="L418" s="9">
        <f>IF(K418="","",K418*IFERROR(VLOOKUP(H418,Config!$B$15:$C$19,2,0),0))</f>
        <v/>
      </c>
      <c r="M418" s="9">
        <f>IF(K418="","",D418*IFERROR(VLOOKUP(C418,Produtos!$A$4:$I$53,9,0),0))</f>
        <v/>
      </c>
      <c r="N418" s="9">
        <f>IF(K418="","",D418*IFERROR(VLOOKUP(C418,Produtos!$A$4:$J$53,10,0),0))</f>
        <v/>
      </c>
      <c r="O418" s="9">
        <f>IF(OR(K418="",F418=""),IF(K418="","",0),IFERROR(VLOOKUP(F418,Entrega!$A$4:$E$43,5,0),0))</f>
        <v/>
      </c>
      <c r="P418" s="9">
        <f>IF(K418="","",K418-L418-M418-N418-O418)</f>
        <v/>
      </c>
      <c r="Q418" s="9">
        <f>IF(K418="","",IF(I418="Entregue",0,K418-N(J418)))</f>
        <v/>
      </c>
      <c r="R418" s="12">
        <f>IF(ISNUMBER(A418),MONTH(A418),"")</f>
        <v/>
      </c>
      <c r="S418" s="12">
        <f>IF(ISNUMBER(A418),YEAR(A418),"")</f>
        <v/>
      </c>
    </row>
    <row r="419">
      <c r="A419" s="23" t="n"/>
      <c r="B419" s="19" t="n"/>
      <c r="C419" s="19" t="n"/>
      <c r="D419" s="7" t="n"/>
      <c r="E419" s="13" t="n"/>
      <c r="F419" s="19" t="n"/>
      <c r="G419" s="13" t="n"/>
      <c r="H419" s="19" t="n"/>
      <c r="I419" s="19" t="n"/>
      <c r="J419" s="13" t="n"/>
      <c r="K419" s="9">
        <f>IF(AND(C419&lt;&gt;"",N(D419)&gt;0,I419&lt;&gt;"Cancelado"),D419*IF(N(E419)&gt;0,E419,IFERROR(VLOOKUP(C419,Produtos!$A$4:$O$53,15,0),0))+N(G419),"")</f>
        <v/>
      </c>
      <c r="L419" s="9">
        <f>IF(K419="","",K419*IFERROR(VLOOKUP(H419,Config!$B$15:$C$19,2,0),0))</f>
        <v/>
      </c>
      <c r="M419" s="9">
        <f>IF(K419="","",D419*IFERROR(VLOOKUP(C419,Produtos!$A$4:$I$53,9,0),0))</f>
        <v/>
      </c>
      <c r="N419" s="9">
        <f>IF(K419="","",D419*IFERROR(VLOOKUP(C419,Produtos!$A$4:$J$53,10,0),0))</f>
        <v/>
      </c>
      <c r="O419" s="9">
        <f>IF(OR(K419="",F419=""),IF(K419="","",0),IFERROR(VLOOKUP(F419,Entrega!$A$4:$E$43,5,0),0))</f>
        <v/>
      </c>
      <c r="P419" s="9">
        <f>IF(K419="","",K419-L419-M419-N419-O419)</f>
        <v/>
      </c>
      <c r="Q419" s="9">
        <f>IF(K419="","",IF(I419="Entregue",0,K419-N(J419)))</f>
        <v/>
      </c>
      <c r="R419" s="12">
        <f>IF(ISNUMBER(A419),MONTH(A419),"")</f>
        <v/>
      </c>
      <c r="S419" s="12">
        <f>IF(ISNUMBER(A419),YEAR(A419),"")</f>
        <v/>
      </c>
    </row>
    <row r="420">
      <c r="A420" s="23" t="n"/>
      <c r="B420" s="19" t="n"/>
      <c r="C420" s="19" t="n"/>
      <c r="D420" s="7" t="n"/>
      <c r="E420" s="13" t="n"/>
      <c r="F420" s="19" t="n"/>
      <c r="G420" s="13" t="n"/>
      <c r="H420" s="19" t="n"/>
      <c r="I420" s="19" t="n"/>
      <c r="J420" s="13" t="n"/>
      <c r="K420" s="9">
        <f>IF(AND(C420&lt;&gt;"",N(D420)&gt;0,I420&lt;&gt;"Cancelado"),D420*IF(N(E420)&gt;0,E420,IFERROR(VLOOKUP(C420,Produtos!$A$4:$O$53,15,0),0))+N(G420),"")</f>
        <v/>
      </c>
      <c r="L420" s="9">
        <f>IF(K420="","",K420*IFERROR(VLOOKUP(H420,Config!$B$15:$C$19,2,0),0))</f>
        <v/>
      </c>
      <c r="M420" s="9">
        <f>IF(K420="","",D420*IFERROR(VLOOKUP(C420,Produtos!$A$4:$I$53,9,0),0))</f>
        <v/>
      </c>
      <c r="N420" s="9">
        <f>IF(K420="","",D420*IFERROR(VLOOKUP(C420,Produtos!$A$4:$J$53,10,0),0))</f>
        <v/>
      </c>
      <c r="O420" s="9">
        <f>IF(OR(K420="",F420=""),IF(K420="","",0),IFERROR(VLOOKUP(F420,Entrega!$A$4:$E$43,5,0),0))</f>
        <v/>
      </c>
      <c r="P420" s="9">
        <f>IF(K420="","",K420-L420-M420-N420-O420)</f>
        <v/>
      </c>
      <c r="Q420" s="9">
        <f>IF(K420="","",IF(I420="Entregue",0,K420-N(J420)))</f>
        <v/>
      </c>
      <c r="R420" s="12">
        <f>IF(ISNUMBER(A420),MONTH(A420),"")</f>
        <v/>
      </c>
      <c r="S420" s="12">
        <f>IF(ISNUMBER(A420),YEAR(A420),"")</f>
        <v/>
      </c>
    </row>
    <row r="421">
      <c r="A421" s="23" t="n"/>
      <c r="B421" s="19" t="n"/>
      <c r="C421" s="19" t="n"/>
      <c r="D421" s="7" t="n"/>
      <c r="E421" s="13" t="n"/>
      <c r="F421" s="19" t="n"/>
      <c r="G421" s="13" t="n"/>
      <c r="H421" s="19" t="n"/>
      <c r="I421" s="19" t="n"/>
      <c r="J421" s="13" t="n"/>
      <c r="K421" s="9">
        <f>IF(AND(C421&lt;&gt;"",N(D421)&gt;0,I421&lt;&gt;"Cancelado"),D421*IF(N(E421)&gt;0,E421,IFERROR(VLOOKUP(C421,Produtos!$A$4:$O$53,15,0),0))+N(G421),"")</f>
        <v/>
      </c>
      <c r="L421" s="9">
        <f>IF(K421="","",K421*IFERROR(VLOOKUP(H421,Config!$B$15:$C$19,2,0),0))</f>
        <v/>
      </c>
      <c r="M421" s="9">
        <f>IF(K421="","",D421*IFERROR(VLOOKUP(C421,Produtos!$A$4:$I$53,9,0),0))</f>
        <v/>
      </c>
      <c r="N421" s="9">
        <f>IF(K421="","",D421*IFERROR(VLOOKUP(C421,Produtos!$A$4:$J$53,10,0),0))</f>
        <v/>
      </c>
      <c r="O421" s="9">
        <f>IF(OR(K421="",F421=""),IF(K421="","",0),IFERROR(VLOOKUP(F421,Entrega!$A$4:$E$43,5,0),0))</f>
        <v/>
      </c>
      <c r="P421" s="9">
        <f>IF(K421="","",K421-L421-M421-N421-O421)</f>
        <v/>
      </c>
      <c r="Q421" s="9">
        <f>IF(K421="","",IF(I421="Entregue",0,K421-N(J421)))</f>
        <v/>
      </c>
      <c r="R421" s="12">
        <f>IF(ISNUMBER(A421),MONTH(A421),"")</f>
        <v/>
      </c>
      <c r="S421" s="12">
        <f>IF(ISNUMBER(A421),YEAR(A421),"")</f>
        <v/>
      </c>
    </row>
    <row r="422">
      <c r="A422" s="23" t="n"/>
      <c r="B422" s="19" t="n"/>
      <c r="C422" s="19" t="n"/>
      <c r="D422" s="7" t="n"/>
      <c r="E422" s="13" t="n"/>
      <c r="F422" s="19" t="n"/>
      <c r="G422" s="13" t="n"/>
      <c r="H422" s="19" t="n"/>
      <c r="I422" s="19" t="n"/>
      <c r="J422" s="13" t="n"/>
      <c r="K422" s="9">
        <f>IF(AND(C422&lt;&gt;"",N(D422)&gt;0,I422&lt;&gt;"Cancelado"),D422*IF(N(E422)&gt;0,E422,IFERROR(VLOOKUP(C422,Produtos!$A$4:$O$53,15,0),0))+N(G422),"")</f>
        <v/>
      </c>
      <c r="L422" s="9">
        <f>IF(K422="","",K422*IFERROR(VLOOKUP(H422,Config!$B$15:$C$19,2,0),0))</f>
        <v/>
      </c>
      <c r="M422" s="9">
        <f>IF(K422="","",D422*IFERROR(VLOOKUP(C422,Produtos!$A$4:$I$53,9,0),0))</f>
        <v/>
      </c>
      <c r="N422" s="9">
        <f>IF(K422="","",D422*IFERROR(VLOOKUP(C422,Produtos!$A$4:$J$53,10,0),0))</f>
        <v/>
      </c>
      <c r="O422" s="9">
        <f>IF(OR(K422="",F422=""),IF(K422="","",0),IFERROR(VLOOKUP(F422,Entrega!$A$4:$E$43,5,0),0))</f>
        <v/>
      </c>
      <c r="P422" s="9">
        <f>IF(K422="","",K422-L422-M422-N422-O422)</f>
        <v/>
      </c>
      <c r="Q422" s="9">
        <f>IF(K422="","",IF(I422="Entregue",0,K422-N(J422)))</f>
        <v/>
      </c>
      <c r="R422" s="12">
        <f>IF(ISNUMBER(A422),MONTH(A422),"")</f>
        <v/>
      </c>
      <c r="S422" s="12">
        <f>IF(ISNUMBER(A422),YEAR(A422),"")</f>
        <v/>
      </c>
    </row>
    <row r="423">
      <c r="A423" s="23" t="n"/>
      <c r="B423" s="19" t="n"/>
      <c r="C423" s="19" t="n"/>
      <c r="D423" s="7" t="n"/>
      <c r="E423" s="13" t="n"/>
      <c r="F423" s="19" t="n"/>
      <c r="G423" s="13" t="n"/>
      <c r="H423" s="19" t="n"/>
      <c r="I423" s="19" t="n"/>
      <c r="J423" s="13" t="n"/>
      <c r="K423" s="9">
        <f>IF(AND(C423&lt;&gt;"",N(D423)&gt;0,I423&lt;&gt;"Cancelado"),D423*IF(N(E423)&gt;0,E423,IFERROR(VLOOKUP(C423,Produtos!$A$4:$O$53,15,0),0))+N(G423),"")</f>
        <v/>
      </c>
      <c r="L423" s="9">
        <f>IF(K423="","",K423*IFERROR(VLOOKUP(H423,Config!$B$15:$C$19,2,0),0))</f>
        <v/>
      </c>
      <c r="M423" s="9">
        <f>IF(K423="","",D423*IFERROR(VLOOKUP(C423,Produtos!$A$4:$I$53,9,0),0))</f>
        <v/>
      </c>
      <c r="N423" s="9">
        <f>IF(K423="","",D423*IFERROR(VLOOKUP(C423,Produtos!$A$4:$J$53,10,0),0))</f>
        <v/>
      </c>
      <c r="O423" s="9">
        <f>IF(OR(K423="",F423=""),IF(K423="","",0),IFERROR(VLOOKUP(F423,Entrega!$A$4:$E$43,5,0),0))</f>
        <v/>
      </c>
      <c r="P423" s="9">
        <f>IF(K423="","",K423-L423-M423-N423-O423)</f>
        <v/>
      </c>
      <c r="Q423" s="9">
        <f>IF(K423="","",IF(I423="Entregue",0,K423-N(J423)))</f>
        <v/>
      </c>
      <c r="R423" s="12">
        <f>IF(ISNUMBER(A423),MONTH(A423),"")</f>
        <v/>
      </c>
      <c r="S423" s="12">
        <f>IF(ISNUMBER(A423),YEAR(A423),"")</f>
        <v/>
      </c>
    </row>
    <row r="424">
      <c r="A424" s="23" t="n"/>
      <c r="B424" s="19" t="n"/>
      <c r="C424" s="19" t="n"/>
      <c r="D424" s="7" t="n"/>
      <c r="E424" s="13" t="n"/>
      <c r="F424" s="19" t="n"/>
      <c r="G424" s="13" t="n"/>
      <c r="H424" s="19" t="n"/>
      <c r="I424" s="19" t="n"/>
      <c r="J424" s="13" t="n"/>
      <c r="K424" s="9">
        <f>IF(AND(C424&lt;&gt;"",N(D424)&gt;0,I424&lt;&gt;"Cancelado"),D424*IF(N(E424)&gt;0,E424,IFERROR(VLOOKUP(C424,Produtos!$A$4:$O$53,15,0),0))+N(G424),"")</f>
        <v/>
      </c>
      <c r="L424" s="9">
        <f>IF(K424="","",K424*IFERROR(VLOOKUP(H424,Config!$B$15:$C$19,2,0),0))</f>
        <v/>
      </c>
      <c r="M424" s="9">
        <f>IF(K424="","",D424*IFERROR(VLOOKUP(C424,Produtos!$A$4:$I$53,9,0),0))</f>
        <v/>
      </c>
      <c r="N424" s="9">
        <f>IF(K424="","",D424*IFERROR(VLOOKUP(C424,Produtos!$A$4:$J$53,10,0),0))</f>
        <v/>
      </c>
      <c r="O424" s="9">
        <f>IF(OR(K424="",F424=""),IF(K424="","",0),IFERROR(VLOOKUP(F424,Entrega!$A$4:$E$43,5,0),0))</f>
        <v/>
      </c>
      <c r="P424" s="9">
        <f>IF(K424="","",K424-L424-M424-N424-O424)</f>
        <v/>
      </c>
      <c r="Q424" s="9">
        <f>IF(K424="","",IF(I424="Entregue",0,K424-N(J424)))</f>
        <v/>
      </c>
      <c r="R424" s="12">
        <f>IF(ISNUMBER(A424),MONTH(A424),"")</f>
        <v/>
      </c>
      <c r="S424" s="12">
        <f>IF(ISNUMBER(A424),YEAR(A424),"")</f>
        <v/>
      </c>
    </row>
    <row r="425">
      <c r="A425" s="23" t="n"/>
      <c r="B425" s="19" t="n"/>
      <c r="C425" s="19" t="n"/>
      <c r="D425" s="7" t="n"/>
      <c r="E425" s="13" t="n"/>
      <c r="F425" s="19" t="n"/>
      <c r="G425" s="13" t="n"/>
      <c r="H425" s="19" t="n"/>
      <c r="I425" s="19" t="n"/>
      <c r="J425" s="13" t="n"/>
      <c r="K425" s="9">
        <f>IF(AND(C425&lt;&gt;"",N(D425)&gt;0,I425&lt;&gt;"Cancelado"),D425*IF(N(E425)&gt;0,E425,IFERROR(VLOOKUP(C425,Produtos!$A$4:$O$53,15,0),0))+N(G425),"")</f>
        <v/>
      </c>
      <c r="L425" s="9">
        <f>IF(K425="","",K425*IFERROR(VLOOKUP(H425,Config!$B$15:$C$19,2,0),0))</f>
        <v/>
      </c>
      <c r="M425" s="9">
        <f>IF(K425="","",D425*IFERROR(VLOOKUP(C425,Produtos!$A$4:$I$53,9,0),0))</f>
        <v/>
      </c>
      <c r="N425" s="9">
        <f>IF(K425="","",D425*IFERROR(VLOOKUP(C425,Produtos!$A$4:$J$53,10,0),0))</f>
        <v/>
      </c>
      <c r="O425" s="9">
        <f>IF(OR(K425="",F425=""),IF(K425="","",0),IFERROR(VLOOKUP(F425,Entrega!$A$4:$E$43,5,0),0))</f>
        <v/>
      </c>
      <c r="P425" s="9">
        <f>IF(K425="","",K425-L425-M425-N425-O425)</f>
        <v/>
      </c>
      <c r="Q425" s="9">
        <f>IF(K425="","",IF(I425="Entregue",0,K425-N(J425)))</f>
        <v/>
      </c>
      <c r="R425" s="12">
        <f>IF(ISNUMBER(A425),MONTH(A425),"")</f>
        <v/>
      </c>
      <c r="S425" s="12">
        <f>IF(ISNUMBER(A425),YEAR(A425),"")</f>
        <v/>
      </c>
    </row>
    <row r="426">
      <c r="A426" s="23" t="n"/>
      <c r="B426" s="19" t="n"/>
      <c r="C426" s="19" t="n"/>
      <c r="D426" s="7" t="n"/>
      <c r="E426" s="13" t="n"/>
      <c r="F426" s="19" t="n"/>
      <c r="G426" s="13" t="n"/>
      <c r="H426" s="19" t="n"/>
      <c r="I426" s="19" t="n"/>
      <c r="J426" s="13" t="n"/>
      <c r="K426" s="9">
        <f>IF(AND(C426&lt;&gt;"",N(D426)&gt;0,I426&lt;&gt;"Cancelado"),D426*IF(N(E426)&gt;0,E426,IFERROR(VLOOKUP(C426,Produtos!$A$4:$O$53,15,0),0))+N(G426),"")</f>
        <v/>
      </c>
      <c r="L426" s="9">
        <f>IF(K426="","",K426*IFERROR(VLOOKUP(H426,Config!$B$15:$C$19,2,0),0))</f>
        <v/>
      </c>
      <c r="M426" s="9">
        <f>IF(K426="","",D426*IFERROR(VLOOKUP(C426,Produtos!$A$4:$I$53,9,0),0))</f>
        <v/>
      </c>
      <c r="N426" s="9">
        <f>IF(K426="","",D426*IFERROR(VLOOKUP(C426,Produtos!$A$4:$J$53,10,0),0))</f>
        <v/>
      </c>
      <c r="O426" s="9">
        <f>IF(OR(K426="",F426=""),IF(K426="","",0),IFERROR(VLOOKUP(F426,Entrega!$A$4:$E$43,5,0),0))</f>
        <v/>
      </c>
      <c r="P426" s="9">
        <f>IF(K426="","",K426-L426-M426-N426-O426)</f>
        <v/>
      </c>
      <c r="Q426" s="9">
        <f>IF(K426="","",IF(I426="Entregue",0,K426-N(J426)))</f>
        <v/>
      </c>
      <c r="R426" s="12">
        <f>IF(ISNUMBER(A426),MONTH(A426),"")</f>
        <v/>
      </c>
      <c r="S426" s="12">
        <f>IF(ISNUMBER(A426),YEAR(A426),"")</f>
        <v/>
      </c>
    </row>
    <row r="427">
      <c r="A427" s="23" t="n"/>
      <c r="B427" s="19" t="n"/>
      <c r="C427" s="19" t="n"/>
      <c r="D427" s="7" t="n"/>
      <c r="E427" s="13" t="n"/>
      <c r="F427" s="19" t="n"/>
      <c r="G427" s="13" t="n"/>
      <c r="H427" s="19" t="n"/>
      <c r="I427" s="19" t="n"/>
      <c r="J427" s="13" t="n"/>
      <c r="K427" s="9">
        <f>IF(AND(C427&lt;&gt;"",N(D427)&gt;0,I427&lt;&gt;"Cancelado"),D427*IF(N(E427)&gt;0,E427,IFERROR(VLOOKUP(C427,Produtos!$A$4:$O$53,15,0),0))+N(G427),"")</f>
        <v/>
      </c>
      <c r="L427" s="9">
        <f>IF(K427="","",K427*IFERROR(VLOOKUP(H427,Config!$B$15:$C$19,2,0),0))</f>
        <v/>
      </c>
      <c r="M427" s="9">
        <f>IF(K427="","",D427*IFERROR(VLOOKUP(C427,Produtos!$A$4:$I$53,9,0),0))</f>
        <v/>
      </c>
      <c r="N427" s="9">
        <f>IF(K427="","",D427*IFERROR(VLOOKUP(C427,Produtos!$A$4:$J$53,10,0),0))</f>
        <v/>
      </c>
      <c r="O427" s="9">
        <f>IF(OR(K427="",F427=""),IF(K427="","",0),IFERROR(VLOOKUP(F427,Entrega!$A$4:$E$43,5,0),0))</f>
        <v/>
      </c>
      <c r="P427" s="9">
        <f>IF(K427="","",K427-L427-M427-N427-O427)</f>
        <v/>
      </c>
      <c r="Q427" s="9">
        <f>IF(K427="","",IF(I427="Entregue",0,K427-N(J427)))</f>
        <v/>
      </c>
      <c r="R427" s="12">
        <f>IF(ISNUMBER(A427),MONTH(A427),"")</f>
        <v/>
      </c>
      <c r="S427" s="12">
        <f>IF(ISNUMBER(A427),YEAR(A427),"")</f>
        <v/>
      </c>
    </row>
    <row r="428">
      <c r="A428" s="23" t="n"/>
      <c r="B428" s="19" t="n"/>
      <c r="C428" s="19" t="n"/>
      <c r="D428" s="7" t="n"/>
      <c r="E428" s="13" t="n"/>
      <c r="F428" s="19" t="n"/>
      <c r="G428" s="13" t="n"/>
      <c r="H428" s="19" t="n"/>
      <c r="I428" s="19" t="n"/>
      <c r="J428" s="13" t="n"/>
      <c r="K428" s="9">
        <f>IF(AND(C428&lt;&gt;"",N(D428)&gt;0,I428&lt;&gt;"Cancelado"),D428*IF(N(E428)&gt;0,E428,IFERROR(VLOOKUP(C428,Produtos!$A$4:$O$53,15,0),0))+N(G428),"")</f>
        <v/>
      </c>
      <c r="L428" s="9">
        <f>IF(K428="","",K428*IFERROR(VLOOKUP(H428,Config!$B$15:$C$19,2,0),0))</f>
        <v/>
      </c>
      <c r="M428" s="9">
        <f>IF(K428="","",D428*IFERROR(VLOOKUP(C428,Produtos!$A$4:$I$53,9,0),0))</f>
        <v/>
      </c>
      <c r="N428" s="9">
        <f>IF(K428="","",D428*IFERROR(VLOOKUP(C428,Produtos!$A$4:$J$53,10,0),0))</f>
        <v/>
      </c>
      <c r="O428" s="9">
        <f>IF(OR(K428="",F428=""),IF(K428="","",0),IFERROR(VLOOKUP(F428,Entrega!$A$4:$E$43,5,0),0))</f>
        <v/>
      </c>
      <c r="P428" s="9">
        <f>IF(K428="","",K428-L428-M428-N428-O428)</f>
        <v/>
      </c>
      <c r="Q428" s="9">
        <f>IF(K428="","",IF(I428="Entregue",0,K428-N(J428)))</f>
        <v/>
      </c>
      <c r="R428" s="12">
        <f>IF(ISNUMBER(A428),MONTH(A428),"")</f>
        <v/>
      </c>
      <c r="S428" s="12">
        <f>IF(ISNUMBER(A428),YEAR(A428),"")</f>
        <v/>
      </c>
    </row>
    <row r="429">
      <c r="A429" s="23" t="n"/>
      <c r="B429" s="19" t="n"/>
      <c r="C429" s="19" t="n"/>
      <c r="D429" s="7" t="n"/>
      <c r="E429" s="13" t="n"/>
      <c r="F429" s="19" t="n"/>
      <c r="G429" s="13" t="n"/>
      <c r="H429" s="19" t="n"/>
      <c r="I429" s="19" t="n"/>
      <c r="J429" s="13" t="n"/>
      <c r="K429" s="9">
        <f>IF(AND(C429&lt;&gt;"",N(D429)&gt;0,I429&lt;&gt;"Cancelado"),D429*IF(N(E429)&gt;0,E429,IFERROR(VLOOKUP(C429,Produtos!$A$4:$O$53,15,0),0))+N(G429),"")</f>
        <v/>
      </c>
      <c r="L429" s="9">
        <f>IF(K429="","",K429*IFERROR(VLOOKUP(H429,Config!$B$15:$C$19,2,0),0))</f>
        <v/>
      </c>
      <c r="M429" s="9">
        <f>IF(K429="","",D429*IFERROR(VLOOKUP(C429,Produtos!$A$4:$I$53,9,0),0))</f>
        <v/>
      </c>
      <c r="N429" s="9">
        <f>IF(K429="","",D429*IFERROR(VLOOKUP(C429,Produtos!$A$4:$J$53,10,0),0))</f>
        <v/>
      </c>
      <c r="O429" s="9">
        <f>IF(OR(K429="",F429=""),IF(K429="","",0),IFERROR(VLOOKUP(F429,Entrega!$A$4:$E$43,5,0),0))</f>
        <v/>
      </c>
      <c r="P429" s="9">
        <f>IF(K429="","",K429-L429-M429-N429-O429)</f>
        <v/>
      </c>
      <c r="Q429" s="9">
        <f>IF(K429="","",IF(I429="Entregue",0,K429-N(J429)))</f>
        <v/>
      </c>
      <c r="R429" s="12">
        <f>IF(ISNUMBER(A429),MONTH(A429),"")</f>
        <v/>
      </c>
      <c r="S429" s="12">
        <f>IF(ISNUMBER(A429),YEAR(A429),"")</f>
        <v/>
      </c>
    </row>
    <row r="430">
      <c r="A430" s="23" t="n"/>
      <c r="B430" s="19" t="n"/>
      <c r="C430" s="19" t="n"/>
      <c r="D430" s="7" t="n"/>
      <c r="E430" s="13" t="n"/>
      <c r="F430" s="19" t="n"/>
      <c r="G430" s="13" t="n"/>
      <c r="H430" s="19" t="n"/>
      <c r="I430" s="19" t="n"/>
      <c r="J430" s="13" t="n"/>
      <c r="K430" s="9">
        <f>IF(AND(C430&lt;&gt;"",N(D430)&gt;0,I430&lt;&gt;"Cancelado"),D430*IF(N(E430)&gt;0,E430,IFERROR(VLOOKUP(C430,Produtos!$A$4:$O$53,15,0),0))+N(G430),"")</f>
        <v/>
      </c>
      <c r="L430" s="9">
        <f>IF(K430="","",K430*IFERROR(VLOOKUP(H430,Config!$B$15:$C$19,2,0),0))</f>
        <v/>
      </c>
      <c r="M430" s="9">
        <f>IF(K430="","",D430*IFERROR(VLOOKUP(C430,Produtos!$A$4:$I$53,9,0),0))</f>
        <v/>
      </c>
      <c r="N430" s="9">
        <f>IF(K430="","",D430*IFERROR(VLOOKUP(C430,Produtos!$A$4:$J$53,10,0),0))</f>
        <v/>
      </c>
      <c r="O430" s="9">
        <f>IF(OR(K430="",F430=""),IF(K430="","",0),IFERROR(VLOOKUP(F430,Entrega!$A$4:$E$43,5,0),0))</f>
        <v/>
      </c>
      <c r="P430" s="9">
        <f>IF(K430="","",K430-L430-M430-N430-O430)</f>
        <v/>
      </c>
      <c r="Q430" s="9">
        <f>IF(K430="","",IF(I430="Entregue",0,K430-N(J430)))</f>
        <v/>
      </c>
      <c r="R430" s="12">
        <f>IF(ISNUMBER(A430),MONTH(A430),"")</f>
        <v/>
      </c>
      <c r="S430" s="12">
        <f>IF(ISNUMBER(A430),YEAR(A430),"")</f>
        <v/>
      </c>
    </row>
    <row r="431">
      <c r="A431" s="23" t="n"/>
      <c r="B431" s="19" t="n"/>
      <c r="C431" s="19" t="n"/>
      <c r="D431" s="7" t="n"/>
      <c r="E431" s="13" t="n"/>
      <c r="F431" s="19" t="n"/>
      <c r="G431" s="13" t="n"/>
      <c r="H431" s="19" t="n"/>
      <c r="I431" s="19" t="n"/>
      <c r="J431" s="13" t="n"/>
      <c r="K431" s="9">
        <f>IF(AND(C431&lt;&gt;"",N(D431)&gt;0,I431&lt;&gt;"Cancelado"),D431*IF(N(E431)&gt;0,E431,IFERROR(VLOOKUP(C431,Produtos!$A$4:$O$53,15,0),0))+N(G431),"")</f>
        <v/>
      </c>
      <c r="L431" s="9">
        <f>IF(K431="","",K431*IFERROR(VLOOKUP(H431,Config!$B$15:$C$19,2,0),0))</f>
        <v/>
      </c>
      <c r="M431" s="9">
        <f>IF(K431="","",D431*IFERROR(VLOOKUP(C431,Produtos!$A$4:$I$53,9,0),0))</f>
        <v/>
      </c>
      <c r="N431" s="9">
        <f>IF(K431="","",D431*IFERROR(VLOOKUP(C431,Produtos!$A$4:$J$53,10,0),0))</f>
        <v/>
      </c>
      <c r="O431" s="9">
        <f>IF(OR(K431="",F431=""),IF(K431="","",0),IFERROR(VLOOKUP(F431,Entrega!$A$4:$E$43,5,0),0))</f>
        <v/>
      </c>
      <c r="P431" s="9">
        <f>IF(K431="","",K431-L431-M431-N431-O431)</f>
        <v/>
      </c>
      <c r="Q431" s="9">
        <f>IF(K431="","",IF(I431="Entregue",0,K431-N(J431)))</f>
        <v/>
      </c>
      <c r="R431" s="12">
        <f>IF(ISNUMBER(A431),MONTH(A431),"")</f>
        <v/>
      </c>
      <c r="S431" s="12">
        <f>IF(ISNUMBER(A431),YEAR(A431),"")</f>
        <v/>
      </c>
    </row>
    <row r="432">
      <c r="A432" s="23" t="n"/>
      <c r="B432" s="19" t="n"/>
      <c r="C432" s="19" t="n"/>
      <c r="D432" s="7" t="n"/>
      <c r="E432" s="13" t="n"/>
      <c r="F432" s="19" t="n"/>
      <c r="G432" s="13" t="n"/>
      <c r="H432" s="19" t="n"/>
      <c r="I432" s="19" t="n"/>
      <c r="J432" s="13" t="n"/>
      <c r="K432" s="9">
        <f>IF(AND(C432&lt;&gt;"",N(D432)&gt;0,I432&lt;&gt;"Cancelado"),D432*IF(N(E432)&gt;0,E432,IFERROR(VLOOKUP(C432,Produtos!$A$4:$O$53,15,0),0))+N(G432),"")</f>
        <v/>
      </c>
      <c r="L432" s="9">
        <f>IF(K432="","",K432*IFERROR(VLOOKUP(H432,Config!$B$15:$C$19,2,0),0))</f>
        <v/>
      </c>
      <c r="M432" s="9">
        <f>IF(K432="","",D432*IFERROR(VLOOKUP(C432,Produtos!$A$4:$I$53,9,0),0))</f>
        <v/>
      </c>
      <c r="N432" s="9">
        <f>IF(K432="","",D432*IFERROR(VLOOKUP(C432,Produtos!$A$4:$J$53,10,0),0))</f>
        <v/>
      </c>
      <c r="O432" s="9">
        <f>IF(OR(K432="",F432=""),IF(K432="","",0),IFERROR(VLOOKUP(F432,Entrega!$A$4:$E$43,5,0),0))</f>
        <v/>
      </c>
      <c r="P432" s="9">
        <f>IF(K432="","",K432-L432-M432-N432-O432)</f>
        <v/>
      </c>
      <c r="Q432" s="9">
        <f>IF(K432="","",IF(I432="Entregue",0,K432-N(J432)))</f>
        <v/>
      </c>
      <c r="R432" s="12">
        <f>IF(ISNUMBER(A432),MONTH(A432),"")</f>
        <v/>
      </c>
      <c r="S432" s="12">
        <f>IF(ISNUMBER(A432),YEAR(A432),"")</f>
        <v/>
      </c>
    </row>
    <row r="433">
      <c r="A433" s="23" t="n"/>
      <c r="B433" s="19" t="n"/>
      <c r="C433" s="19" t="n"/>
      <c r="D433" s="7" t="n"/>
      <c r="E433" s="13" t="n"/>
      <c r="F433" s="19" t="n"/>
      <c r="G433" s="13" t="n"/>
      <c r="H433" s="19" t="n"/>
      <c r="I433" s="19" t="n"/>
      <c r="J433" s="13" t="n"/>
      <c r="K433" s="9">
        <f>IF(AND(C433&lt;&gt;"",N(D433)&gt;0,I433&lt;&gt;"Cancelado"),D433*IF(N(E433)&gt;0,E433,IFERROR(VLOOKUP(C433,Produtos!$A$4:$O$53,15,0),0))+N(G433),"")</f>
        <v/>
      </c>
      <c r="L433" s="9">
        <f>IF(K433="","",K433*IFERROR(VLOOKUP(H433,Config!$B$15:$C$19,2,0),0))</f>
        <v/>
      </c>
      <c r="M433" s="9">
        <f>IF(K433="","",D433*IFERROR(VLOOKUP(C433,Produtos!$A$4:$I$53,9,0),0))</f>
        <v/>
      </c>
      <c r="N433" s="9">
        <f>IF(K433="","",D433*IFERROR(VLOOKUP(C433,Produtos!$A$4:$J$53,10,0),0))</f>
        <v/>
      </c>
      <c r="O433" s="9">
        <f>IF(OR(K433="",F433=""),IF(K433="","",0),IFERROR(VLOOKUP(F433,Entrega!$A$4:$E$43,5,0),0))</f>
        <v/>
      </c>
      <c r="P433" s="9">
        <f>IF(K433="","",K433-L433-M433-N433-O433)</f>
        <v/>
      </c>
      <c r="Q433" s="9">
        <f>IF(K433="","",IF(I433="Entregue",0,K433-N(J433)))</f>
        <v/>
      </c>
      <c r="R433" s="12">
        <f>IF(ISNUMBER(A433),MONTH(A433),"")</f>
        <v/>
      </c>
      <c r="S433" s="12">
        <f>IF(ISNUMBER(A433),YEAR(A433),"")</f>
        <v/>
      </c>
    </row>
    <row r="434">
      <c r="A434" s="23" t="n"/>
      <c r="B434" s="19" t="n"/>
      <c r="C434" s="19" t="n"/>
      <c r="D434" s="7" t="n"/>
      <c r="E434" s="13" t="n"/>
      <c r="F434" s="19" t="n"/>
      <c r="G434" s="13" t="n"/>
      <c r="H434" s="19" t="n"/>
      <c r="I434" s="19" t="n"/>
      <c r="J434" s="13" t="n"/>
      <c r="K434" s="9">
        <f>IF(AND(C434&lt;&gt;"",N(D434)&gt;0,I434&lt;&gt;"Cancelado"),D434*IF(N(E434)&gt;0,E434,IFERROR(VLOOKUP(C434,Produtos!$A$4:$O$53,15,0),0))+N(G434),"")</f>
        <v/>
      </c>
      <c r="L434" s="9">
        <f>IF(K434="","",K434*IFERROR(VLOOKUP(H434,Config!$B$15:$C$19,2,0),0))</f>
        <v/>
      </c>
      <c r="M434" s="9">
        <f>IF(K434="","",D434*IFERROR(VLOOKUP(C434,Produtos!$A$4:$I$53,9,0),0))</f>
        <v/>
      </c>
      <c r="N434" s="9">
        <f>IF(K434="","",D434*IFERROR(VLOOKUP(C434,Produtos!$A$4:$J$53,10,0),0))</f>
        <v/>
      </c>
      <c r="O434" s="9">
        <f>IF(OR(K434="",F434=""),IF(K434="","",0),IFERROR(VLOOKUP(F434,Entrega!$A$4:$E$43,5,0),0))</f>
        <v/>
      </c>
      <c r="P434" s="9">
        <f>IF(K434="","",K434-L434-M434-N434-O434)</f>
        <v/>
      </c>
      <c r="Q434" s="9">
        <f>IF(K434="","",IF(I434="Entregue",0,K434-N(J434)))</f>
        <v/>
      </c>
      <c r="R434" s="12">
        <f>IF(ISNUMBER(A434),MONTH(A434),"")</f>
        <v/>
      </c>
      <c r="S434" s="12">
        <f>IF(ISNUMBER(A434),YEAR(A434),"")</f>
        <v/>
      </c>
    </row>
    <row r="435">
      <c r="A435" s="23" t="n"/>
      <c r="B435" s="19" t="n"/>
      <c r="C435" s="19" t="n"/>
      <c r="D435" s="7" t="n"/>
      <c r="E435" s="13" t="n"/>
      <c r="F435" s="19" t="n"/>
      <c r="G435" s="13" t="n"/>
      <c r="H435" s="19" t="n"/>
      <c r="I435" s="19" t="n"/>
      <c r="J435" s="13" t="n"/>
      <c r="K435" s="9">
        <f>IF(AND(C435&lt;&gt;"",N(D435)&gt;0,I435&lt;&gt;"Cancelado"),D435*IF(N(E435)&gt;0,E435,IFERROR(VLOOKUP(C435,Produtos!$A$4:$O$53,15,0),0))+N(G435),"")</f>
        <v/>
      </c>
      <c r="L435" s="9">
        <f>IF(K435="","",K435*IFERROR(VLOOKUP(H435,Config!$B$15:$C$19,2,0),0))</f>
        <v/>
      </c>
      <c r="M435" s="9">
        <f>IF(K435="","",D435*IFERROR(VLOOKUP(C435,Produtos!$A$4:$I$53,9,0),0))</f>
        <v/>
      </c>
      <c r="N435" s="9">
        <f>IF(K435="","",D435*IFERROR(VLOOKUP(C435,Produtos!$A$4:$J$53,10,0),0))</f>
        <v/>
      </c>
      <c r="O435" s="9">
        <f>IF(OR(K435="",F435=""),IF(K435="","",0),IFERROR(VLOOKUP(F435,Entrega!$A$4:$E$43,5,0),0))</f>
        <v/>
      </c>
      <c r="P435" s="9">
        <f>IF(K435="","",K435-L435-M435-N435-O435)</f>
        <v/>
      </c>
      <c r="Q435" s="9">
        <f>IF(K435="","",IF(I435="Entregue",0,K435-N(J435)))</f>
        <v/>
      </c>
      <c r="R435" s="12">
        <f>IF(ISNUMBER(A435),MONTH(A435),"")</f>
        <v/>
      </c>
      <c r="S435" s="12">
        <f>IF(ISNUMBER(A435),YEAR(A435),"")</f>
        <v/>
      </c>
    </row>
    <row r="436">
      <c r="A436" s="23" t="n"/>
      <c r="B436" s="19" t="n"/>
      <c r="C436" s="19" t="n"/>
      <c r="D436" s="7" t="n"/>
      <c r="E436" s="13" t="n"/>
      <c r="F436" s="19" t="n"/>
      <c r="G436" s="13" t="n"/>
      <c r="H436" s="19" t="n"/>
      <c r="I436" s="19" t="n"/>
      <c r="J436" s="13" t="n"/>
      <c r="K436" s="9">
        <f>IF(AND(C436&lt;&gt;"",N(D436)&gt;0,I436&lt;&gt;"Cancelado"),D436*IF(N(E436)&gt;0,E436,IFERROR(VLOOKUP(C436,Produtos!$A$4:$O$53,15,0),0))+N(G436),"")</f>
        <v/>
      </c>
      <c r="L436" s="9">
        <f>IF(K436="","",K436*IFERROR(VLOOKUP(H436,Config!$B$15:$C$19,2,0),0))</f>
        <v/>
      </c>
      <c r="M436" s="9">
        <f>IF(K436="","",D436*IFERROR(VLOOKUP(C436,Produtos!$A$4:$I$53,9,0),0))</f>
        <v/>
      </c>
      <c r="N436" s="9">
        <f>IF(K436="","",D436*IFERROR(VLOOKUP(C436,Produtos!$A$4:$J$53,10,0),0))</f>
        <v/>
      </c>
      <c r="O436" s="9">
        <f>IF(OR(K436="",F436=""),IF(K436="","",0),IFERROR(VLOOKUP(F436,Entrega!$A$4:$E$43,5,0),0))</f>
        <v/>
      </c>
      <c r="P436" s="9">
        <f>IF(K436="","",K436-L436-M436-N436-O436)</f>
        <v/>
      </c>
      <c r="Q436" s="9">
        <f>IF(K436="","",IF(I436="Entregue",0,K436-N(J436)))</f>
        <v/>
      </c>
      <c r="R436" s="12">
        <f>IF(ISNUMBER(A436),MONTH(A436),"")</f>
        <v/>
      </c>
      <c r="S436" s="12">
        <f>IF(ISNUMBER(A436),YEAR(A436),"")</f>
        <v/>
      </c>
    </row>
    <row r="437">
      <c r="A437" s="23" t="n"/>
      <c r="B437" s="19" t="n"/>
      <c r="C437" s="19" t="n"/>
      <c r="D437" s="7" t="n"/>
      <c r="E437" s="13" t="n"/>
      <c r="F437" s="19" t="n"/>
      <c r="G437" s="13" t="n"/>
      <c r="H437" s="19" t="n"/>
      <c r="I437" s="19" t="n"/>
      <c r="J437" s="13" t="n"/>
      <c r="K437" s="9">
        <f>IF(AND(C437&lt;&gt;"",N(D437)&gt;0,I437&lt;&gt;"Cancelado"),D437*IF(N(E437)&gt;0,E437,IFERROR(VLOOKUP(C437,Produtos!$A$4:$O$53,15,0),0))+N(G437),"")</f>
        <v/>
      </c>
      <c r="L437" s="9">
        <f>IF(K437="","",K437*IFERROR(VLOOKUP(H437,Config!$B$15:$C$19,2,0),0))</f>
        <v/>
      </c>
      <c r="M437" s="9">
        <f>IF(K437="","",D437*IFERROR(VLOOKUP(C437,Produtos!$A$4:$I$53,9,0),0))</f>
        <v/>
      </c>
      <c r="N437" s="9">
        <f>IF(K437="","",D437*IFERROR(VLOOKUP(C437,Produtos!$A$4:$J$53,10,0),0))</f>
        <v/>
      </c>
      <c r="O437" s="9">
        <f>IF(OR(K437="",F437=""),IF(K437="","",0),IFERROR(VLOOKUP(F437,Entrega!$A$4:$E$43,5,0),0))</f>
        <v/>
      </c>
      <c r="P437" s="9">
        <f>IF(K437="","",K437-L437-M437-N437-O437)</f>
        <v/>
      </c>
      <c r="Q437" s="9">
        <f>IF(K437="","",IF(I437="Entregue",0,K437-N(J437)))</f>
        <v/>
      </c>
      <c r="R437" s="12">
        <f>IF(ISNUMBER(A437),MONTH(A437),"")</f>
        <v/>
      </c>
      <c r="S437" s="12">
        <f>IF(ISNUMBER(A437),YEAR(A437),"")</f>
        <v/>
      </c>
    </row>
    <row r="438">
      <c r="A438" s="23" t="n"/>
      <c r="B438" s="19" t="n"/>
      <c r="C438" s="19" t="n"/>
      <c r="D438" s="7" t="n"/>
      <c r="E438" s="13" t="n"/>
      <c r="F438" s="19" t="n"/>
      <c r="G438" s="13" t="n"/>
      <c r="H438" s="19" t="n"/>
      <c r="I438" s="19" t="n"/>
      <c r="J438" s="13" t="n"/>
      <c r="K438" s="9">
        <f>IF(AND(C438&lt;&gt;"",N(D438)&gt;0,I438&lt;&gt;"Cancelado"),D438*IF(N(E438)&gt;0,E438,IFERROR(VLOOKUP(C438,Produtos!$A$4:$O$53,15,0),0))+N(G438),"")</f>
        <v/>
      </c>
      <c r="L438" s="9">
        <f>IF(K438="","",K438*IFERROR(VLOOKUP(H438,Config!$B$15:$C$19,2,0),0))</f>
        <v/>
      </c>
      <c r="M438" s="9">
        <f>IF(K438="","",D438*IFERROR(VLOOKUP(C438,Produtos!$A$4:$I$53,9,0),0))</f>
        <v/>
      </c>
      <c r="N438" s="9">
        <f>IF(K438="","",D438*IFERROR(VLOOKUP(C438,Produtos!$A$4:$J$53,10,0),0))</f>
        <v/>
      </c>
      <c r="O438" s="9">
        <f>IF(OR(K438="",F438=""),IF(K438="","",0),IFERROR(VLOOKUP(F438,Entrega!$A$4:$E$43,5,0),0))</f>
        <v/>
      </c>
      <c r="P438" s="9">
        <f>IF(K438="","",K438-L438-M438-N438-O438)</f>
        <v/>
      </c>
      <c r="Q438" s="9">
        <f>IF(K438="","",IF(I438="Entregue",0,K438-N(J438)))</f>
        <v/>
      </c>
      <c r="R438" s="12">
        <f>IF(ISNUMBER(A438),MONTH(A438),"")</f>
        <v/>
      </c>
      <c r="S438" s="12">
        <f>IF(ISNUMBER(A438),YEAR(A438),"")</f>
        <v/>
      </c>
    </row>
    <row r="439">
      <c r="A439" s="23" t="n"/>
      <c r="B439" s="19" t="n"/>
      <c r="C439" s="19" t="n"/>
      <c r="D439" s="7" t="n"/>
      <c r="E439" s="13" t="n"/>
      <c r="F439" s="19" t="n"/>
      <c r="G439" s="13" t="n"/>
      <c r="H439" s="19" t="n"/>
      <c r="I439" s="19" t="n"/>
      <c r="J439" s="13" t="n"/>
      <c r="K439" s="9">
        <f>IF(AND(C439&lt;&gt;"",N(D439)&gt;0,I439&lt;&gt;"Cancelado"),D439*IF(N(E439)&gt;0,E439,IFERROR(VLOOKUP(C439,Produtos!$A$4:$O$53,15,0),0))+N(G439),"")</f>
        <v/>
      </c>
      <c r="L439" s="9">
        <f>IF(K439="","",K439*IFERROR(VLOOKUP(H439,Config!$B$15:$C$19,2,0),0))</f>
        <v/>
      </c>
      <c r="M439" s="9">
        <f>IF(K439="","",D439*IFERROR(VLOOKUP(C439,Produtos!$A$4:$I$53,9,0),0))</f>
        <v/>
      </c>
      <c r="N439" s="9">
        <f>IF(K439="","",D439*IFERROR(VLOOKUP(C439,Produtos!$A$4:$J$53,10,0),0))</f>
        <v/>
      </c>
      <c r="O439" s="9">
        <f>IF(OR(K439="",F439=""),IF(K439="","",0),IFERROR(VLOOKUP(F439,Entrega!$A$4:$E$43,5,0),0))</f>
        <v/>
      </c>
      <c r="P439" s="9">
        <f>IF(K439="","",K439-L439-M439-N439-O439)</f>
        <v/>
      </c>
      <c r="Q439" s="9">
        <f>IF(K439="","",IF(I439="Entregue",0,K439-N(J439)))</f>
        <v/>
      </c>
      <c r="R439" s="12">
        <f>IF(ISNUMBER(A439),MONTH(A439),"")</f>
        <v/>
      </c>
      <c r="S439" s="12">
        <f>IF(ISNUMBER(A439),YEAR(A439),"")</f>
        <v/>
      </c>
    </row>
    <row r="440">
      <c r="A440" s="23" t="n"/>
      <c r="B440" s="19" t="n"/>
      <c r="C440" s="19" t="n"/>
      <c r="D440" s="7" t="n"/>
      <c r="E440" s="13" t="n"/>
      <c r="F440" s="19" t="n"/>
      <c r="G440" s="13" t="n"/>
      <c r="H440" s="19" t="n"/>
      <c r="I440" s="19" t="n"/>
      <c r="J440" s="13" t="n"/>
      <c r="K440" s="9">
        <f>IF(AND(C440&lt;&gt;"",N(D440)&gt;0,I440&lt;&gt;"Cancelado"),D440*IF(N(E440)&gt;0,E440,IFERROR(VLOOKUP(C440,Produtos!$A$4:$O$53,15,0),0))+N(G440),"")</f>
        <v/>
      </c>
      <c r="L440" s="9">
        <f>IF(K440="","",K440*IFERROR(VLOOKUP(H440,Config!$B$15:$C$19,2,0),0))</f>
        <v/>
      </c>
      <c r="M440" s="9">
        <f>IF(K440="","",D440*IFERROR(VLOOKUP(C440,Produtos!$A$4:$I$53,9,0),0))</f>
        <v/>
      </c>
      <c r="N440" s="9">
        <f>IF(K440="","",D440*IFERROR(VLOOKUP(C440,Produtos!$A$4:$J$53,10,0),0))</f>
        <v/>
      </c>
      <c r="O440" s="9">
        <f>IF(OR(K440="",F440=""),IF(K440="","",0),IFERROR(VLOOKUP(F440,Entrega!$A$4:$E$43,5,0),0))</f>
        <v/>
      </c>
      <c r="P440" s="9">
        <f>IF(K440="","",K440-L440-M440-N440-O440)</f>
        <v/>
      </c>
      <c r="Q440" s="9">
        <f>IF(K440="","",IF(I440="Entregue",0,K440-N(J440)))</f>
        <v/>
      </c>
      <c r="R440" s="12">
        <f>IF(ISNUMBER(A440),MONTH(A440),"")</f>
        <v/>
      </c>
      <c r="S440" s="12">
        <f>IF(ISNUMBER(A440),YEAR(A440),"")</f>
        <v/>
      </c>
    </row>
    <row r="441">
      <c r="A441" s="23" t="n"/>
      <c r="B441" s="19" t="n"/>
      <c r="C441" s="19" t="n"/>
      <c r="D441" s="7" t="n"/>
      <c r="E441" s="13" t="n"/>
      <c r="F441" s="19" t="n"/>
      <c r="G441" s="13" t="n"/>
      <c r="H441" s="19" t="n"/>
      <c r="I441" s="19" t="n"/>
      <c r="J441" s="13" t="n"/>
      <c r="K441" s="9">
        <f>IF(AND(C441&lt;&gt;"",N(D441)&gt;0,I441&lt;&gt;"Cancelado"),D441*IF(N(E441)&gt;0,E441,IFERROR(VLOOKUP(C441,Produtos!$A$4:$O$53,15,0),0))+N(G441),"")</f>
        <v/>
      </c>
      <c r="L441" s="9">
        <f>IF(K441="","",K441*IFERROR(VLOOKUP(H441,Config!$B$15:$C$19,2,0),0))</f>
        <v/>
      </c>
      <c r="M441" s="9">
        <f>IF(K441="","",D441*IFERROR(VLOOKUP(C441,Produtos!$A$4:$I$53,9,0),0))</f>
        <v/>
      </c>
      <c r="N441" s="9">
        <f>IF(K441="","",D441*IFERROR(VLOOKUP(C441,Produtos!$A$4:$J$53,10,0),0))</f>
        <v/>
      </c>
      <c r="O441" s="9">
        <f>IF(OR(K441="",F441=""),IF(K441="","",0),IFERROR(VLOOKUP(F441,Entrega!$A$4:$E$43,5,0),0))</f>
        <v/>
      </c>
      <c r="P441" s="9">
        <f>IF(K441="","",K441-L441-M441-N441-O441)</f>
        <v/>
      </c>
      <c r="Q441" s="9">
        <f>IF(K441="","",IF(I441="Entregue",0,K441-N(J441)))</f>
        <v/>
      </c>
      <c r="R441" s="12">
        <f>IF(ISNUMBER(A441),MONTH(A441),"")</f>
        <v/>
      </c>
      <c r="S441" s="12">
        <f>IF(ISNUMBER(A441),YEAR(A441),"")</f>
        <v/>
      </c>
    </row>
    <row r="442">
      <c r="A442" s="23" t="n"/>
      <c r="B442" s="19" t="n"/>
      <c r="C442" s="19" t="n"/>
      <c r="D442" s="7" t="n"/>
      <c r="E442" s="13" t="n"/>
      <c r="F442" s="19" t="n"/>
      <c r="G442" s="13" t="n"/>
      <c r="H442" s="19" t="n"/>
      <c r="I442" s="19" t="n"/>
      <c r="J442" s="13" t="n"/>
      <c r="K442" s="9">
        <f>IF(AND(C442&lt;&gt;"",N(D442)&gt;0,I442&lt;&gt;"Cancelado"),D442*IF(N(E442)&gt;0,E442,IFERROR(VLOOKUP(C442,Produtos!$A$4:$O$53,15,0),0))+N(G442),"")</f>
        <v/>
      </c>
      <c r="L442" s="9">
        <f>IF(K442="","",K442*IFERROR(VLOOKUP(H442,Config!$B$15:$C$19,2,0),0))</f>
        <v/>
      </c>
      <c r="M442" s="9">
        <f>IF(K442="","",D442*IFERROR(VLOOKUP(C442,Produtos!$A$4:$I$53,9,0),0))</f>
        <v/>
      </c>
      <c r="N442" s="9">
        <f>IF(K442="","",D442*IFERROR(VLOOKUP(C442,Produtos!$A$4:$J$53,10,0),0))</f>
        <v/>
      </c>
      <c r="O442" s="9">
        <f>IF(OR(K442="",F442=""),IF(K442="","",0),IFERROR(VLOOKUP(F442,Entrega!$A$4:$E$43,5,0),0))</f>
        <v/>
      </c>
      <c r="P442" s="9">
        <f>IF(K442="","",K442-L442-M442-N442-O442)</f>
        <v/>
      </c>
      <c r="Q442" s="9">
        <f>IF(K442="","",IF(I442="Entregue",0,K442-N(J442)))</f>
        <v/>
      </c>
      <c r="R442" s="12">
        <f>IF(ISNUMBER(A442),MONTH(A442),"")</f>
        <v/>
      </c>
      <c r="S442" s="12">
        <f>IF(ISNUMBER(A442),YEAR(A442),"")</f>
        <v/>
      </c>
    </row>
    <row r="443">
      <c r="A443" s="23" t="n"/>
      <c r="B443" s="19" t="n"/>
      <c r="C443" s="19" t="n"/>
      <c r="D443" s="7" t="n"/>
      <c r="E443" s="13" t="n"/>
      <c r="F443" s="19" t="n"/>
      <c r="G443" s="13" t="n"/>
      <c r="H443" s="19" t="n"/>
      <c r="I443" s="19" t="n"/>
      <c r="J443" s="13" t="n"/>
      <c r="K443" s="9">
        <f>IF(AND(C443&lt;&gt;"",N(D443)&gt;0,I443&lt;&gt;"Cancelado"),D443*IF(N(E443)&gt;0,E443,IFERROR(VLOOKUP(C443,Produtos!$A$4:$O$53,15,0),0))+N(G443),"")</f>
        <v/>
      </c>
      <c r="L443" s="9">
        <f>IF(K443="","",K443*IFERROR(VLOOKUP(H443,Config!$B$15:$C$19,2,0),0))</f>
        <v/>
      </c>
      <c r="M443" s="9">
        <f>IF(K443="","",D443*IFERROR(VLOOKUP(C443,Produtos!$A$4:$I$53,9,0),0))</f>
        <v/>
      </c>
      <c r="N443" s="9">
        <f>IF(K443="","",D443*IFERROR(VLOOKUP(C443,Produtos!$A$4:$J$53,10,0),0))</f>
        <v/>
      </c>
      <c r="O443" s="9">
        <f>IF(OR(K443="",F443=""),IF(K443="","",0),IFERROR(VLOOKUP(F443,Entrega!$A$4:$E$43,5,0),0))</f>
        <v/>
      </c>
      <c r="P443" s="9">
        <f>IF(K443="","",K443-L443-M443-N443-O443)</f>
        <v/>
      </c>
      <c r="Q443" s="9">
        <f>IF(K443="","",IF(I443="Entregue",0,K443-N(J443)))</f>
        <v/>
      </c>
      <c r="R443" s="12">
        <f>IF(ISNUMBER(A443),MONTH(A443),"")</f>
        <v/>
      </c>
      <c r="S443" s="12">
        <f>IF(ISNUMBER(A443),YEAR(A443),"")</f>
        <v/>
      </c>
    </row>
    <row r="444">
      <c r="A444" s="23" t="n"/>
      <c r="B444" s="19" t="n"/>
      <c r="C444" s="19" t="n"/>
      <c r="D444" s="7" t="n"/>
      <c r="E444" s="13" t="n"/>
      <c r="F444" s="19" t="n"/>
      <c r="G444" s="13" t="n"/>
      <c r="H444" s="19" t="n"/>
      <c r="I444" s="19" t="n"/>
      <c r="J444" s="13" t="n"/>
      <c r="K444" s="9">
        <f>IF(AND(C444&lt;&gt;"",N(D444)&gt;0,I444&lt;&gt;"Cancelado"),D444*IF(N(E444)&gt;0,E444,IFERROR(VLOOKUP(C444,Produtos!$A$4:$O$53,15,0),0))+N(G444),"")</f>
        <v/>
      </c>
      <c r="L444" s="9">
        <f>IF(K444="","",K444*IFERROR(VLOOKUP(H444,Config!$B$15:$C$19,2,0),0))</f>
        <v/>
      </c>
      <c r="M444" s="9">
        <f>IF(K444="","",D444*IFERROR(VLOOKUP(C444,Produtos!$A$4:$I$53,9,0),0))</f>
        <v/>
      </c>
      <c r="N444" s="9">
        <f>IF(K444="","",D444*IFERROR(VLOOKUP(C444,Produtos!$A$4:$J$53,10,0),0))</f>
        <v/>
      </c>
      <c r="O444" s="9">
        <f>IF(OR(K444="",F444=""),IF(K444="","",0),IFERROR(VLOOKUP(F444,Entrega!$A$4:$E$43,5,0),0))</f>
        <v/>
      </c>
      <c r="P444" s="9">
        <f>IF(K444="","",K444-L444-M444-N444-O444)</f>
        <v/>
      </c>
      <c r="Q444" s="9">
        <f>IF(K444="","",IF(I444="Entregue",0,K444-N(J444)))</f>
        <v/>
      </c>
      <c r="R444" s="12">
        <f>IF(ISNUMBER(A444),MONTH(A444),"")</f>
        <v/>
      </c>
      <c r="S444" s="12">
        <f>IF(ISNUMBER(A444),YEAR(A444),"")</f>
        <v/>
      </c>
    </row>
    <row r="445">
      <c r="A445" s="23" t="n"/>
      <c r="B445" s="19" t="n"/>
      <c r="C445" s="19" t="n"/>
      <c r="D445" s="7" t="n"/>
      <c r="E445" s="13" t="n"/>
      <c r="F445" s="19" t="n"/>
      <c r="G445" s="13" t="n"/>
      <c r="H445" s="19" t="n"/>
      <c r="I445" s="19" t="n"/>
      <c r="J445" s="13" t="n"/>
      <c r="K445" s="9">
        <f>IF(AND(C445&lt;&gt;"",N(D445)&gt;0,I445&lt;&gt;"Cancelado"),D445*IF(N(E445)&gt;0,E445,IFERROR(VLOOKUP(C445,Produtos!$A$4:$O$53,15,0),0))+N(G445),"")</f>
        <v/>
      </c>
      <c r="L445" s="9">
        <f>IF(K445="","",K445*IFERROR(VLOOKUP(H445,Config!$B$15:$C$19,2,0),0))</f>
        <v/>
      </c>
      <c r="M445" s="9">
        <f>IF(K445="","",D445*IFERROR(VLOOKUP(C445,Produtos!$A$4:$I$53,9,0),0))</f>
        <v/>
      </c>
      <c r="N445" s="9">
        <f>IF(K445="","",D445*IFERROR(VLOOKUP(C445,Produtos!$A$4:$J$53,10,0),0))</f>
        <v/>
      </c>
      <c r="O445" s="9">
        <f>IF(OR(K445="",F445=""),IF(K445="","",0),IFERROR(VLOOKUP(F445,Entrega!$A$4:$E$43,5,0),0))</f>
        <v/>
      </c>
      <c r="P445" s="9">
        <f>IF(K445="","",K445-L445-M445-N445-O445)</f>
        <v/>
      </c>
      <c r="Q445" s="9">
        <f>IF(K445="","",IF(I445="Entregue",0,K445-N(J445)))</f>
        <v/>
      </c>
      <c r="R445" s="12">
        <f>IF(ISNUMBER(A445),MONTH(A445),"")</f>
        <v/>
      </c>
      <c r="S445" s="12">
        <f>IF(ISNUMBER(A445),YEAR(A445),"")</f>
        <v/>
      </c>
    </row>
    <row r="446">
      <c r="A446" s="23" t="n"/>
      <c r="B446" s="19" t="n"/>
      <c r="C446" s="19" t="n"/>
      <c r="D446" s="7" t="n"/>
      <c r="E446" s="13" t="n"/>
      <c r="F446" s="19" t="n"/>
      <c r="G446" s="13" t="n"/>
      <c r="H446" s="19" t="n"/>
      <c r="I446" s="19" t="n"/>
      <c r="J446" s="13" t="n"/>
      <c r="K446" s="9">
        <f>IF(AND(C446&lt;&gt;"",N(D446)&gt;0,I446&lt;&gt;"Cancelado"),D446*IF(N(E446)&gt;0,E446,IFERROR(VLOOKUP(C446,Produtos!$A$4:$O$53,15,0),0))+N(G446),"")</f>
        <v/>
      </c>
      <c r="L446" s="9">
        <f>IF(K446="","",K446*IFERROR(VLOOKUP(H446,Config!$B$15:$C$19,2,0),0))</f>
        <v/>
      </c>
      <c r="M446" s="9">
        <f>IF(K446="","",D446*IFERROR(VLOOKUP(C446,Produtos!$A$4:$I$53,9,0),0))</f>
        <v/>
      </c>
      <c r="N446" s="9">
        <f>IF(K446="","",D446*IFERROR(VLOOKUP(C446,Produtos!$A$4:$J$53,10,0),0))</f>
        <v/>
      </c>
      <c r="O446" s="9">
        <f>IF(OR(K446="",F446=""),IF(K446="","",0),IFERROR(VLOOKUP(F446,Entrega!$A$4:$E$43,5,0),0))</f>
        <v/>
      </c>
      <c r="P446" s="9">
        <f>IF(K446="","",K446-L446-M446-N446-O446)</f>
        <v/>
      </c>
      <c r="Q446" s="9">
        <f>IF(K446="","",IF(I446="Entregue",0,K446-N(J446)))</f>
        <v/>
      </c>
      <c r="R446" s="12">
        <f>IF(ISNUMBER(A446),MONTH(A446),"")</f>
        <v/>
      </c>
      <c r="S446" s="12">
        <f>IF(ISNUMBER(A446),YEAR(A446),"")</f>
        <v/>
      </c>
    </row>
    <row r="447">
      <c r="A447" s="23" t="n"/>
      <c r="B447" s="19" t="n"/>
      <c r="C447" s="19" t="n"/>
      <c r="D447" s="7" t="n"/>
      <c r="E447" s="13" t="n"/>
      <c r="F447" s="19" t="n"/>
      <c r="G447" s="13" t="n"/>
      <c r="H447" s="19" t="n"/>
      <c r="I447" s="19" t="n"/>
      <c r="J447" s="13" t="n"/>
      <c r="K447" s="9">
        <f>IF(AND(C447&lt;&gt;"",N(D447)&gt;0,I447&lt;&gt;"Cancelado"),D447*IF(N(E447)&gt;0,E447,IFERROR(VLOOKUP(C447,Produtos!$A$4:$O$53,15,0),0))+N(G447),"")</f>
        <v/>
      </c>
      <c r="L447" s="9">
        <f>IF(K447="","",K447*IFERROR(VLOOKUP(H447,Config!$B$15:$C$19,2,0),0))</f>
        <v/>
      </c>
      <c r="M447" s="9">
        <f>IF(K447="","",D447*IFERROR(VLOOKUP(C447,Produtos!$A$4:$I$53,9,0),0))</f>
        <v/>
      </c>
      <c r="N447" s="9">
        <f>IF(K447="","",D447*IFERROR(VLOOKUP(C447,Produtos!$A$4:$J$53,10,0),0))</f>
        <v/>
      </c>
      <c r="O447" s="9">
        <f>IF(OR(K447="",F447=""),IF(K447="","",0),IFERROR(VLOOKUP(F447,Entrega!$A$4:$E$43,5,0),0))</f>
        <v/>
      </c>
      <c r="P447" s="9">
        <f>IF(K447="","",K447-L447-M447-N447-O447)</f>
        <v/>
      </c>
      <c r="Q447" s="9">
        <f>IF(K447="","",IF(I447="Entregue",0,K447-N(J447)))</f>
        <v/>
      </c>
      <c r="R447" s="12">
        <f>IF(ISNUMBER(A447),MONTH(A447),"")</f>
        <v/>
      </c>
      <c r="S447" s="12">
        <f>IF(ISNUMBER(A447),YEAR(A447),"")</f>
        <v/>
      </c>
    </row>
    <row r="448">
      <c r="A448" s="23" t="n"/>
      <c r="B448" s="19" t="n"/>
      <c r="C448" s="19" t="n"/>
      <c r="D448" s="7" t="n"/>
      <c r="E448" s="13" t="n"/>
      <c r="F448" s="19" t="n"/>
      <c r="G448" s="13" t="n"/>
      <c r="H448" s="19" t="n"/>
      <c r="I448" s="19" t="n"/>
      <c r="J448" s="13" t="n"/>
      <c r="K448" s="9">
        <f>IF(AND(C448&lt;&gt;"",N(D448)&gt;0,I448&lt;&gt;"Cancelado"),D448*IF(N(E448)&gt;0,E448,IFERROR(VLOOKUP(C448,Produtos!$A$4:$O$53,15,0),0))+N(G448),"")</f>
        <v/>
      </c>
      <c r="L448" s="9">
        <f>IF(K448="","",K448*IFERROR(VLOOKUP(H448,Config!$B$15:$C$19,2,0),0))</f>
        <v/>
      </c>
      <c r="M448" s="9">
        <f>IF(K448="","",D448*IFERROR(VLOOKUP(C448,Produtos!$A$4:$I$53,9,0),0))</f>
        <v/>
      </c>
      <c r="N448" s="9">
        <f>IF(K448="","",D448*IFERROR(VLOOKUP(C448,Produtos!$A$4:$J$53,10,0),0))</f>
        <v/>
      </c>
      <c r="O448" s="9">
        <f>IF(OR(K448="",F448=""),IF(K448="","",0),IFERROR(VLOOKUP(F448,Entrega!$A$4:$E$43,5,0),0))</f>
        <v/>
      </c>
      <c r="P448" s="9">
        <f>IF(K448="","",K448-L448-M448-N448-O448)</f>
        <v/>
      </c>
      <c r="Q448" s="9">
        <f>IF(K448="","",IF(I448="Entregue",0,K448-N(J448)))</f>
        <v/>
      </c>
      <c r="R448" s="12">
        <f>IF(ISNUMBER(A448),MONTH(A448),"")</f>
        <v/>
      </c>
      <c r="S448" s="12">
        <f>IF(ISNUMBER(A448),YEAR(A448),"")</f>
        <v/>
      </c>
    </row>
    <row r="449">
      <c r="A449" s="23" t="n"/>
      <c r="B449" s="19" t="n"/>
      <c r="C449" s="19" t="n"/>
      <c r="D449" s="7" t="n"/>
      <c r="E449" s="13" t="n"/>
      <c r="F449" s="19" t="n"/>
      <c r="G449" s="13" t="n"/>
      <c r="H449" s="19" t="n"/>
      <c r="I449" s="19" t="n"/>
      <c r="J449" s="13" t="n"/>
      <c r="K449" s="9">
        <f>IF(AND(C449&lt;&gt;"",N(D449)&gt;0,I449&lt;&gt;"Cancelado"),D449*IF(N(E449)&gt;0,E449,IFERROR(VLOOKUP(C449,Produtos!$A$4:$O$53,15,0),0))+N(G449),"")</f>
        <v/>
      </c>
      <c r="L449" s="9">
        <f>IF(K449="","",K449*IFERROR(VLOOKUP(H449,Config!$B$15:$C$19,2,0),0))</f>
        <v/>
      </c>
      <c r="M449" s="9">
        <f>IF(K449="","",D449*IFERROR(VLOOKUP(C449,Produtos!$A$4:$I$53,9,0),0))</f>
        <v/>
      </c>
      <c r="N449" s="9">
        <f>IF(K449="","",D449*IFERROR(VLOOKUP(C449,Produtos!$A$4:$J$53,10,0),0))</f>
        <v/>
      </c>
      <c r="O449" s="9">
        <f>IF(OR(K449="",F449=""),IF(K449="","",0),IFERROR(VLOOKUP(F449,Entrega!$A$4:$E$43,5,0),0))</f>
        <v/>
      </c>
      <c r="P449" s="9">
        <f>IF(K449="","",K449-L449-M449-N449-O449)</f>
        <v/>
      </c>
      <c r="Q449" s="9">
        <f>IF(K449="","",IF(I449="Entregue",0,K449-N(J449)))</f>
        <v/>
      </c>
      <c r="R449" s="12">
        <f>IF(ISNUMBER(A449),MONTH(A449),"")</f>
        <v/>
      </c>
      <c r="S449" s="12">
        <f>IF(ISNUMBER(A449),YEAR(A449),"")</f>
        <v/>
      </c>
    </row>
    <row r="450">
      <c r="A450" s="23" t="n"/>
      <c r="B450" s="19" t="n"/>
      <c r="C450" s="19" t="n"/>
      <c r="D450" s="7" t="n"/>
      <c r="E450" s="13" t="n"/>
      <c r="F450" s="19" t="n"/>
      <c r="G450" s="13" t="n"/>
      <c r="H450" s="19" t="n"/>
      <c r="I450" s="19" t="n"/>
      <c r="J450" s="13" t="n"/>
      <c r="K450" s="9">
        <f>IF(AND(C450&lt;&gt;"",N(D450)&gt;0,I450&lt;&gt;"Cancelado"),D450*IF(N(E450)&gt;0,E450,IFERROR(VLOOKUP(C450,Produtos!$A$4:$O$53,15,0),0))+N(G450),"")</f>
        <v/>
      </c>
      <c r="L450" s="9">
        <f>IF(K450="","",K450*IFERROR(VLOOKUP(H450,Config!$B$15:$C$19,2,0),0))</f>
        <v/>
      </c>
      <c r="M450" s="9">
        <f>IF(K450="","",D450*IFERROR(VLOOKUP(C450,Produtos!$A$4:$I$53,9,0),0))</f>
        <v/>
      </c>
      <c r="N450" s="9">
        <f>IF(K450="","",D450*IFERROR(VLOOKUP(C450,Produtos!$A$4:$J$53,10,0),0))</f>
        <v/>
      </c>
      <c r="O450" s="9">
        <f>IF(OR(K450="",F450=""),IF(K450="","",0),IFERROR(VLOOKUP(F450,Entrega!$A$4:$E$43,5,0),0))</f>
        <v/>
      </c>
      <c r="P450" s="9">
        <f>IF(K450="","",K450-L450-M450-N450-O450)</f>
        <v/>
      </c>
      <c r="Q450" s="9">
        <f>IF(K450="","",IF(I450="Entregue",0,K450-N(J450)))</f>
        <v/>
      </c>
      <c r="R450" s="12">
        <f>IF(ISNUMBER(A450),MONTH(A450),"")</f>
        <v/>
      </c>
      <c r="S450" s="12">
        <f>IF(ISNUMBER(A450),YEAR(A450),"")</f>
        <v/>
      </c>
    </row>
    <row r="451">
      <c r="A451" s="23" t="n"/>
      <c r="B451" s="19" t="n"/>
      <c r="C451" s="19" t="n"/>
      <c r="D451" s="7" t="n"/>
      <c r="E451" s="13" t="n"/>
      <c r="F451" s="19" t="n"/>
      <c r="G451" s="13" t="n"/>
      <c r="H451" s="19" t="n"/>
      <c r="I451" s="19" t="n"/>
      <c r="J451" s="13" t="n"/>
      <c r="K451" s="9">
        <f>IF(AND(C451&lt;&gt;"",N(D451)&gt;0,I451&lt;&gt;"Cancelado"),D451*IF(N(E451)&gt;0,E451,IFERROR(VLOOKUP(C451,Produtos!$A$4:$O$53,15,0),0))+N(G451),"")</f>
        <v/>
      </c>
      <c r="L451" s="9">
        <f>IF(K451="","",K451*IFERROR(VLOOKUP(H451,Config!$B$15:$C$19,2,0),0))</f>
        <v/>
      </c>
      <c r="M451" s="9">
        <f>IF(K451="","",D451*IFERROR(VLOOKUP(C451,Produtos!$A$4:$I$53,9,0),0))</f>
        <v/>
      </c>
      <c r="N451" s="9">
        <f>IF(K451="","",D451*IFERROR(VLOOKUP(C451,Produtos!$A$4:$J$53,10,0),0))</f>
        <v/>
      </c>
      <c r="O451" s="9">
        <f>IF(OR(K451="",F451=""),IF(K451="","",0),IFERROR(VLOOKUP(F451,Entrega!$A$4:$E$43,5,0),0))</f>
        <v/>
      </c>
      <c r="P451" s="9">
        <f>IF(K451="","",K451-L451-M451-N451-O451)</f>
        <v/>
      </c>
      <c r="Q451" s="9">
        <f>IF(K451="","",IF(I451="Entregue",0,K451-N(J451)))</f>
        <v/>
      </c>
      <c r="R451" s="12">
        <f>IF(ISNUMBER(A451),MONTH(A451),"")</f>
        <v/>
      </c>
      <c r="S451" s="12">
        <f>IF(ISNUMBER(A451),YEAR(A451),"")</f>
        <v/>
      </c>
    </row>
    <row r="452">
      <c r="A452" s="23" t="n"/>
      <c r="B452" s="19" t="n"/>
      <c r="C452" s="19" t="n"/>
      <c r="D452" s="7" t="n"/>
      <c r="E452" s="13" t="n"/>
      <c r="F452" s="19" t="n"/>
      <c r="G452" s="13" t="n"/>
      <c r="H452" s="19" t="n"/>
      <c r="I452" s="19" t="n"/>
      <c r="J452" s="13" t="n"/>
      <c r="K452" s="9">
        <f>IF(AND(C452&lt;&gt;"",N(D452)&gt;0,I452&lt;&gt;"Cancelado"),D452*IF(N(E452)&gt;0,E452,IFERROR(VLOOKUP(C452,Produtos!$A$4:$O$53,15,0),0))+N(G452),"")</f>
        <v/>
      </c>
      <c r="L452" s="9">
        <f>IF(K452="","",K452*IFERROR(VLOOKUP(H452,Config!$B$15:$C$19,2,0),0))</f>
        <v/>
      </c>
      <c r="M452" s="9">
        <f>IF(K452="","",D452*IFERROR(VLOOKUP(C452,Produtos!$A$4:$I$53,9,0),0))</f>
        <v/>
      </c>
      <c r="N452" s="9">
        <f>IF(K452="","",D452*IFERROR(VLOOKUP(C452,Produtos!$A$4:$J$53,10,0),0))</f>
        <v/>
      </c>
      <c r="O452" s="9">
        <f>IF(OR(K452="",F452=""),IF(K452="","",0),IFERROR(VLOOKUP(F452,Entrega!$A$4:$E$43,5,0),0))</f>
        <v/>
      </c>
      <c r="P452" s="9">
        <f>IF(K452="","",K452-L452-M452-N452-O452)</f>
        <v/>
      </c>
      <c r="Q452" s="9">
        <f>IF(K452="","",IF(I452="Entregue",0,K452-N(J452)))</f>
        <v/>
      </c>
      <c r="R452" s="12">
        <f>IF(ISNUMBER(A452),MONTH(A452),"")</f>
        <v/>
      </c>
      <c r="S452" s="12">
        <f>IF(ISNUMBER(A452),YEAR(A452),"")</f>
        <v/>
      </c>
    </row>
    <row r="453">
      <c r="A453" s="23" t="n"/>
      <c r="B453" s="19" t="n"/>
      <c r="C453" s="19" t="n"/>
      <c r="D453" s="7" t="n"/>
      <c r="E453" s="13" t="n"/>
      <c r="F453" s="19" t="n"/>
      <c r="G453" s="13" t="n"/>
      <c r="H453" s="19" t="n"/>
      <c r="I453" s="19" t="n"/>
      <c r="J453" s="13" t="n"/>
      <c r="K453" s="9">
        <f>IF(AND(C453&lt;&gt;"",N(D453)&gt;0,I453&lt;&gt;"Cancelado"),D453*IF(N(E453)&gt;0,E453,IFERROR(VLOOKUP(C453,Produtos!$A$4:$O$53,15,0),0))+N(G453),"")</f>
        <v/>
      </c>
      <c r="L453" s="9">
        <f>IF(K453="","",K453*IFERROR(VLOOKUP(H453,Config!$B$15:$C$19,2,0),0))</f>
        <v/>
      </c>
      <c r="M453" s="9">
        <f>IF(K453="","",D453*IFERROR(VLOOKUP(C453,Produtos!$A$4:$I$53,9,0),0))</f>
        <v/>
      </c>
      <c r="N453" s="9">
        <f>IF(K453="","",D453*IFERROR(VLOOKUP(C453,Produtos!$A$4:$J$53,10,0),0))</f>
        <v/>
      </c>
      <c r="O453" s="9">
        <f>IF(OR(K453="",F453=""),IF(K453="","",0),IFERROR(VLOOKUP(F453,Entrega!$A$4:$E$43,5,0),0))</f>
        <v/>
      </c>
      <c r="P453" s="9">
        <f>IF(K453="","",K453-L453-M453-N453-O453)</f>
        <v/>
      </c>
      <c r="Q453" s="9">
        <f>IF(K453="","",IF(I453="Entregue",0,K453-N(J453)))</f>
        <v/>
      </c>
      <c r="R453" s="12">
        <f>IF(ISNUMBER(A453),MONTH(A453),"")</f>
        <v/>
      </c>
      <c r="S453" s="12">
        <f>IF(ISNUMBER(A453),YEAR(A453),"")</f>
        <v/>
      </c>
    </row>
    <row r="454">
      <c r="A454" s="23" t="n"/>
      <c r="B454" s="19" t="n"/>
      <c r="C454" s="19" t="n"/>
      <c r="D454" s="7" t="n"/>
      <c r="E454" s="13" t="n"/>
      <c r="F454" s="19" t="n"/>
      <c r="G454" s="13" t="n"/>
      <c r="H454" s="19" t="n"/>
      <c r="I454" s="19" t="n"/>
      <c r="J454" s="13" t="n"/>
      <c r="K454" s="9">
        <f>IF(AND(C454&lt;&gt;"",N(D454)&gt;0,I454&lt;&gt;"Cancelado"),D454*IF(N(E454)&gt;0,E454,IFERROR(VLOOKUP(C454,Produtos!$A$4:$O$53,15,0),0))+N(G454),"")</f>
        <v/>
      </c>
      <c r="L454" s="9">
        <f>IF(K454="","",K454*IFERROR(VLOOKUP(H454,Config!$B$15:$C$19,2,0),0))</f>
        <v/>
      </c>
      <c r="M454" s="9">
        <f>IF(K454="","",D454*IFERROR(VLOOKUP(C454,Produtos!$A$4:$I$53,9,0),0))</f>
        <v/>
      </c>
      <c r="N454" s="9">
        <f>IF(K454="","",D454*IFERROR(VLOOKUP(C454,Produtos!$A$4:$J$53,10,0),0))</f>
        <v/>
      </c>
      <c r="O454" s="9">
        <f>IF(OR(K454="",F454=""),IF(K454="","",0),IFERROR(VLOOKUP(F454,Entrega!$A$4:$E$43,5,0),0))</f>
        <v/>
      </c>
      <c r="P454" s="9">
        <f>IF(K454="","",K454-L454-M454-N454-O454)</f>
        <v/>
      </c>
      <c r="Q454" s="9">
        <f>IF(K454="","",IF(I454="Entregue",0,K454-N(J454)))</f>
        <v/>
      </c>
      <c r="R454" s="12">
        <f>IF(ISNUMBER(A454),MONTH(A454),"")</f>
        <v/>
      </c>
      <c r="S454" s="12">
        <f>IF(ISNUMBER(A454),YEAR(A454),"")</f>
        <v/>
      </c>
    </row>
    <row r="455">
      <c r="A455" s="23" t="n"/>
      <c r="B455" s="19" t="n"/>
      <c r="C455" s="19" t="n"/>
      <c r="D455" s="7" t="n"/>
      <c r="E455" s="13" t="n"/>
      <c r="F455" s="19" t="n"/>
      <c r="G455" s="13" t="n"/>
      <c r="H455" s="19" t="n"/>
      <c r="I455" s="19" t="n"/>
      <c r="J455" s="13" t="n"/>
      <c r="K455" s="9">
        <f>IF(AND(C455&lt;&gt;"",N(D455)&gt;0,I455&lt;&gt;"Cancelado"),D455*IF(N(E455)&gt;0,E455,IFERROR(VLOOKUP(C455,Produtos!$A$4:$O$53,15,0),0))+N(G455),"")</f>
        <v/>
      </c>
      <c r="L455" s="9">
        <f>IF(K455="","",K455*IFERROR(VLOOKUP(H455,Config!$B$15:$C$19,2,0),0))</f>
        <v/>
      </c>
      <c r="M455" s="9">
        <f>IF(K455="","",D455*IFERROR(VLOOKUP(C455,Produtos!$A$4:$I$53,9,0),0))</f>
        <v/>
      </c>
      <c r="N455" s="9">
        <f>IF(K455="","",D455*IFERROR(VLOOKUP(C455,Produtos!$A$4:$J$53,10,0),0))</f>
        <v/>
      </c>
      <c r="O455" s="9">
        <f>IF(OR(K455="",F455=""),IF(K455="","",0),IFERROR(VLOOKUP(F455,Entrega!$A$4:$E$43,5,0),0))</f>
        <v/>
      </c>
      <c r="P455" s="9">
        <f>IF(K455="","",K455-L455-M455-N455-O455)</f>
        <v/>
      </c>
      <c r="Q455" s="9">
        <f>IF(K455="","",IF(I455="Entregue",0,K455-N(J455)))</f>
        <v/>
      </c>
      <c r="R455" s="12">
        <f>IF(ISNUMBER(A455),MONTH(A455),"")</f>
        <v/>
      </c>
      <c r="S455" s="12">
        <f>IF(ISNUMBER(A455),YEAR(A455),"")</f>
        <v/>
      </c>
    </row>
    <row r="456">
      <c r="A456" s="23" t="n"/>
      <c r="B456" s="19" t="n"/>
      <c r="C456" s="19" t="n"/>
      <c r="D456" s="7" t="n"/>
      <c r="E456" s="13" t="n"/>
      <c r="F456" s="19" t="n"/>
      <c r="G456" s="13" t="n"/>
      <c r="H456" s="19" t="n"/>
      <c r="I456" s="19" t="n"/>
      <c r="J456" s="13" t="n"/>
      <c r="K456" s="9">
        <f>IF(AND(C456&lt;&gt;"",N(D456)&gt;0,I456&lt;&gt;"Cancelado"),D456*IF(N(E456)&gt;0,E456,IFERROR(VLOOKUP(C456,Produtos!$A$4:$O$53,15,0),0))+N(G456),"")</f>
        <v/>
      </c>
      <c r="L456" s="9">
        <f>IF(K456="","",K456*IFERROR(VLOOKUP(H456,Config!$B$15:$C$19,2,0),0))</f>
        <v/>
      </c>
      <c r="M456" s="9">
        <f>IF(K456="","",D456*IFERROR(VLOOKUP(C456,Produtos!$A$4:$I$53,9,0),0))</f>
        <v/>
      </c>
      <c r="N456" s="9">
        <f>IF(K456="","",D456*IFERROR(VLOOKUP(C456,Produtos!$A$4:$J$53,10,0),0))</f>
        <v/>
      </c>
      <c r="O456" s="9">
        <f>IF(OR(K456="",F456=""),IF(K456="","",0),IFERROR(VLOOKUP(F456,Entrega!$A$4:$E$43,5,0),0))</f>
        <v/>
      </c>
      <c r="P456" s="9">
        <f>IF(K456="","",K456-L456-M456-N456-O456)</f>
        <v/>
      </c>
      <c r="Q456" s="9">
        <f>IF(K456="","",IF(I456="Entregue",0,K456-N(J456)))</f>
        <v/>
      </c>
      <c r="R456" s="12">
        <f>IF(ISNUMBER(A456),MONTH(A456),"")</f>
        <v/>
      </c>
      <c r="S456" s="12">
        <f>IF(ISNUMBER(A456),YEAR(A456),"")</f>
        <v/>
      </c>
    </row>
    <row r="457">
      <c r="A457" s="23" t="n"/>
      <c r="B457" s="19" t="n"/>
      <c r="C457" s="19" t="n"/>
      <c r="D457" s="7" t="n"/>
      <c r="E457" s="13" t="n"/>
      <c r="F457" s="19" t="n"/>
      <c r="G457" s="13" t="n"/>
      <c r="H457" s="19" t="n"/>
      <c r="I457" s="19" t="n"/>
      <c r="J457" s="13" t="n"/>
      <c r="K457" s="9">
        <f>IF(AND(C457&lt;&gt;"",N(D457)&gt;0,I457&lt;&gt;"Cancelado"),D457*IF(N(E457)&gt;0,E457,IFERROR(VLOOKUP(C457,Produtos!$A$4:$O$53,15,0),0))+N(G457),"")</f>
        <v/>
      </c>
      <c r="L457" s="9">
        <f>IF(K457="","",K457*IFERROR(VLOOKUP(H457,Config!$B$15:$C$19,2,0),0))</f>
        <v/>
      </c>
      <c r="M457" s="9">
        <f>IF(K457="","",D457*IFERROR(VLOOKUP(C457,Produtos!$A$4:$I$53,9,0),0))</f>
        <v/>
      </c>
      <c r="N457" s="9">
        <f>IF(K457="","",D457*IFERROR(VLOOKUP(C457,Produtos!$A$4:$J$53,10,0),0))</f>
        <v/>
      </c>
      <c r="O457" s="9">
        <f>IF(OR(K457="",F457=""),IF(K457="","",0),IFERROR(VLOOKUP(F457,Entrega!$A$4:$E$43,5,0),0))</f>
        <v/>
      </c>
      <c r="P457" s="9">
        <f>IF(K457="","",K457-L457-M457-N457-O457)</f>
        <v/>
      </c>
      <c r="Q457" s="9">
        <f>IF(K457="","",IF(I457="Entregue",0,K457-N(J457)))</f>
        <v/>
      </c>
      <c r="R457" s="12">
        <f>IF(ISNUMBER(A457),MONTH(A457),"")</f>
        <v/>
      </c>
      <c r="S457" s="12">
        <f>IF(ISNUMBER(A457),YEAR(A457),"")</f>
        <v/>
      </c>
    </row>
    <row r="458">
      <c r="A458" s="23" t="n"/>
      <c r="B458" s="19" t="n"/>
      <c r="C458" s="19" t="n"/>
      <c r="D458" s="7" t="n"/>
      <c r="E458" s="13" t="n"/>
      <c r="F458" s="19" t="n"/>
      <c r="G458" s="13" t="n"/>
      <c r="H458" s="19" t="n"/>
      <c r="I458" s="19" t="n"/>
      <c r="J458" s="13" t="n"/>
      <c r="K458" s="9">
        <f>IF(AND(C458&lt;&gt;"",N(D458)&gt;0,I458&lt;&gt;"Cancelado"),D458*IF(N(E458)&gt;0,E458,IFERROR(VLOOKUP(C458,Produtos!$A$4:$O$53,15,0),0))+N(G458),"")</f>
        <v/>
      </c>
      <c r="L458" s="9">
        <f>IF(K458="","",K458*IFERROR(VLOOKUP(H458,Config!$B$15:$C$19,2,0),0))</f>
        <v/>
      </c>
      <c r="M458" s="9">
        <f>IF(K458="","",D458*IFERROR(VLOOKUP(C458,Produtos!$A$4:$I$53,9,0),0))</f>
        <v/>
      </c>
      <c r="N458" s="9">
        <f>IF(K458="","",D458*IFERROR(VLOOKUP(C458,Produtos!$A$4:$J$53,10,0),0))</f>
        <v/>
      </c>
      <c r="O458" s="9">
        <f>IF(OR(K458="",F458=""),IF(K458="","",0),IFERROR(VLOOKUP(F458,Entrega!$A$4:$E$43,5,0),0))</f>
        <v/>
      </c>
      <c r="P458" s="9">
        <f>IF(K458="","",K458-L458-M458-N458-O458)</f>
        <v/>
      </c>
      <c r="Q458" s="9">
        <f>IF(K458="","",IF(I458="Entregue",0,K458-N(J458)))</f>
        <v/>
      </c>
      <c r="R458" s="12">
        <f>IF(ISNUMBER(A458),MONTH(A458),"")</f>
        <v/>
      </c>
      <c r="S458" s="12">
        <f>IF(ISNUMBER(A458),YEAR(A458),"")</f>
        <v/>
      </c>
    </row>
    <row r="459">
      <c r="A459" s="23" t="n"/>
      <c r="B459" s="19" t="n"/>
      <c r="C459" s="19" t="n"/>
      <c r="D459" s="7" t="n"/>
      <c r="E459" s="13" t="n"/>
      <c r="F459" s="19" t="n"/>
      <c r="G459" s="13" t="n"/>
      <c r="H459" s="19" t="n"/>
      <c r="I459" s="19" t="n"/>
      <c r="J459" s="13" t="n"/>
      <c r="K459" s="9">
        <f>IF(AND(C459&lt;&gt;"",N(D459)&gt;0,I459&lt;&gt;"Cancelado"),D459*IF(N(E459)&gt;0,E459,IFERROR(VLOOKUP(C459,Produtos!$A$4:$O$53,15,0),0))+N(G459),"")</f>
        <v/>
      </c>
      <c r="L459" s="9">
        <f>IF(K459="","",K459*IFERROR(VLOOKUP(H459,Config!$B$15:$C$19,2,0),0))</f>
        <v/>
      </c>
      <c r="M459" s="9">
        <f>IF(K459="","",D459*IFERROR(VLOOKUP(C459,Produtos!$A$4:$I$53,9,0),0))</f>
        <v/>
      </c>
      <c r="N459" s="9">
        <f>IF(K459="","",D459*IFERROR(VLOOKUP(C459,Produtos!$A$4:$J$53,10,0),0))</f>
        <v/>
      </c>
      <c r="O459" s="9">
        <f>IF(OR(K459="",F459=""),IF(K459="","",0),IFERROR(VLOOKUP(F459,Entrega!$A$4:$E$43,5,0),0))</f>
        <v/>
      </c>
      <c r="P459" s="9">
        <f>IF(K459="","",K459-L459-M459-N459-O459)</f>
        <v/>
      </c>
      <c r="Q459" s="9">
        <f>IF(K459="","",IF(I459="Entregue",0,K459-N(J459)))</f>
        <v/>
      </c>
      <c r="R459" s="12">
        <f>IF(ISNUMBER(A459),MONTH(A459),"")</f>
        <v/>
      </c>
      <c r="S459" s="12">
        <f>IF(ISNUMBER(A459),YEAR(A459),"")</f>
        <v/>
      </c>
    </row>
    <row r="460">
      <c r="A460" s="23" t="n"/>
      <c r="B460" s="19" t="n"/>
      <c r="C460" s="19" t="n"/>
      <c r="D460" s="7" t="n"/>
      <c r="E460" s="13" t="n"/>
      <c r="F460" s="19" t="n"/>
      <c r="G460" s="13" t="n"/>
      <c r="H460" s="19" t="n"/>
      <c r="I460" s="19" t="n"/>
      <c r="J460" s="13" t="n"/>
      <c r="K460" s="9">
        <f>IF(AND(C460&lt;&gt;"",N(D460)&gt;0,I460&lt;&gt;"Cancelado"),D460*IF(N(E460)&gt;0,E460,IFERROR(VLOOKUP(C460,Produtos!$A$4:$O$53,15,0),0))+N(G460),"")</f>
        <v/>
      </c>
      <c r="L460" s="9">
        <f>IF(K460="","",K460*IFERROR(VLOOKUP(H460,Config!$B$15:$C$19,2,0),0))</f>
        <v/>
      </c>
      <c r="M460" s="9">
        <f>IF(K460="","",D460*IFERROR(VLOOKUP(C460,Produtos!$A$4:$I$53,9,0),0))</f>
        <v/>
      </c>
      <c r="N460" s="9">
        <f>IF(K460="","",D460*IFERROR(VLOOKUP(C460,Produtos!$A$4:$J$53,10,0),0))</f>
        <v/>
      </c>
      <c r="O460" s="9">
        <f>IF(OR(K460="",F460=""),IF(K460="","",0),IFERROR(VLOOKUP(F460,Entrega!$A$4:$E$43,5,0),0))</f>
        <v/>
      </c>
      <c r="P460" s="9">
        <f>IF(K460="","",K460-L460-M460-N460-O460)</f>
        <v/>
      </c>
      <c r="Q460" s="9">
        <f>IF(K460="","",IF(I460="Entregue",0,K460-N(J460)))</f>
        <v/>
      </c>
      <c r="R460" s="12">
        <f>IF(ISNUMBER(A460),MONTH(A460),"")</f>
        <v/>
      </c>
      <c r="S460" s="12">
        <f>IF(ISNUMBER(A460),YEAR(A460),"")</f>
        <v/>
      </c>
    </row>
    <row r="461">
      <c r="A461" s="23" t="n"/>
      <c r="B461" s="19" t="n"/>
      <c r="C461" s="19" t="n"/>
      <c r="D461" s="7" t="n"/>
      <c r="E461" s="13" t="n"/>
      <c r="F461" s="19" t="n"/>
      <c r="G461" s="13" t="n"/>
      <c r="H461" s="19" t="n"/>
      <c r="I461" s="19" t="n"/>
      <c r="J461" s="13" t="n"/>
      <c r="K461" s="9">
        <f>IF(AND(C461&lt;&gt;"",N(D461)&gt;0,I461&lt;&gt;"Cancelado"),D461*IF(N(E461)&gt;0,E461,IFERROR(VLOOKUP(C461,Produtos!$A$4:$O$53,15,0),0))+N(G461),"")</f>
        <v/>
      </c>
      <c r="L461" s="9">
        <f>IF(K461="","",K461*IFERROR(VLOOKUP(H461,Config!$B$15:$C$19,2,0),0))</f>
        <v/>
      </c>
      <c r="M461" s="9">
        <f>IF(K461="","",D461*IFERROR(VLOOKUP(C461,Produtos!$A$4:$I$53,9,0),0))</f>
        <v/>
      </c>
      <c r="N461" s="9">
        <f>IF(K461="","",D461*IFERROR(VLOOKUP(C461,Produtos!$A$4:$J$53,10,0),0))</f>
        <v/>
      </c>
      <c r="O461" s="9">
        <f>IF(OR(K461="",F461=""),IF(K461="","",0),IFERROR(VLOOKUP(F461,Entrega!$A$4:$E$43,5,0),0))</f>
        <v/>
      </c>
      <c r="P461" s="9">
        <f>IF(K461="","",K461-L461-M461-N461-O461)</f>
        <v/>
      </c>
      <c r="Q461" s="9">
        <f>IF(K461="","",IF(I461="Entregue",0,K461-N(J461)))</f>
        <v/>
      </c>
      <c r="R461" s="12">
        <f>IF(ISNUMBER(A461),MONTH(A461),"")</f>
        <v/>
      </c>
      <c r="S461" s="12">
        <f>IF(ISNUMBER(A461),YEAR(A461),"")</f>
        <v/>
      </c>
    </row>
    <row r="462">
      <c r="A462" s="23" t="n"/>
      <c r="B462" s="19" t="n"/>
      <c r="C462" s="19" t="n"/>
      <c r="D462" s="7" t="n"/>
      <c r="E462" s="13" t="n"/>
      <c r="F462" s="19" t="n"/>
      <c r="G462" s="13" t="n"/>
      <c r="H462" s="19" t="n"/>
      <c r="I462" s="19" t="n"/>
      <c r="J462" s="13" t="n"/>
      <c r="K462" s="9">
        <f>IF(AND(C462&lt;&gt;"",N(D462)&gt;0,I462&lt;&gt;"Cancelado"),D462*IF(N(E462)&gt;0,E462,IFERROR(VLOOKUP(C462,Produtos!$A$4:$O$53,15,0),0))+N(G462),"")</f>
        <v/>
      </c>
      <c r="L462" s="9">
        <f>IF(K462="","",K462*IFERROR(VLOOKUP(H462,Config!$B$15:$C$19,2,0),0))</f>
        <v/>
      </c>
      <c r="M462" s="9">
        <f>IF(K462="","",D462*IFERROR(VLOOKUP(C462,Produtos!$A$4:$I$53,9,0),0))</f>
        <v/>
      </c>
      <c r="N462" s="9">
        <f>IF(K462="","",D462*IFERROR(VLOOKUP(C462,Produtos!$A$4:$J$53,10,0),0))</f>
        <v/>
      </c>
      <c r="O462" s="9">
        <f>IF(OR(K462="",F462=""),IF(K462="","",0),IFERROR(VLOOKUP(F462,Entrega!$A$4:$E$43,5,0),0))</f>
        <v/>
      </c>
      <c r="P462" s="9">
        <f>IF(K462="","",K462-L462-M462-N462-O462)</f>
        <v/>
      </c>
      <c r="Q462" s="9">
        <f>IF(K462="","",IF(I462="Entregue",0,K462-N(J462)))</f>
        <v/>
      </c>
      <c r="R462" s="12">
        <f>IF(ISNUMBER(A462),MONTH(A462),"")</f>
        <v/>
      </c>
      <c r="S462" s="12">
        <f>IF(ISNUMBER(A462),YEAR(A462),"")</f>
        <v/>
      </c>
    </row>
    <row r="463">
      <c r="A463" s="23" t="n"/>
      <c r="B463" s="19" t="n"/>
      <c r="C463" s="19" t="n"/>
      <c r="D463" s="7" t="n"/>
      <c r="E463" s="13" t="n"/>
      <c r="F463" s="19" t="n"/>
      <c r="G463" s="13" t="n"/>
      <c r="H463" s="19" t="n"/>
      <c r="I463" s="19" t="n"/>
      <c r="J463" s="13" t="n"/>
      <c r="K463" s="9">
        <f>IF(AND(C463&lt;&gt;"",N(D463)&gt;0,I463&lt;&gt;"Cancelado"),D463*IF(N(E463)&gt;0,E463,IFERROR(VLOOKUP(C463,Produtos!$A$4:$O$53,15,0),0))+N(G463),"")</f>
        <v/>
      </c>
      <c r="L463" s="9">
        <f>IF(K463="","",K463*IFERROR(VLOOKUP(H463,Config!$B$15:$C$19,2,0),0))</f>
        <v/>
      </c>
      <c r="M463" s="9">
        <f>IF(K463="","",D463*IFERROR(VLOOKUP(C463,Produtos!$A$4:$I$53,9,0),0))</f>
        <v/>
      </c>
      <c r="N463" s="9">
        <f>IF(K463="","",D463*IFERROR(VLOOKUP(C463,Produtos!$A$4:$J$53,10,0),0))</f>
        <v/>
      </c>
      <c r="O463" s="9">
        <f>IF(OR(K463="",F463=""),IF(K463="","",0),IFERROR(VLOOKUP(F463,Entrega!$A$4:$E$43,5,0),0))</f>
        <v/>
      </c>
      <c r="P463" s="9">
        <f>IF(K463="","",K463-L463-M463-N463-O463)</f>
        <v/>
      </c>
      <c r="Q463" s="9">
        <f>IF(K463="","",IF(I463="Entregue",0,K463-N(J463)))</f>
        <v/>
      </c>
      <c r="R463" s="12">
        <f>IF(ISNUMBER(A463),MONTH(A463),"")</f>
        <v/>
      </c>
      <c r="S463" s="12">
        <f>IF(ISNUMBER(A463),YEAR(A463),"")</f>
        <v/>
      </c>
    </row>
    <row r="464">
      <c r="A464" s="23" t="n"/>
      <c r="B464" s="19" t="n"/>
      <c r="C464" s="19" t="n"/>
      <c r="D464" s="7" t="n"/>
      <c r="E464" s="13" t="n"/>
      <c r="F464" s="19" t="n"/>
      <c r="G464" s="13" t="n"/>
      <c r="H464" s="19" t="n"/>
      <c r="I464" s="19" t="n"/>
      <c r="J464" s="13" t="n"/>
      <c r="K464" s="9">
        <f>IF(AND(C464&lt;&gt;"",N(D464)&gt;0,I464&lt;&gt;"Cancelado"),D464*IF(N(E464)&gt;0,E464,IFERROR(VLOOKUP(C464,Produtos!$A$4:$O$53,15,0),0))+N(G464),"")</f>
        <v/>
      </c>
      <c r="L464" s="9">
        <f>IF(K464="","",K464*IFERROR(VLOOKUP(H464,Config!$B$15:$C$19,2,0),0))</f>
        <v/>
      </c>
      <c r="M464" s="9">
        <f>IF(K464="","",D464*IFERROR(VLOOKUP(C464,Produtos!$A$4:$I$53,9,0),0))</f>
        <v/>
      </c>
      <c r="N464" s="9">
        <f>IF(K464="","",D464*IFERROR(VLOOKUP(C464,Produtos!$A$4:$J$53,10,0),0))</f>
        <v/>
      </c>
      <c r="O464" s="9">
        <f>IF(OR(K464="",F464=""),IF(K464="","",0),IFERROR(VLOOKUP(F464,Entrega!$A$4:$E$43,5,0),0))</f>
        <v/>
      </c>
      <c r="P464" s="9">
        <f>IF(K464="","",K464-L464-M464-N464-O464)</f>
        <v/>
      </c>
      <c r="Q464" s="9">
        <f>IF(K464="","",IF(I464="Entregue",0,K464-N(J464)))</f>
        <v/>
      </c>
      <c r="R464" s="12">
        <f>IF(ISNUMBER(A464),MONTH(A464),"")</f>
        <v/>
      </c>
      <c r="S464" s="12">
        <f>IF(ISNUMBER(A464),YEAR(A464),"")</f>
        <v/>
      </c>
    </row>
    <row r="465">
      <c r="A465" s="23" t="n"/>
      <c r="B465" s="19" t="n"/>
      <c r="C465" s="19" t="n"/>
      <c r="D465" s="7" t="n"/>
      <c r="E465" s="13" t="n"/>
      <c r="F465" s="19" t="n"/>
      <c r="G465" s="13" t="n"/>
      <c r="H465" s="19" t="n"/>
      <c r="I465" s="19" t="n"/>
      <c r="J465" s="13" t="n"/>
      <c r="K465" s="9">
        <f>IF(AND(C465&lt;&gt;"",N(D465)&gt;0,I465&lt;&gt;"Cancelado"),D465*IF(N(E465)&gt;0,E465,IFERROR(VLOOKUP(C465,Produtos!$A$4:$O$53,15,0),0))+N(G465),"")</f>
        <v/>
      </c>
      <c r="L465" s="9">
        <f>IF(K465="","",K465*IFERROR(VLOOKUP(H465,Config!$B$15:$C$19,2,0),0))</f>
        <v/>
      </c>
      <c r="M465" s="9">
        <f>IF(K465="","",D465*IFERROR(VLOOKUP(C465,Produtos!$A$4:$I$53,9,0),0))</f>
        <v/>
      </c>
      <c r="N465" s="9">
        <f>IF(K465="","",D465*IFERROR(VLOOKUP(C465,Produtos!$A$4:$J$53,10,0),0))</f>
        <v/>
      </c>
      <c r="O465" s="9">
        <f>IF(OR(K465="",F465=""),IF(K465="","",0),IFERROR(VLOOKUP(F465,Entrega!$A$4:$E$43,5,0),0))</f>
        <v/>
      </c>
      <c r="P465" s="9">
        <f>IF(K465="","",K465-L465-M465-N465-O465)</f>
        <v/>
      </c>
      <c r="Q465" s="9">
        <f>IF(K465="","",IF(I465="Entregue",0,K465-N(J465)))</f>
        <v/>
      </c>
      <c r="R465" s="12">
        <f>IF(ISNUMBER(A465),MONTH(A465),"")</f>
        <v/>
      </c>
      <c r="S465" s="12">
        <f>IF(ISNUMBER(A465),YEAR(A465),"")</f>
        <v/>
      </c>
    </row>
    <row r="466">
      <c r="A466" s="23" t="n"/>
      <c r="B466" s="19" t="n"/>
      <c r="C466" s="19" t="n"/>
      <c r="D466" s="7" t="n"/>
      <c r="E466" s="13" t="n"/>
      <c r="F466" s="19" t="n"/>
      <c r="G466" s="13" t="n"/>
      <c r="H466" s="19" t="n"/>
      <c r="I466" s="19" t="n"/>
      <c r="J466" s="13" t="n"/>
      <c r="K466" s="9">
        <f>IF(AND(C466&lt;&gt;"",N(D466)&gt;0,I466&lt;&gt;"Cancelado"),D466*IF(N(E466)&gt;0,E466,IFERROR(VLOOKUP(C466,Produtos!$A$4:$O$53,15,0),0))+N(G466),"")</f>
        <v/>
      </c>
      <c r="L466" s="9">
        <f>IF(K466="","",K466*IFERROR(VLOOKUP(H466,Config!$B$15:$C$19,2,0),0))</f>
        <v/>
      </c>
      <c r="M466" s="9">
        <f>IF(K466="","",D466*IFERROR(VLOOKUP(C466,Produtos!$A$4:$I$53,9,0),0))</f>
        <v/>
      </c>
      <c r="N466" s="9">
        <f>IF(K466="","",D466*IFERROR(VLOOKUP(C466,Produtos!$A$4:$J$53,10,0),0))</f>
        <v/>
      </c>
      <c r="O466" s="9">
        <f>IF(OR(K466="",F466=""),IF(K466="","",0),IFERROR(VLOOKUP(F466,Entrega!$A$4:$E$43,5,0),0))</f>
        <v/>
      </c>
      <c r="P466" s="9">
        <f>IF(K466="","",K466-L466-M466-N466-O466)</f>
        <v/>
      </c>
      <c r="Q466" s="9">
        <f>IF(K466="","",IF(I466="Entregue",0,K466-N(J466)))</f>
        <v/>
      </c>
      <c r="R466" s="12">
        <f>IF(ISNUMBER(A466),MONTH(A466),"")</f>
        <v/>
      </c>
      <c r="S466" s="12">
        <f>IF(ISNUMBER(A466),YEAR(A466),"")</f>
        <v/>
      </c>
    </row>
    <row r="467">
      <c r="A467" s="23" t="n"/>
      <c r="B467" s="19" t="n"/>
      <c r="C467" s="19" t="n"/>
      <c r="D467" s="7" t="n"/>
      <c r="E467" s="13" t="n"/>
      <c r="F467" s="19" t="n"/>
      <c r="G467" s="13" t="n"/>
      <c r="H467" s="19" t="n"/>
      <c r="I467" s="19" t="n"/>
      <c r="J467" s="13" t="n"/>
      <c r="K467" s="9">
        <f>IF(AND(C467&lt;&gt;"",N(D467)&gt;0,I467&lt;&gt;"Cancelado"),D467*IF(N(E467)&gt;0,E467,IFERROR(VLOOKUP(C467,Produtos!$A$4:$O$53,15,0),0))+N(G467),"")</f>
        <v/>
      </c>
      <c r="L467" s="9">
        <f>IF(K467="","",K467*IFERROR(VLOOKUP(H467,Config!$B$15:$C$19,2,0),0))</f>
        <v/>
      </c>
      <c r="M467" s="9">
        <f>IF(K467="","",D467*IFERROR(VLOOKUP(C467,Produtos!$A$4:$I$53,9,0),0))</f>
        <v/>
      </c>
      <c r="N467" s="9">
        <f>IF(K467="","",D467*IFERROR(VLOOKUP(C467,Produtos!$A$4:$J$53,10,0),0))</f>
        <v/>
      </c>
      <c r="O467" s="9">
        <f>IF(OR(K467="",F467=""),IF(K467="","",0),IFERROR(VLOOKUP(F467,Entrega!$A$4:$E$43,5,0),0))</f>
        <v/>
      </c>
      <c r="P467" s="9">
        <f>IF(K467="","",K467-L467-M467-N467-O467)</f>
        <v/>
      </c>
      <c r="Q467" s="9">
        <f>IF(K467="","",IF(I467="Entregue",0,K467-N(J467)))</f>
        <v/>
      </c>
      <c r="R467" s="12">
        <f>IF(ISNUMBER(A467),MONTH(A467),"")</f>
        <v/>
      </c>
      <c r="S467" s="12">
        <f>IF(ISNUMBER(A467),YEAR(A467),"")</f>
        <v/>
      </c>
    </row>
    <row r="468">
      <c r="A468" s="23" t="n"/>
      <c r="B468" s="19" t="n"/>
      <c r="C468" s="19" t="n"/>
      <c r="D468" s="7" t="n"/>
      <c r="E468" s="13" t="n"/>
      <c r="F468" s="19" t="n"/>
      <c r="G468" s="13" t="n"/>
      <c r="H468" s="19" t="n"/>
      <c r="I468" s="19" t="n"/>
      <c r="J468" s="13" t="n"/>
      <c r="K468" s="9">
        <f>IF(AND(C468&lt;&gt;"",N(D468)&gt;0,I468&lt;&gt;"Cancelado"),D468*IF(N(E468)&gt;0,E468,IFERROR(VLOOKUP(C468,Produtos!$A$4:$O$53,15,0),0))+N(G468),"")</f>
        <v/>
      </c>
      <c r="L468" s="9">
        <f>IF(K468="","",K468*IFERROR(VLOOKUP(H468,Config!$B$15:$C$19,2,0),0))</f>
        <v/>
      </c>
      <c r="M468" s="9">
        <f>IF(K468="","",D468*IFERROR(VLOOKUP(C468,Produtos!$A$4:$I$53,9,0),0))</f>
        <v/>
      </c>
      <c r="N468" s="9">
        <f>IF(K468="","",D468*IFERROR(VLOOKUP(C468,Produtos!$A$4:$J$53,10,0),0))</f>
        <v/>
      </c>
      <c r="O468" s="9">
        <f>IF(OR(K468="",F468=""),IF(K468="","",0),IFERROR(VLOOKUP(F468,Entrega!$A$4:$E$43,5,0),0))</f>
        <v/>
      </c>
      <c r="P468" s="9">
        <f>IF(K468="","",K468-L468-M468-N468-O468)</f>
        <v/>
      </c>
      <c r="Q468" s="9">
        <f>IF(K468="","",IF(I468="Entregue",0,K468-N(J468)))</f>
        <v/>
      </c>
      <c r="R468" s="12">
        <f>IF(ISNUMBER(A468),MONTH(A468),"")</f>
        <v/>
      </c>
      <c r="S468" s="12">
        <f>IF(ISNUMBER(A468),YEAR(A468),"")</f>
        <v/>
      </c>
    </row>
    <row r="469">
      <c r="A469" s="23" t="n"/>
      <c r="B469" s="19" t="n"/>
      <c r="C469" s="19" t="n"/>
      <c r="D469" s="7" t="n"/>
      <c r="E469" s="13" t="n"/>
      <c r="F469" s="19" t="n"/>
      <c r="G469" s="13" t="n"/>
      <c r="H469" s="19" t="n"/>
      <c r="I469" s="19" t="n"/>
      <c r="J469" s="13" t="n"/>
      <c r="K469" s="9">
        <f>IF(AND(C469&lt;&gt;"",N(D469)&gt;0,I469&lt;&gt;"Cancelado"),D469*IF(N(E469)&gt;0,E469,IFERROR(VLOOKUP(C469,Produtos!$A$4:$O$53,15,0),0))+N(G469),"")</f>
        <v/>
      </c>
      <c r="L469" s="9">
        <f>IF(K469="","",K469*IFERROR(VLOOKUP(H469,Config!$B$15:$C$19,2,0),0))</f>
        <v/>
      </c>
      <c r="M469" s="9">
        <f>IF(K469="","",D469*IFERROR(VLOOKUP(C469,Produtos!$A$4:$I$53,9,0),0))</f>
        <v/>
      </c>
      <c r="N469" s="9">
        <f>IF(K469="","",D469*IFERROR(VLOOKUP(C469,Produtos!$A$4:$J$53,10,0),0))</f>
        <v/>
      </c>
      <c r="O469" s="9">
        <f>IF(OR(K469="",F469=""),IF(K469="","",0),IFERROR(VLOOKUP(F469,Entrega!$A$4:$E$43,5,0),0))</f>
        <v/>
      </c>
      <c r="P469" s="9">
        <f>IF(K469="","",K469-L469-M469-N469-O469)</f>
        <v/>
      </c>
      <c r="Q469" s="9">
        <f>IF(K469="","",IF(I469="Entregue",0,K469-N(J469)))</f>
        <v/>
      </c>
      <c r="R469" s="12">
        <f>IF(ISNUMBER(A469),MONTH(A469),"")</f>
        <v/>
      </c>
      <c r="S469" s="12">
        <f>IF(ISNUMBER(A469),YEAR(A469),"")</f>
        <v/>
      </c>
    </row>
    <row r="470">
      <c r="A470" s="23" t="n"/>
      <c r="B470" s="19" t="n"/>
      <c r="C470" s="19" t="n"/>
      <c r="D470" s="7" t="n"/>
      <c r="E470" s="13" t="n"/>
      <c r="F470" s="19" t="n"/>
      <c r="G470" s="13" t="n"/>
      <c r="H470" s="19" t="n"/>
      <c r="I470" s="19" t="n"/>
      <c r="J470" s="13" t="n"/>
      <c r="K470" s="9">
        <f>IF(AND(C470&lt;&gt;"",N(D470)&gt;0,I470&lt;&gt;"Cancelado"),D470*IF(N(E470)&gt;0,E470,IFERROR(VLOOKUP(C470,Produtos!$A$4:$O$53,15,0),0))+N(G470),"")</f>
        <v/>
      </c>
      <c r="L470" s="9">
        <f>IF(K470="","",K470*IFERROR(VLOOKUP(H470,Config!$B$15:$C$19,2,0),0))</f>
        <v/>
      </c>
      <c r="M470" s="9">
        <f>IF(K470="","",D470*IFERROR(VLOOKUP(C470,Produtos!$A$4:$I$53,9,0),0))</f>
        <v/>
      </c>
      <c r="N470" s="9">
        <f>IF(K470="","",D470*IFERROR(VLOOKUP(C470,Produtos!$A$4:$J$53,10,0),0))</f>
        <v/>
      </c>
      <c r="O470" s="9">
        <f>IF(OR(K470="",F470=""),IF(K470="","",0),IFERROR(VLOOKUP(F470,Entrega!$A$4:$E$43,5,0),0))</f>
        <v/>
      </c>
      <c r="P470" s="9">
        <f>IF(K470="","",K470-L470-M470-N470-O470)</f>
        <v/>
      </c>
      <c r="Q470" s="9">
        <f>IF(K470="","",IF(I470="Entregue",0,K470-N(J470)))</f>
        <v/>
      </c>
      <c r="R470" s="12">
        <f>IF(ISNUMBER(A470),MONTH(A470),"")</f>
        <v/>
      </c>
      <c r="S470" s="12">
        <f>IF(ISNUMBER(A470),YEAR(A470),"")</f>
        <v/>
      </c>
    </row>
    <row r="471">
      <c r="A471" s="23" t="n"/>
      <c r="B471" s="19" t="n"/>
      <c r="C471" s="19" t="n"/>
      <c r="D471" s="7" t="n"/>
      <c r="E471" s="13" t="n"/>
      <c r="F471" s="19" t="n"/>
      <c r="G471" s="13" t="n"/>
      <c r="H471" s="19" t="n"/>
      <c r="I471" s="19" t="n"/>
      <c r="J471" s="13" t="n"/>
      <c r="K471" s="9">
        <f>IF(AND(C471&lt;&gt;"",N(D471)&gt;0,I471&lt;&gt;"Cancelado"),D471*IF(N(E471)&gt;0,E471,IFERROR(VLOOKUP(C471,Produtos!$A$4:$O$53,15,0),0))+N(G471),"")</f>
        <v/>
      </c>
      <c r="L471" s="9">
        <f>IF(K471="","",K471*IFERROR(VLOOKUP(H471,Config!$B$15:$C$19,2,0),0))</f>
        <v/>
      </c>
      <c r="M471" s="9">
        <f>IF(K471="","",D471*IFERROR(VLOOKUP(C471,Produtos!$A$4:$I$53,9,0),0))</f>
        <v/>
      </c>
      <c r="N471" s="9">
        <f>IF(K471="","",D471*IFERROR(VLOOKUP(C471,Produtos!$A$4:$J$53,10,0),0))</f>
        <v/>
      </c>
      <c r="O471" s="9">
        <f>IF(OR(K471="",F471=""),IF(K471="","",0),IFERROR(VLOOKUP(F471,Entrega!$A$4:$E$43,5,0),0))</f>
        <v/>
      </c>
      <c r="P471" s="9">
        <f>IF(K471="","",K471-L471-M471-N471-O471)</f>
        <v/>
      </c>
      <c r="Q471" s="9">
        <f>IF(K471="","",IF(I471="Entregue",0,K471-N(J471)))</f>
        <v/>
      </c>
      <c r="R471" s="12">
        <f>IF(ISNUMBER(A471),MONTH(A471),"")</f>
        <v/>
      </c>
      <c r="S471" s="12">
        <f>IF(ISNUMBER(A471),YEAR(A471),"")</f>
        <v/>
      </c>
    </row>
    <row r="472">
      <c r="A472" s="23" t="n"/>
      <c r="B472" s="19" t="n"/>
      <c r="C472" s="19" t="n"/>
      <c r="D472" s="7" t="n"/>
      <c r="E472" s="13" t="n"/>
      <c r="F472" s="19" t="n"/>
      <c r="G472" s="13" t="n"/>
      <c r="H472" s="19" t="n"/>
      <c r="I472" s="19" t="n"/>
      <c r="J472" s="13" t="n"/>
      <c r="K472" s="9">
        <f>IF(AND(C472&lt;&gt;"",N(D472)&gt;0,I472&lt;&gt;"Cancelado"),D472*IF(N(E472)&gt;0,E472,IFERROR(VLOOKUP(C472,Produtos!$A$4:$O$53,15,0),0))+N(G472),"")</f>
        <v/>
      </c>
      <c r="L472" s="9">
        <f>IF(K472="","",K472*IFERROR(VLOOKUP(H472,Config!$B$15:$C$19,2,0),0))</f>
        <v/>
      </c>
      <c r="M472" s="9">
        <f>IF(K472="","",D472*IFERROR(VLOOKUP(C472,Produtos!$A$4:$I$53,9,0),0))</f>
        <v/>
      </c>
      <c r="N472" s="9">
        <f>IF(K472="","",D472*IFERROR(VLOOKUP(C472,Produtos!$A$4:$J$53,10,0),0))</f>
        <v/>
      </c>
      <c r="O472" s="9">
        <f>IF(OR(K472="",F472=""),IF(K472="","",0),IFERROR(VLOOKUP(F472,Entrega!$A$4:$E$43,5,0),0))</f>
        <v/>
      </c>
      <c r="P472" s="9">
        <f>IF(K472="","",K472-L472-M472-N472-O472)</f>
        <v/>
      </c>
      <c r="Q472" s="9">
        <f>IF(K472="","",IF(I472="Entregue",0,K472-N(J472)))</f>
        <v/>
      </c>
      <c r="R472" s="12">
        <f>IF(ISNUMBER(A472),MONTH(A472),"")</f>
        <v/>
      </c>
      <c r="S472" s="12">
        <f>IF(ISNUMBER(A472),YEAR(A472),"")</f>
        <v/>
      </c>
    </row>
    <row r="473">
      <c r="A473" s="23" t="n"/>
      <c r="B473" s="19" t="n"/>
      <c r="C473" s="19" t="n"/>
      <c r="D473" s="7" t="n"/>
      <c r="E473" s="13" t="n"/>
      <c r="F473" s="19" t="n"/>
      <c r="G473" s="13" t="n"/>
      <c r="H473" s="19" t="n"/>
      <c r="I473" s="19" t="n"/>
      <c r="J473" s="13" t="n"/>
      <c r="K473" s="9">
        <f>IF(AND(C473&lt;&gt;"",N(D473)&gt;0,I473&lt;&gt;"Cancelado"),D473*IF(N(E473)&gt;0,E473,IFERROR(VLOOKUP(C473,Produtos!$A$4:$O$53,15,0),0))+N(G473),"")</f>
        <v/>
      </c>
      <c r="L473" s="9">
        <f>IF(K473="","",K473*IFERROR(VLOOKUP(H473,Config!$B$15:$C$19,2,0),0))</f>
        <v/>
      </c>
      <c r="M473" s="9">
        <f>IF(K473="","",D473*IFERROR(VLOOKUP(C473,Produtos!$A$4:$I$53,9,0),0))</f>
        <v/>
      </c>
      <c r="N473" s="9">
        <f>IF(K473="","",D473*IFERROR(VLOOKUP(C473,Produtos!$A$4:$J$53,10,0),0))</f>
        <v/>
      </c>
      <c r="O473" s="9">
        <f>IF(OR(K473="",F473=""),IF(K473="","",0),IFERROR(VLOOKUP(F473,Entrega!$A$4:$E$43,5,0),0))</f>
        <v/>
      </c>
      <c r="P473" s="9">
        <f>IF(K473="","",K473-L473-M473-N473-O473)</f>
        <v/>
      </c>
      <c r="Q473" s="9">
        <f>IF(K473="","",IF(I473="Entregue",0,K473-N(J473)))</f>
        <v/>
      </c>
      <c r="R473" s="12">
        <f>IF(ISNUMBER(A473),MONTH(A473),"")</f>
        <v/>
      </c>
      <c r="S473" s="12">
        <f>IF(ISNUMBER(A473),YEAR(A473),"")</f>
        <v/>
      </c>
    </row>
    <row r="474">
      <c r="A474" s="23" t="n"/>
      <c r="B474" s="19" t="n"/>
      <c r="C474" s="19" t="n"/>
      <c r="D474" s="7" t="n"/>
      <c r="E474" s="13" t="n"/>
      <c r="F474" s="19" t="n"/>
      <c r="G474" s="13" t="n"/>
      <c r="H474" s="19" t="n"/>
      <c r="I474" s="19" t="n"/>
      <c r="J474" s="13" t="n"/>
      <c r="K474" s="9">
        <f>IF(AND(C474&lt;&gt;"",N(D474)&gt;0,I474&lt;&gt;"Cancelado"),D474*IF(N(E474)&gt;0,E474,IFERROR(VLOOKUP(C474,Produtos!$A$4:$O$53,15,0),0))+N(G474),"")</f>
        <v/>
      </c>
      <c r="L474" s="9">
        <f>IF(K474="","",K474*IFERROR(VLOOKUP(H474,Config!$B$15:$C$19,2,0),0))</f>
        <v/>
      </c>
      <c r="M474" s="9">
        <f>IF(K474="","",D474*IFERROR(VLOOKUP(C474,Produtos!$A$4:$I$53,9,0),0))</f>
        <v/>
      </c>
      <c r="N474" s="9">
        <f>IF(K474="","",D474*IFERROR(VLOOKUP(C474,Produtos!$A$4:$J$53,10,0),0))</f>
        <v/>
      </c>
      <c r="O474" s="9">
        <f>IF(OR(K474="",F474=""),IF(K474="","",0),IFERROR(VLOOKUP(F474,Entrega!$A$4:$E$43,5,0),0))</f>
        <v/>
      </c>
      <c r="P474" s="9">
        <f>IF(K474="","",K474-L474-M474-N474-O474)</f>
        <v/>
      </c>
      <c r="Q474" s="9">
        <f>IF(K474="","",IF(I474="Entregue",0,K474-N(J474)))</f>
        <v/>
      </c>
      <c r="R474" s="12">
        <f>IF(ISNUMBER(A474),MONTH(A474),"")</f>
        <v/>
      </c>
      <c r="S474" s="12">
        <f>IF(ISNUMBER(A474),YEAR(A474),"")</f>
        <v/>
      </c>
    </row>
    <row r="475">
      <c r="A475" s="23" t="n"/>
      <c r="B475" s="19" t="n"/>
      <c r="C475" s="19" t="n"/>
      <c r="D475" s="7" t="n"/>
      <c r="E475" s="13" t="n"/>
      <c r="F475" s="19" t="n"/>
      <c r="G475" s="13" t="n"/>
      <c r="H475" s="19" t="n"/>
      <c r="I475" s="19" t="n"/>
      <c r="J475" s="13" t="n"/>
      <c r="K475" s="9">
        <f>IF(AND(C475&lt;&gt;"",N(D475)&gt;0,I475&lt;&gt;"Cancelado"),D475*IF(N(E475)&gt;0,E475,IFERROR(VLOOKUP(C475,Produtos!$A$4:$O$53,15,0),0))+N(G475),"")</f>
        <v/>
      </c>
      <c r="L475" s="9">
        <f>IF(K475="","",K475*IFERROR(VLOOKUP(H475,Config!$B$15:$C$19,2,0),0))</f>
        <v/>
      </c>
      <c r="M475" s="9">
        <f>IF(K475="","",D475*IFERROR(VLOOKUP(C475,Produtos!$A$4:$I$53,9,0),0))</f>
        <v/>
      </c>
      <c r="N475" s="9">
        <f>IF(K475="","",D475*IFERROR(VLOOKUP(C475,Produtos!$A$4:$J$53,10,0),0))</f>
        <v/>
      </c>
      <c r="O475" s="9">
        <f>IF(OR(K475="",F475=""),IF(K475="","",0),IFERROR(VLOOKUP(F475,Entrega!$A$4:$E$43,5,0),0))</f>
        <v/>
      </c>
      <c r="P475" s="9">
        <f>IF(K475="","",K475-L475-M475-N475-O475)</f>
        <v/>
      </c>
      <c r="Q475" s="9">
        <f>IF(K475="","",IF(I475="Entregue",0,K475-N(J475)))</f>
        <v/>
      </c>
      <c r="R475" s="12">
        <f>IF(ISNUMBER(A475),MONTH(A475),"")</f>
        <v/>
      </c>
      <c r="S475" s="12">
        <f>IF(ISNUMBER(A475),YEAR(A475),"")</f>
        <v/>
      </c>
    </row>
    <row r="476">
      <c r="A476" s="23" t="n"/>
      <c r="B476" s="19" t="n"/>
      <c r="C476" s="19" t="n"/>
      <c r="D476" s="7" t="n"/>
      <c r="E476" s="13" t="n"/>
      <c r="F476" s="19" t="n"/>
      <c r="G476" s="13" t="n"/>
      <c r="H476" s="19" t="n"/>
      <c r="I476" s="19" t="n"/>
      <c r="J476" s="13" t="n"/>
      <c r="K476" s="9">
        <f>IF(AND(C476&lt;&gt;"",N(D476)&gt;0,I476&lt;&gt;"Cancelado"),D476*IF(N(E476)&gt;0,E476,IFERROR(VLOOKUP(C476,Produtos!$A$4:$O$53,15,0),0))+N(G476),"")</f>
        <v/>
      </c>
      <c r="L476" s="9">
        <f>IF(K476="","",K476*IFERROR(VLOOKUP(H476,Config!$B$15:$C$19,2,0),0))</f>
        <v/>
      </c>
      <c r="M476" s="9">
        <f>IF(K476="","",D476*IFERROR(VLOOKUP(C476,Produtos!$A$4:$I$53,9,0),0))</f>
        <v/>
      </c>
      <c r="N476" s="9">
        <f>IF(K476="","",D476*IFERROR(VLOOKUP(C476,Produtos!$A$4:$J$53,10,0),0))</f>
        <v/>
      </c>
      <c r="O476" s="9">
        <f>IF(OR(K476="",F476=""),IF(K476="","",0),IFERROR(VLOOKUP(F476,Entrega!$A$4:$E$43,5,0),0))</f>
        <v/>
      </c>
      <c r="P476" s="9">
        <f>IF(K476="","",K476-L476-M476-N476-O476)</f>
        <v/>
      </c>
      <c r="Q476" s="9">
        <f>IF(K476="","",IF(I476="Entregue",0,K476-N(J476)))</f>
        <v/>
      </c>
      <c r="R476" s="12">
        <f>IF(ISNUMBER(A476),MONTH(A476),"")</f>
        <v/>
      </c>
      <c r="S476" s="12">
        <f>IF(ISNUMBER(A476),YEAR(A476),"")</f>
        <v/>
      </c>
    </row>
    <row r="477">
      <c r="A477" s="23" t="n"/>
      <c r="B477" s="19" t="n"/>
      <c r="C477" s="19" t="n"/>
      <c r="D477" s="7" t="n"/>
      <c r="E477" s="13" t="n"/>
      <c r="F477" s="19" t="n"/>
      <c r="G477" s="13" t="n"/>
      <c r="H477" s="19" t="n"/>
      <c r="I477" s="19" t="n"/>
      <c r="J477" s="13" t="n"/>
      <c r="K477" s="9">
        <f>IF(AND(C477&lt;&gt;"",N(D477)&gt;0,I477&lt;&gt;"Cancelado"),D477*IF(N(E477)&gt;0,E477,IFERROR(VLOOKUP(C477,Produtos!$A$4:$O$53,15,0),0))+N(G477),"")</f>
        <v/>
      </c>
      <c r="L477" s="9">
        <f>IF(K477="","",K477*IFERROR(VLOOKUP(H477,Config!$B$15:$C$19,2,0),0))</f>
        <v/>
      </c>
      <c r="M477" s="9">
        <f>IF(K477="","",D477*IFERROR(VLOOKUP(C477,Produtos!$A$4:$I$53,9,0),0))</f>
        <v/>
      </c>
      <c r="N477" s="9">
        <f>IF(K477="","",D477*IFERROR(VLOOKUP(C477,Produtos!$A$4:$J$53,10,0),0))</f>
        <v/>
      </c>
      <c r="O477" s="9">
        <f>IF(OR(K477="",F477=""),IF(K477="","",0),IFERROR(VLOOKUP(F477,Entrega!$A$4:$E$43,5,0),0))</f>
        <v/>
      </c>
      <c r="P477" s="9">
        <f>IF(K477="","",K477-L477-M477-N477-O477)</f>
        <v/>
      </c>
      <c r="Q477" s="9">
        <f>IF(K477="","",IF(I477="Entregue",0,K477-N(J477)))</f>
        <v/>
      </c>
      <c r="R477" s="12">
        <f>IF(ISNUMBER(A477),MONTH(A477),"")</f>
        <v/>
      </c>
      <c r="S477" s="12">
        <f>IF(ISNUMBER(A477),YEAR(A477),"")</f>
        <v/>
      </c>
    </row>
    <row r="478">
      <c r="A478" s="23" t="n"/>
      <c r="B478" s="19" t="n"/>
      <c r="C478" s="19" t="n"/>
      <c r="D478" s="7" t="n"/>
      <c r="E478" s="13" t="n"/>
      <c r="F478" s="19" t="n"/>
      <c r="G478" s="13" t="n"/>
      <c r="H478" s="19" t="n"/>
      <c r="I478" s="19" t="n"/>
      <c r="J478" s="13" t="n"/>
      <c r="K478" s="9">
        <f>IF(AND(C478&lt;&gt;"",N(D478)&gt;0,I478&lt;&gt;"Cancelado"),D478*IF(N(E478)&gt;0,E478,IFERROR(VLOOKUP(C478,Produtos!$A$4:$O$53,15,0),0))+N(G478),"")</f>
        <v/>
      </c>
      <c r="L478" s="9">
        <f>IF(K478="","",K478*IFERROR(VLOOKUP(H478,Config!$B$15:$C$19,2,0),0))</f>
        <v/>
      </c>
      <c r="M478" s="9">
        <f>IF(K478="","",D478*IFERROR(VLOOKUP(C478,Produtos!$A$4:$I$53,9,0),0))</f>
        <v/>
      </c>
      <c r="N478" s="9">
        <f>IF(K478="","",D478*IFERROR(VLOOKUP(C478,Produtos!$A$4:$J$53,10,0),0))</f>
        <v/>
      </c>
      <c r="O478" s="9">
        <f>IF(OR(K478="",F478=""),IF(K478="","",0),IFERROR(VLOOKUP(F478,Entrega!$A$4:$E$43,5,0),0))</f>
        <v/>
      </c>
      <c r="P478" s="9">
        <f>IF(K478="","",K478-L478-M478-N478-O478)</f>
        <v/>
      </c>
      <c r="Q478" s="9">
        <f>IF(K478="","",IF(I478="Entregue",0,K478-N(J478)))</f>
        <v/>
      </c>
      <c r="R478" s="12">
        <f>IF(ISNUMBER(A478),MONTH(A478),"")</f>
        <v/>
      </c>
      <c r="S478" s="12">
        <f>IF(ISNUMBER(A478),YEAR(A478),"")</f>
        <v/>
      </c>
    </row>
    <row r="479">
      <c r="A479" s="23" t="n"/>
      <c r="B479" s="19" t="n"/>
      <c r="C479" s="19" t="n"/>
      <c r="D479" s="7" t="n"/>
      <c r="E479" s="13" t="n"/>
      <c r="F479" s="19" t="n"/>
      <c r="G479" s="13" t="n"/>
      <c r="H479" s="19" t="n"/>
      <c r="I479" s="19" t="n"/>
      <c r="J479" s="13" t="n"/>
      <c r="K479" s="9">
        <f>IF(AND(C479&lt;&gt;"",N(D479)&gt;0,I479&lt;&gt;"Cancelado"),D479*IF(N(E479)&gt;0,E479,IFERROR(VLOOKUP(C479,Produtos!$A$4:$O$53,15,0),0))+N(G479),"")</f>
        <v/>
      </c>
      <c r="L479" s="9">
        <f>IF(K479="","",K479*IFERROR(VLOOKUP(H479,Config!$B$15:$C$19,2,0),0))</f>
        <v/>
      </c>
      <c r="M479" s="9">
        <f>IF(K479="","",D479*IFERROR(VLOOKUP(C479,Produtos!$A$4:$I$53,9,0),0))</f>
        <v/>
      </c>
      <c r="N479" s="9">
        <f>IF(K479="","",D479*IFERROR(VLOOKUP(C479,Produtos!$A$4:$J$53,10,0),0))</f>
        <v/>
      </c>
      <c r="O479" s="9">
        <f>IF(OR(K479="",F479=""),IF(K479="","",0),IFERROR(VLOOKUP(F479,Entrega!$A$4:$E$43,5,0),0))</f>
        <v/>
      </c>
      <c r="P479" s="9">
        <f>IF(K479="","",K479-L479-M479-N479-O479)</f>
        <v/>
      </c>
      <c r="Q479" s="9">
        <f>IF(K479="","",IF(I479="Entregue",0,K479-N(J479)))</f>
        <v/>
      </c>
      <c r="R479" s="12">
        <f>IF(ISNUMBER(A479),MONTH(A479),"")</f>
        <v/>
      </c>
      <c r="S479" s="12">
        <f>IF(ISNUMBER(A479),YEAR(A479),"")</f>
        <v/>
      </c>
    </row>
    <row r="480">
      <c r="A480" s="23" t="n"/>
      <c r="B480" s="19" t="n"/>
      <c r="C480" s="19" t="n"/>
      <c r="D480" s="7" t="n"/>
      <c r="E480" s="13" t="n"/>
      <c r="F480" s="19" t="n"/>
      <c r="G480" s="13" t="n"/>
      <c r="H480" s="19" t="n"/>
      <c r="I480" s="19" t="n"/>
      <c r="J480" s="13" t="n"/>
      <c r="K480" s="9">
        <f>IF(AND(C480&lt;&gt;"",N(D480)&gt;0,I480&lt;&gt;"Cancelado"),D480*IF(N(E480)&gt;0,E480,IFERROR(VLOOKUP(C480,Produtos!$A$4:$O$53,15,0),0))+N(G480),"")</f>
        <v/>
      </c>
      <c r="L480" s="9">
        <f>IF(K480="","",K480*IFERROR(VLOOKUP(H480,Config!$B$15:$C$19,2,0),0))</f>
        <v/>
      </c>
      <c r="M480" s="9">
        <f>IF(K480="","",D480*IFERROR(VLOOKUP(C480,Produtos!$A$4:$I$53,9,0),0))</f>
        <v/>
      </c>
      <c r="N480" s="9">
        <f>IF(K480="","",D480*IFERROR(VLOOKUP(C480,Produtos!$A$4:$J$53,10,0),0))</f>
        <v/>
      </c>
      <c r="O480" s="9">
        <f>IF(OR(K480="",F480=""),IF(K480="","",0),IFERROR(VLOOKUP(F480,Entrega!$A$4:$E$43,5,0),0))</f>
        <v/>
      </c>
      <c r="P480" s="9">
        <f>IF(K480="","",K480-L480-M480-N480-O480)</f>
        <v/>
      </c>
      <c r="Q480" s="9">
        <f>IF(K480="","",IF(I480="Entregue",0,K480-N(J480)))</f>
        <v/>
      </c>
      <c r="R480" s="12">
        <f>IF(ISNUMBER(A480),MONTH(A480),"")</f>
        <v/>
      </c>
      <c r="S480" s="12">
        <f>IF(ISNUMBER(A480),YEAR(A480),"")</f>
        <v/>
      </c>
    </row>
    <row r="481">
      <c r="A481" s="23" t="n"/>
      <c r="B481" s="19" t="n"/>
      <c r="C481" s="19" t="n"/>
      <c r="D481" s="7" t="n"/>
      <c r="E481" s="13" t="n"/>
      <c r="F481" s="19" t="n"/>
      <c r="G481" s="13" t="n"/>
      <c r="H481" s="19" t="n"/>
      <c r="I481" s="19" t="n"/>
      <c r="J481" s="13" t="n"/>
      <c r="K481" s="9">
        <f>IF(AND(C481&lt;&gt;"",N(D481)&gt;0,I481&lt;&gt;"Cancelado"),D481*IF(N(E481)&gt;0,E481,IFERROR(VLOOKUP(C481,Produtos!$A$4:$O$53,15,0),0))+N(G481),"")</f>
        <v/>
      </c>
      <c r="L481" s="9">
        <f>IF(K481="","",K481*IFERROR(VLOOKUP(H481,Config!$B$15:$C$19,2,0),0))</f>
        <v/>
      </c>
      <c r="M481" s="9">
        <f>IF(K481="","",D481*IFERROR(VLOOKUP(C481,Produtos!$A$4:$I$53,9,0),0))</f>
        <v/>
      </c>
      <c r="N481" s="9">
        <f>IF(K481="","",D481*IFERROR(VLOOKUP(C481,Produtos!$A$4:$J$53,10,0),0))</f>
        <v/>
      </c>
      <c r="O481" s="9">
        <f>IF(OR(K481="",F481=""),IF(K481="","",0),IFERROR(VLOOKUP(F481,Entrega!$A$4:$E$43,5,0),0))</f>
        <v/>
      </c>
      <c r="P481" s="9">
        <f>IF(K481="","",K481-L481-M481-N481-O481)</f>
        <v/>
      </c>
      <c r="Q481" s="9">
        <f>IF(K481="","",IF(I481="Entregue",0,K481-N(J481)))</f>
        <v/>
      </c>
      <c r="R481" s="12">
        <f>IF(ISNUMBER(A481),MONTH(A481),"")</f>
        <v/>
      </c>
      <c r="S481" s="12">
        <f>IF(ISNUMBER(A481),YEAR(A481),"")</f>
        <v/>
      </c>
    </row>
    <row r="482">
      <c r="A482" s="23" t="n"/>
      <c r="B482" s="19" t="n"/>
      <c r="C482" s="19" t="n"/>
      <c r="D482" s="7" t="n"/>
      <c r="E482" s="13" t="n"/>
      <c r="F482" s="19" t="n"/>
      <c r="G482" s="13" t="n"/>
      <c r="H482" s="19" t="n"/>
      <c r="I482" s="19" t="n"/>
      <c r="J482" s="13" t="n"/>
      <c r="K482" s="9">
        <f>IF(AND(C482&lt;&gt;"",N(D482)&gt;0,I482&lt;&gt;"Cancelado"),D482*IF(N(E482)&gt;0,E482,IFERROR(VLOOKUP(C482,Produtos!$A$4:$O$53,15,0),0))+N(G482),"")</f>
        <v/>
      </c>
      <c r="L482" s="9">
        <f>IF(K482="","",K482*IFERROR(VLOOKUP(H482,Config!$B$15:$C$19,2,0),0))</f>
        <v/>
      </c>
      <c r="M482" s="9">
        <f>IF(K482="","",D482*IFERROR(VLOOKUP(C482,Produtos!$A$4:$I$53,9,0),0))</f>
        <v/>
      </c>
      <c r="N482" s="9">
        <f>IF(K482="","",D482*IFERROR(VLOOKUP(C482,Produtos!$A$4:$J$53,10,0),0))</f>
        <v/>
      </c>
      <c r="O482" s="9">
        <f>IF(OR(K482="",F482=""),IF(K482="","",0),IFERROR(VLOOKUP(F482,Entrega!$A$4:$E$43,5,0),0))</f>
        <v/>
      </c>
      <c r="P482" s="9">
        <f>IF(K482="","",K482-L482-M482-N482-O482)</f>
        <v/>
      </c>
      <c r="Q482" s="9">
        <f>IF(K482="","",IF(I482="Entregue",0,K482-N(J482)))</f>
        <v/>
      </c>
      <c r="R482" s="12">
        <f>IF(ISNUMBER(A482),MONTH(A482),"")</f>
        <v/>
      </c>
      <c r="S482" s="12">
        <f>IF(ISNUMBER(A482),YEAR(A482),"")</f>
        <v/>
      </c>
    </row>
    <row r="483">
      <c r="A483" s="23" t="n"/>
      <c r="B483" s="19" t="n"/>
      <c r="C483" s="19" t="n"/>
      <c r="D483" s="7" t="n"/>
      <c r="E483" s="13" t="n"/>
      <c r="F483" s="19" t="n"/>
      <c r="G483" s="13" t="n"/>
      <c r="H483" s="19" t="n"/>
      <c r="I483" s="19" t="n"/>
      <c r="J483" s="13" t="n"/>
      <c r="K483" s="9">
        <f>IF(AND(C483&lt;&gt;"",N(D483)&gt;0,I483&lt;&gt;"Cancelado"),D483*IF(N(E483)&gt;0,E483,IFERROR(VLOOKUP(C483,Produtos!$A$4:$O$53,15,0),0))+N(G483),"")</f>
        <v/>
      </c>
      <c r="L483" s="9">
        <f>IF(K483="","",K483*IFERROR(VLOOKUP(H483,Config!$B$15:$C$19,2,0),0))</f>
        <v/>
      </c>
      <c r="M483" s="9">
        <f>IF(K483="","",D483*IFERROR(VLOOKUP(C483,Produtos!$A$4:$I$53,9,0),0))</f>
        <v/>
      </c>
      <c r="N483" s="9">
        <f>IF(K483="","",D483*IFERROR(VLOOKUP(C483,Produtos!$A$4:$J$53,10,0),0))</f>
        <v/>
      </c>
      <c r="O483" s="9">
        <f>IF(OR(K483="",F483=""),IF(K483="","",0),IFERROR(VLOOKUP(F483,Entrega!$A$4:$E$43,5,0),0))</f>
        <v/>
      </c>
      <c r="P483" s="9">
        <f>IF(K483="","",K483-L483-M483-N483-O483)</f>
        <v/>
      </c>
      <c r="Q483" s="9">
        <f>IF(K483="","",IF(I483="Entregue",0,K483-N(J483)))</f>
        <v/>
      </c>
      <c r="R483" s="12">
        <f>IF(ISNUMBER(A483),MONTH(A483),"")</f>
        <v/>
      </c>
      <c r="S483" s="12">
        <f>IF(ISNUMBER(A483),YEAR(A483),"")</f>
        <v/>
      </c>
    </row>
    <row r="484">
      <c r="A484" s="23" t="n"/>
      <c r="B484" s="19" t="n"/>
      <c r="C484" s="19" t="n"/>
      <c r="D484" s="7" t="n"/>
      <c r="E484" s="13" t="n"/>
      <c r="F484" s="19" t="n"/>
      <c r="G484" s="13" t="n"/>
      <c r="H484" s="19" t="n"/>
      <c r="I484" s="19" t="n"/>
      <c r="J484" s="13" t="n"/>
      <c r="K484" s="9">
        <f>IF(AND(C484&lt;&gt;"",N(D484)&gt;0,I484&lt;&gt;"Cancelado"),D484*IF(N(E484)&gt;0,E484,IFERROR(VLOOKUP(C484,Produtos!$A$4:$O$53,15,0),0))+N(G484),"")</f>
        <v/>
      </c>
      <c r="L484" s="9">
        <f>IF(K484="","",K484*IFERROR(VLOOKUP(H484,Config!$B$15:$C$19,2,0),0))</f>
        <v/>
      </c>
      <c r="M484" s="9">
        <f>IF(K484="","",D484*IFERROR(VLOOKUP(C484,Produtos!$A$4:$I$53,9,0),0))</f>
        <v/>
      </c>
      <c r="N484" s="9">
        <f>IF(K484="","",D484*IFERROR(VLOOKUP(C484,Produtos!$A$4:$J$53,10,0),0))</f>
        <v/>
      </c>
      <c r="O484" s="9">
        <f>IF(OR(K484="",F484=""),IF(K484="","",0),IFERROR(VLOOKUP(F484,Entrega!$A$4:$E$43,5,0),0))</f>
        <v/>
      </c>
      <c r="P484" s="9">
        <f>IF(K484="","",K484-L484-M484-N484-O484)</f>
        <v/>
      </c>
      <c r="Q484" s="9">
        <f>IF(K484="","",IF(I484="Entregue",0,K484-N(J484)))</f>
        <v/>
      </c>
      <c r="R484" s="12">
        <f>IF(ISNUMBER(A484),MONTH(A484),"")</f>
        <v/>
      </c>
      <c r="S484" s="12">
        <f>IF(ISNUMBER(A484),YEAR(A484),"")</f>
        <v/>
      </c>
    </row>
    <row r="485">
      <c r="A485" s="23" t="n"/>
      <c r="B485" s="19" t="n"/>
      <c r="C485" s="19" t="n"/>
      <c r="D485" s="7" t="n"/>
      <c r="E485" s="13" t="n"/>
      <c r="F485" s="19" t="n"/>
      <c r="G485" s="13" t="n"/>
      <c r="H485" s="19" t="n"/>
      <c r="I485" s="19" t="n"/>
      <c r="J485" s="13" t="n"/>
      <c r="K485" s="9">
        <f>IF(AND(C485&lt;&gt;"",N(D485)&gt;0,I485&lt;&gt;"Cancelado"),D485*IF(N(E485)&gt;0,E485,IFERROR(VLOOKUP(C485,Produtos!$A$4:$O$53,15,0),0))+N(G485),"")</f>
        <v/>
      </c>
      <c r="L485" s="9">
        <f>IF(K485="","",K485*IFERROR(VLOOKUP(H485,Config!$B$15:$C$19,2,0),0))</f>
        <v/>
      </c>
      <c r="M485" s="9">
        <f>IF(K485="","",D485*IFERROR(VLOOKUP(C485,Produtos!$A$4:$I$53,9,0),0))</f>
        <v/>
      </c>
      <c r="N485" s="9">
        <f>IF(K485="","",D485*IFERROR(VLOOKUP(C485,Produtos!$A$4:$J$53,10,0),0))</f>
        <v/>
      </c>
      <c r="O485" s="9">
        <f>IF(OR(K485="",F485=""),IF(K485="","",0),IFERROR(VLOOKUP(F485,Entrega!$A$4:$E$43,5,0),0))</f>
        <v/>
      </c>
      <c r="P485" s="9">
        <f>IF(K485="","",K485-L485-M485-N485-O485)</f>
        <v/>
      </c>
      <c r="Q485" s="9">
        <f>IF(K485="","",IF(I485="Entregue",0,K485-N(J485)))</f>
        <v/>
      </c>
      <c r="R485" s="12">
        <f>IF(ISNUMBER(A485),MONTH(A485),"")</f>
        <v/>
      </c>
      <c r="S485" s="12">
        <f>IF(ISNUMBER(A485),YEAR(A485),"")</f>
        <v/>
      </c>
    </row>
    <row r="486">
      <c r="A486" s="23" t="n"/>
      <c r="B486" s="19" t="n"/>
      <c r="C486" s="19" t="n"/>
      <c r="D486" s="7" t="n"/>
      <c r="E486" s="13" t="n"/>
      <c r="F486" s="19" t="n"/>
      <c r="G486" s="13" t="n"/>
      <c r="H486" s="19" t="n"/>
      <c r="I486" s="19" t="n"/>
      <c r="J486" s="13" t="n"/>
      <c r="K486" s="9">
        <f>IF(AND(C486&lt;&gt;"",N(D486)&gt;0,I486&lt;&gt;"Cancelado"),D486*IF(N(E486)&gt;0,E486,IFERROR(VLOOKUP(C486,Produtos!$A$4:$O$53,15,0),0))+N(G486),"")</f>
        <v/>
      </c>
      <c r="L486" s="9">
        <f>IF(K486="","",K486*IFERROR(VLOOKUP(H486,Config!$B$15:$C$19,2,0),0))</f>
        <v/>
      </c>
      <c r="M486" s="9">
        <f>IF(K486="","",D486*IFERROR(VLOOKUP(C486,Produtos!$A$4:$I$53,9,0),0))</f>
        <v/>
      </c>
      <c r="N486" s="9">
        <f>IF(K486="","",D486*IFERROR(VLOOKUP(C486,Produtos!$A$4:$J$53,10,0),0))</f>
        <v/>
      </c>
      <c r="O486" s="9">
        <f>IF(OR(K486="",F486=""),IF(K486="","",0),IFERROR(VLOOKUP(F486,Entrega!$A$4:$E$43,5,0),0))</f>
        <v/>
      </c>
      <c r="P486" s="9">
        <f>IF(K486="","",K486-L486-M486-N486-O486)</f>
        <v/>
      </c>
      <c r="Q486" s="9">
        <f>IF(K486="","",IF(I486="Entregue",0,K486-N(J486)))</f>
        <v/>
      </c>
      <c r="R486" s="12">
        <f>IF(ISNUMBER(A486),MONTH(A486),"")</f>
        <v/>
      </c>
      <c r="S486" s="12">
        <f>IF(ISNUMBER(A486),YEAR(A486),"")</f>
        <v/>
      </c>
    </row>
    <row r="487">
      <c r="A487" s="23" t="n"/>
      <c r="B487" s="19" t="n"/>
      <c r="C487" s="19" t="n"/>
      <c r="D487" s="7" t="n"/>
      <c r="E487" s="13" t="n"/>
      <c r="F487" s="19" t="n"/>
      <c r="G487" s="13" t="n"/>
      <c r="H487" s="19" t="n"/>
      <c r="I487" s="19" t="n"/>
      <c r="J487" s="13" t="n"/>
      <c r="K487" s="9">
        <f>IF(AND(C487&lt;&gt;"",N(D487)&gt;0,I487&lt;&gt;"Cancelado"),D487*IF(N(E487)&gt;0,E487,IFERROR(VLOOKUP(C487,Produtos!$A$4:$O$53,15,0),0))+N(G487),"")</f>
        <v/>
      </c>
      <c r="L487" s="9">
        <f>IF(K487="","",K487*IFERROR(VLOOKUP(H487,Config!$B$15:$C$19,2,0),0))</f>
        <v/>
      </c>
      <c r="M487" s="9">
        <f>IF(K487="","",D487*IFERROR(VLOOKUP(C487,Produtos!$A$4:$I$53,9,0),0))</f>
        <v/>
      </c>
      <c r="N487" s="9">
        <f>IF(K487="","",D487*IFERROR(VLOOKUP(C487,Produtos!$A$4:$J$53,10,0),0))</f>
        <v/>
      </c>
      <c r="O487" s="9">
        <f>IF(OR(K487="",F487=""),IF(K487="","",0),IFERROR(VLOOKUP(F487,Entrega!$A$4:$E$43,5,0),0))</f>
        <v/>
      </c>
      <c r="P487" s="9">
        <f>IF(K487="","",K487-L487-M487-N487-O487)</f>
        <v/>
      </c>
      <c r="Q487" s="9">
        <f>IF(K487="","",IF(I487="Entregue",0,K487-N(J487)))</f>
        <v/>
      </c>
      <c r="R487" s="12">
        <f>IF(ISNUMBER(A487),MONTH(A487),"")</f>
        <v/>
      </c>
      <c r="S487" s="12">
        <f>IF(ISNUMBER(A487),YEAR(A487),"")</f>
        <v/>
      </c>
    </row>
    <row r="488">
      <c r="A488" s="23" t="n"/>
      <c r="B488" s="19" t="n"/>
      <c r="C488" s="19" t="n"/>
      <c r="D488" s="7" t="n"/>
      <c r="E488" s="13" t="n"/>
      <c r="F488" s="19" t="n"/>
      <c r="G488" s="13" t="n"/>
      <c r="H488" s="19" t="n"/>
      <c r="I488" s="19" t="n"/>
      <c r="J488" s="13" t="n"/>
      <c r="K488" s="9">
        <f>IF(AND(C488&lt;&gt;"",N(D488)&gt;0,I488&lt;&gt;"Cancelado"),D488*IF(N(E488)&gt;0,E488,IFERROR(VLOOKUP(C488,Produtos!$A$4:$O$53,15,0),0))+N(G488),"")</f>
        <v/>
      </c>
      <c r="L488" s="9">
        <f>IF(K488="","",K488*IFERROR(VLOOKUP(H488,Config!$B$15:$C$19,2,0),0))</f>
        <v/>
      </c>
      <c r="M488" s="9">
        <f>IF(K488="","",D488*IFERROR(VLOOKUP(C488,Produtos!$A$4:$I$53,9,0),0))</f>
        <v/>
      </c>
      <c r="N488" s="9">
        <f>IF(K488="","",D488*IFERROR(VLOOKUP(C488,Produtos!$A$4:$J$53,10,0),0))</f>
        <v/>
      </c>
      <c r="O488" s="9">
        <f>IF(OR(K488="",F488=""),IF(K488="","",0),IFERROR(VLOOKUP(F488,Entrega!$A$4:$E$43,5,0),0))</f>
        <v/>
      </c>
      <c r="P488" s="9">
        <f>IF(K488="","",K488-L488-M488-N488-O488)</f>
        <v/>
      </c>
      <c r="Q488" s="9">
        <f>IF(K488="","",IF(I488="Entregue",0,K488-N(J488)))</f>
        <v/>
      </c>
      <c r="R488" s="12">
        <f>IF(ISNUMBER(A488),MONTH(A488),"")</f>
        <v/>
      </c>
      <c r="S488" s="12">
        <f>IF(ISNUMBER(A488),YEAR(A488),"")</f>
        <v/>
      </c>
    </row>
    <row r="489">
      <c r="A489" s="23" t="n"/>
      <c r="B489" s="19" t="n"/>
      <c r="C489" s="19" t="n"/>
      <c r="D489" s="7" t="n"/>
      <c r="E489" s="13" t="n"/>
      <c r="F489" s="19" t="n"/>
      <c r="G489" s="13" t="n"/>
      <c r="H489" s="19" t="n"/>
      <c r="I489" s="19" t="n"/>
      <c r="J489" s="13" t="n"/>
      <c r="K489" s="9">
        <f>IF(AND(C489&lt;&gt;"",N(D489)&gt;0,I489&lt;&gt;"Cancelado"),D489*IF(N(E489)&gt;0,E489,IFERROR(VLOOKUP(C489,Produtos!$A$4:$O$53,15,0),0))+N(G489),"")</f>
        <v/>
      </c>
      <c r="L489" s="9">
        <f>IF(K489="","",K489*IFERROR(VLOOKUP(H489,Config!$B$15:$C$19,2,0),0))</f>
        <v/>
      </c>
      <c r="M489" s="9">
        <f>IF(K489="","",D489*IFERROR(VLOOKUP(C489,Produtos!$A$4:$I$53,9,0),0))</f>
        <v/>
      </c>
      <c r="N489" s="9">
        <f>IF(K489="","",D489*IFERROR(VLOOKUP(C489,Produtos!$A$4:$J$53,10,0),0))</f>
        <v/>
      </c>
      <c r="O489" s="9">
        <f>IF(OR(K489="",F489=""),IF(K489="","",0),IFERROR(VLOOKUP(F489,Entrega!$A$4:$E$43,5,0),0))</f>
        <v/>
      </c>
      <c r="P489" s="9">
        <f>IF(K489="","",K489-L489-M489-N489-O489)</f>
        <v/>
      </c>
      <c r="Q489" s="9">
        <f>IF(K489="","",IF(I489="Entregue",0,K489-N(J489)))</f>
        <v/>
      </c>
      <c r="R489" s="12">
        <f>IF(ISNUMBER(A489),MONTH(A489),"")</f>
        <v/>
      </c>
      <c r="S489" s="12">
        <f>IF(ISNUMBER(A489),YEAR(A489),"")</f>
        <v/>
      </c>
    </row>
    <row r="490">
      <c r="A490" s="23" t="n"/>
      <c r="B490" s="19" t="n"/>
      <c r="C490" s="19" t="n"/>
      <c r="D490" s="7" t="n"/>
      <c r="E490" s="13" t="n"/>
      <c r="F490" s="19" t="n"/>
      <c r="G490" s="13" t="n"/>
      <c r="H490" s="19" t="n"/>
      <c r="I490" s="19" t="n"/>
      <c r="J490" s="13" t="n"/>
      <c r="K490" s="9">
        <f>IF(AND(C490&lt;&gt;"",N(D490)&gt;0,I490&lt;&gt;"Cancelado"),D490*IF(N(E490)&gt;0,E490,IFERROR(VLOOKUP(C490,Produtos!$A$4:$O$53,15,0),0))+N(G490),"")</f>
        <v/>
      </c>
      <c r="L490" s="9">
        <f>IF(K490="","",K490*IFERROR(VLOOKUP(H490,Config!$B$15:$C$19,2,0),0))</f>
        <v/>
      </c>
      <c r="M490" s="9">
        <f>IF(K490="","",D490*IFERROR(VLOOKUP(C490,Produtos!$A$4:$I$53,9,0),0))</f>
        <v/>
      </c>
      <c r="N490" s="9">
        <f>IF(K490="","",D490*IFERROR(VLOOKUP(C490,Produtos!$A$4:$J$53,10,0),0))</f>
        <v/>
      </c>
      <c r="O490" s="9">
        <f>IF(OR(K490="",F490=""),IF(K490="","",0),IFERROR(VLOOKUP(F490,Entrega!$A$4:$E$43,5,0),0))</f>
        <v/>
      </c>
      <c r="P490" s="9">
        <f>IF(K490="","",K490-L490-M490-N490-O490)</f>
        <v/>
      </c>
      <c r="Q490" s="9">
        <f>IF(K490="","",IF(I490="Entregue",0,K490-N(J490)))</f>
        <v/>
      </c>
      <c r="R490" s="12">
        <f>IF(ISNUMBER(A490),MONTH(A490),"")</f>
        <v/>
      </c>
      <c r="S490" s="12">
        <f>IF(ISNUMBER(A490),YEAR(A490),"")</f>
        <v/>
      </c>
    </row>
    <row r="491">
      <c r="A491" s="23" t="n"/>
      <c r="B491" s="19" t="n"/>
      <c r="C491" s="19" t="n"/>
      <c r="D491" s="7" t="n"/>
      <c r="E491" s="13" t="n"/>
      <c r="F491" s="19" t="n"/>
      <c r="G491" s="13" t="n"/>
      <c r="H491" s="19" t="n"/>
      <c r="I491" s="19" t="n"/>
      <c r="J491" s="13" t="n"/>
      <c r="K491" s="9">
        <f>IF(AND(C491&lt;&gt;"",N(D491)&gt;0,I491&lt;&gt;"Cancelado"),D491*IF(N(E491)&gt;0,E491,IFERROR(VLOOKUP(C491,Produtos!$A$4:$O$53,15,0),0))+N(G491),"")</f>
        <v/>
      </c>
      <c r="L491" s="9">
        <f>IF(K491="","",K491*IFERROR(VLOOKUP(H491,Config!$B$15:$C$19,2,0),0))</f>
        <v/>
      </c>
      <c r="M491" s="9">
        <f>IF(K491="","",D491*IFERROR(VLOOKUP(C491,Produtos!$A$4:$I$53,9,0),0))</f>
        <v/>
      </c>
      <c r="N491" s="9">
        <f>IF(K491="","",D491*IFERROR(VLOOKUP(C491,Produtos!$A$4:$J$53,10,0),0))</f>
        <v/>
      </c>
      <c r="O491" s="9">
        <f>IF(OR(K491="",F491=""),IF(K491="","",0),IFERROR(VLOOKUP(F491,Entrega!$A$4:$E$43,5,0),0))</f>
        <v/>
      </c>
      <c r="P491" s="9">
        <f>IF(K491="","",K491-L491-M491-N491-O491)</f>
        <v/>
      </c>
      <c r="Q491" s="9">
        <f>IF(K491="","",IF(I491="Entregue",0,K491-N(J491)))</f>
        <v/>
      </c>
      <c r="R491" s="12">
        <f>IF(ISNUMBER(A491),MONTH(A491),"")</f>
        <v/>
      </c>
      <c r="S491" s="12">
        <f>IF(ISNUMBER(A491),YEAR(A491),"")</f>
        <v/>
      </c>
    </row>
    <row r="492">
      <c r="A492" s="23" t="n"/>
      <c r="B492" s="19" t="n"/>
      <c r="C492" s="19" t="n"/>
      <c r="D492" s="7" t="n"/>
      <c r="E492" s="13" t="n"/>
      <c r="F492" s="19" t="n"/>
      <c r="G492" s="13" t="n"/>
      <c r="H492" s="19" t="n"/>
      <c r="I492" s="19" t="n"/>
      <c r="J492" s="13" t="n"/>
      <c r="K492" s="9">
        <f>IF(AND(C492&lt;&gt;"",N(D492)&gt;0,I492&lt;&gt;"Cancelado"),D492*IF(N(E492)&gt;0,E492,IFERROR(VLOOKUP(C492,Produtos!$A$4:$O$53,15,0),0))+N(G492),"")</f>
        <v/>
      </c>
      <c r="L492" s="9">
        <f>IF(K492="","",K492*IFERROR(VLOOKUP(H492,Config!$B$15:$C$19,2,0),0))</f>
        <v/>
      </c>
      <c r="M492" s="9">
        <f>IF(K492="","",D492*IFERROR(VLOOKUP(C492,Produtos!$A$4:$I$53,9,0),0))</f>
        <v/>
      </c>
      <c r="N492" s="9">
        <f>IF(K492="","",D492*IFERROR(VLOOKUP(C492,Produtos!$A$4:$J$53,10,0),0))</f>
        <v/>
      </c>
      <c r="O492" s="9">
        <f>IF(OR(K492="",F492=""),IF(K492="","",0),IFERROR(VLOOKUP(F492,Entrega!$A$4:$E$43,5,0),0))</f>
        <v/>
      </c>
      <c r="P492" s="9">
        <f>IF(K492="","",K492-L492-M492-N492-O492)</f>
        <v/>
      </c>
      <c r="Q492" s="9">
        <f>IF(K492="","",IF(I492="Entregue",0,K492-N(J492)))</f>
        <v/>
      </c>
      <c r="R492" s="12">
        <f>IF(ISNUMBER(A492),MONTH(A492),"")</f>
        <v/>
      </c>
      <c r="S492" s="12">
        <f>IF(ISNUMBER(A492),YEAR(A492),"")</f>
        <v/>
      </c>
    </row>
    <row r="493">
      <c r="A493" s="23" t="n"/>
      <c r="B493" s="19" t="n"/>
      <c r="C493" s="19" t="n"/>
      <c r="D493" s="7" t="n"/>
      <c r="E493" s="13" t="n"/>
      <c r="F493" s="19" t="n"/>
      <c r="G493" s="13" t="n"/>
      <c r="H493" s="19" t="n"/>
      <c r="I493" s="19" t="n"/>
      <c r="J493" s="13" t="n"/>
      <c r="K493" s="9">
        <f>IF(AND(C493&lt;&gt;"",N(D493)&gt;0,I493&lt;&gt;"Cancelado"),D493*IF(N(E493)&gt;0,E493,IFERROR(VLOOKUP(C493,Produtos!$A$4:$O$53,15,0),0))+N(G493),"")</f>
        <v/>
      </c>
      <c r="L493" s="9">
        <f>IF(K493="","",K493*IFERROR(VLOOKUP(H493,Config!$B$15:$C$19,2,0),0))</f>
        <v/>
      </c>
      <c r="M493" s="9">
        <f>IF(K493="","",D493*IFERROR(VLOOKUP(C493,Produtos!$A$4:$I$53,9,0),0))</f>
        <v/>
      </c>
      <c r="N493" s="9">
        <f>IF(K493="","",D493*IFERROR(VLOOKUP(C493,Produtos!$A$4:$J$53,10,0),0))</f>
        <v/>
      </c>
      <c r="O493" s="9">
        <f>IF(OR(K493="",F493=""),IF(K493="","",0),IFERROR(VLOOKUP(F493,Entrega!$A$4:$E$43,5,0),0))</f>
        <v/>
      </c>
      <c r="P493" s="9">
        <f>IF(K493="","",K493-L493-M493-N493-O493)</f>
        <v/>
      </c>
      <c r="Q493" s="9">
        <f>IF(K493="","",IF(I493="Entregue",0,K493-N(J493)))</f>
        <v/>
      </c>
      <c r="R493" s="12">
        <f>IF(ISNUMBER(A493),MONTH(A493),"")</f>
        <v/>
      </c>
      <c r="S493" s="12">
        <f>IF(ISNUMBER(A493),YEAR(A493),"")</f>
        <v/>
      </c>
    </row>
    <row r="494">
      <c r="A494" s="23" t="n"/>
      <c r="B494" s="19" t="n"/>
      <c r="C494" s="19" t="n"/>
      <c r="D494" s="7" t="n"/>
      <c r="E494" s="13" t="n"/>
      <c r="F494" s="19" t="n"/>
      <c r="G494" s="13" t="n"/>
      <c r="H494" s="19" t="n"/>
      <c r="I494" s="19" t="n"/>
      <c r="J494" s="13" t="n"/>
      <c r="K494" s="9">
        <f>IF(AND(C494&lt;&gt;"",N(D494)&gt;0,I494&lt;&gt;"Cancelado"),D494*IF(N(E494)&gt;0,E494,IFERROR(VLOOKUP(C494,Produtos!$A$4:$O$53,15,0),0))+N(G494),"")</f>
        <v/>
      </c>
      <c r="L494" s="9">
        <f>IF(K494="","",K494*IFERROR(VLOOKUP(H494,Config!$B$15:$C$19,2,0),0))</f>
        <v/>
      </c>
      <c r="M494" s="9">
        <f>IF(K494="","",D494*IFERROR(VLOOKUP(C494,Produtos!$A$4:$I$53,9,0),0))</f>
        <v/>
      </c>
      <c r="N494" s="9">
        <f>IF(K494="","",D494*IFERROR(VLOOKUP(C494,Produtos!$A$4:$J$53,10,0),0))</f>
        <v/>
      </c>
      <c r="O494" s="9">
        <f>IF(OR(K494="",F494=""),IF(K494="","",0),IFERROR(VLOOKUP(F494,Entrega!$A$4:$E$43,5,0),0))</f>
        <v/>
      </c>
      <c r="P494" s="9">
        <f>IF(K494="","",K494-L494-M494-N494-O494)</f>
        <v/>
      </c>
      <c r="Q494" s="9">
        <f>IF(K494="","",IF(I494="Entregue",0,K494-N(J494)))</f>
        <v/>
      </c>
      <c r="R494" s="12">
        <f>IF(ISNUMBER(A494),MONTH(A494),"")</f>
        <v/>
      </c>
      <c r="S494" s="12">
        <f>IF(ISNUMBER(A494),YEAR(A494),"")</f>
        <v/>
      </c>
    </row>
    <row r="495">
      <c r="A495" s="23" t="n"/>
      <c r="B495" s="19" t="n"/>
      <c r="C495" s="19" t="n"/>
      <c r="D495" s="7" t="n"/>
      <c r="E495" s="13" t="n"/>
      <c r="F495" s="19" t="n"/>
      <c r="G495" s="13" t="n"/>
      <c r="H495" s="19" t="n"/>
      <c r="I495" s="19" t="n"/>
      <c r="J495" s="13" t="n"/>
      <c r="K495" s="9">
        <f>IF(AND(C495&lt;&gt;"",N(D495)&gt;0,I495&lt;&gt;"Cancelado"),D495*IF(N(E495)&gt;0,E495,IFERROR(VLOOKUP(C495,Produtos!$A$4:$O$53,15,0),0))+N(G495),"")</f>
        <v/>
      </c>
      <c r="L495" s="9">
        <f>IF(K495="","",K495*IFERROR(VLOOKUP(H495,Config!$B$15:$C$19,2,0),0))</f>
        <v/>
      </c>
      <c r="M495" s="9">
        <f>IF(K495="","",D495*IFERROR(VLOOKUP(C495,Produtos!$A$4:$I$53,9,0),0))</f>
        <v/>
      </c>
      <c r="N495" s="9">
        <f>IF(K495="","",D495*IFERROR(VLOOKUP(C495,Produtos!$A$4:$J$53,10,0),0))</f>
        <v/>
      </c>
      <c r="O495" s="9">
        <f>IF(OR(K495="",F495=""),IF(K495="","",0),IFERROR(VLOOKUP(F495,Entrega!$A$4:$E$43,5,0),0))</f>
        <v/>
      </c>
      <c r="P495" s="9">
        <f>IF(K495="","",K495-L495-M495-N495-O495)</f>
        <v/>
      </c>
      <c r="Q495" s="9">
        <f>IF(K495="","",IF(I495="Entregue",0,K495-N(J495)))</f>
        <v/>
      </c>
      <c r="R495" s="12">
        <f>IF(ISNUMBER(A495),MONTH(A495),"")</f>
        <v/>
      </c>
      <c r="S495" s="12">
        <f>IF(ISNUMBER(A495),YEAR(A495),"")</f>
        <v/>
      </c>
    </row>
    <row r="496">
      <c r="A496" s="23" t="n"/>
      <c r="B496" s="19" t="n"/>
      <c r="C496" s="19" t="n"/>
      <c r="D496" s="7" t="n"/>
      <c r="E496" s="13" t="n"/>
      <c r="F496" s="19" t="n"/>
      <c r="G496" s="13" t="n"/>
      <c r="H496" s="19" t="n"/>
      <c r="I496" s="19" t="n"/>
      <c r="J496" s="13" t="n"/>
      <c r="K496" s="9">
        <f>IF(AND(C496&lt;&gt;"",N(D496)&gt;0,I496&lt;&gt;"Cancelado"),D496*IF(N(E496)&gt;0,E496,IFERROR(VLOOKUP(C496,Produtos!$A$4:$O$53,15,0),0))+N(G496),"")</f>
        <v/>
      </c>
      <c r="L496" s="9">
        <f>IF(K496="","",K496*IFERROR(VLOOKUP(H496,Config!$B$15:$C$19,2,0),0))</f>
        <v/>
      </c>
      <c r="M496" s="9">
        <f>IF(K496="","",D496*IFERROR(VLOOKUP(C496,Produtos!$A$4:$I$53,9,0),0))</f>
        <v/>
      </c>
      <c r="N496" s="9">
        <f>IF(K496="","",D496*IFERROR(VLOOKUP(C496,Produtos!$A$4:$J$53,10,0),0))</f>
        <v/>
      </c>
      <c r="O496" s="9">
        <f>IF(OR(K496="",F496=""),IF(K496="","",0),IFERROR(VLOOKUP(F496,Entrega!$A$4:$E$43,5,0),0))</f>
        <v/>
      </c>
      <c r="P496" s="9">
        <f>IF(K496="","",K496-L496-M496-N496-O496)</f>
        <v/>
      </c>
      <c r="Q496" s="9">
        <f>IF(K496="","",IF(I496="Entregue",0,K496-N(J496)))</f>
        <v/>
      </c>
      <c r="R496" s="12">
        <f>IF(ISNUMBER(A496),MONTH(A496),"")</f>
        <v/>
      </c>
      <c r="S496" s="12">
        <f>IF(ISNUMBER(A496),YEAR(A496),"")</f>
        <v/>
      </c>
    </row>
    <row r="497">
      <c r="A497" s="23" t="n"/>
      <c r="B497" s="19" t="n"/>
      <c r="C497" s="19" t="n"/>
      <c r="D497" s="7" t="n"/>
      <c r="E497" s="13" t="n"/>
      <c r="F497" s="19" t="n"/>
      <c r="G497" s="13" t="n"/>
      <c r="H497" s="19" t="n"/>
      <c r="I497" s="19" t="n"/>
      <c r="J497" s="13" t="n"/>
      <c r="K497" s="9">
        <f>IF(AND(C497&lt;&gt;"",N(D497)&gt;0,I497&lt;&gt;"Cancelado"),D497*IF(N(E497)&gt;0,E497,IFERROR(VLOOKUP(C497,Produtos!$A$4:$O$53,15,0),0))+N(G497),"")</f>
        <v/>
      </c>
      <c r="L497" s="9">
        <f>IF(K497="","",K497*IFERROR(VLOOKUP(H497,Config!$B$15:$C$19,2,0),0))</f>
        <v/>
      </c>
      <c r="M497" s="9">
        <f>IF(K497="","",D497*IFERROR(VLOOKUP(C497,Produtos!$A$4:$I$53,9,0),0))</f>
        <v/>
      </c>
      <c r="N497" s="9">
        <f>IF(K497="","",D497*IFERROR(VLOOKUP(C497,Produtos!$A$4:$J$53,10,0),0))</f>
        <v/>
      </c>
      <c r="O497" s="9">
        <f>IF(OR(K497="",F497=""),IF(K497="","",0),IFERROR(VLOOKUP(F497,Entrega!$A$4:$E$43,5,0),0))</f>
        <v/>
      </c>
      <c r="P497" s="9">
        <f>IF(K497="","",K497-L497-M497-N497-O497)</f>
        <v/>
      </c>
      <c r="Q497" s="9">
        <f>IF(K497="","",IF(I497="Entregue",0,K497-N(J497)))</f>
        <v/>
      </c>
      <c r="R497" s="12">
        <f>IF(ISNUMBER(A497),MONTH(A497),"")</f>
        <v/>
      </c>
      <c r="S497" s="12">
        <f>IF(ISNUMBER(A497),YEAR(A497),"")</f>
        <v/>
      </c>
    </row>
    <row r="498">
      <c r="A498" s="23" t="n"/>
      <c r="B498" s="19" t="n"/>
      <c r="C498" s="19" t="n"/>
      <c r="D498" s="7" t="n"/>
      <c r="E498" s="13" t="n"/>
      <c r="F498" s="19" t="n"/>
      <c r="G498" s="13" t="n"/>
      <c r="H498" s="19" t="n"/>
      <c r="I498" s="19" t="n"/>
      <c r="J498" s="13" t="n"/>
      <c r="K498" s="9">
        <f>IF(AND(C498&lt;&gt;"",N(D498)&gt;0,I498&lt;&gt;"Cancelado"),D498*IF(N(E498)&gt;0,E498,IFERROR(VLOOKUP(C498,Produtos!$A$4:$O$53,15,0),0))+N(G498),"")</f>
        <v/>
      </c>
      <c r="L498" s="9">
        <f>IF(K498="","",K498*IFERROR(VLOOKUP(H498,Config!$B$15:$C$19,2,0),0))</f>
        <v/>
      </c>
      <c r="M498" s="9">
        <f>IF(K498="","",D498*IFERROR(VLOOKUP(C498,Produtos!$A$4:$I$53,9,0),0))</f>
        <v/>
      </c>
      <c r="N498" s="9">
        <f>IF(K498="","",D498*IFERROR(VLOOKUP(C498,Produtos!$A$4:$J$53,10,0),0))</f>
        <v/>
      </c>
      <c r="O498" s="9">
        <f>IF(OR(K498="",F498=""),IF(K498="","",0),IFERROR(VLOOKUP(F498,Entrega!$A$4:$E$43,5,0),0))</f>
        <v/>
      </c>
      <c r="P498" s="9">
        <f>IF(K498="","",K498-L498-M498-N498-O498)</f>
        <v/>
      </c>
      <c r="Q498" s="9">
        <f>IF(K498="","",IF(I498="Entregue",0,K498-N(J498)))</f>
        <v/>
      </c>
      <c r="R498" s="12">
        <f>IF(ISNUMBER(A498),MONTH(A498),"")</f>
        <v/>
      </c>
      <c r="S498" s="12">
        <f>IF(ISNUMBER(A498),YEAR(A498),"")</f>
        <v/>
      </c>
    </row>
    <row r="499">
      <c r="A499" s="23" t="n"/>
      <c r="B499" s="19" t="n"/>
      <c r="C499" s="19" t="n"/>
      <c r="D499" s="7" t="n"/>
      <c r="E499" s="13" t="n"/>
      <c r="F499" s="19" t="n"/>
      <c r="G499" s="13" t="n"/>
      <c r="H499" s="19" t="n"/>
      <c r="I499" s="19" t="n"/>
      <c r="J499" s="13" t="n"/>
      <c r="K499" s="9">
        <f>IF(AND(C499&lt;&gt;"",N(D499)&gt;0,I499&lt;&gt;"Cancelado"),D499*IF(N(E499)&gt;0,E499,IFERROR(VLOOKUP(C499,Produtos!$A$4:$O$53,15,0),0))+N(G499),"")</f>
        <v/>
      </c>
      <c r="L499" s="9">
        <f>IF(K499="","",K499*IFERROR(VLOOKUP(H499,Config!$B$15:$C$19,2,0),0))</f>
        <v/>
      </c>
      <c r="M499" s="9">
        <f>IF(K499="","",D499*IFERROR(VLOOKUP(C499,Produtos!$A$4:$I$53,9,0),0))</f>
        <v/>
      </c>
      <c r="N499" s="9">
        <f>IF(K499="","",D499*IFERROR(VLOOKUP(C499,Produtos!$A$4:$J$53,10,0),0))</f>
        <v/>
      </c>
      <c r="O499" s="9">
        <f>IF(OR(K499="",F499=""),IF(K499="","",0),IFERROR(VLOOKUP(F499,Entrega!$A$4:$E$43,5,0),0))</f>
        <v/>
      </c>
      <c r="P499" s="9">
        <f>IF(K499="","",K499-L499-M499-N499-O499)</f>
        <v/>
      </c>
      <c r="Q499" s="9">
        <f>IF(K499="","",IF(I499="Entregue",0,K499-N(J499)))</f>
        <v/>
      </c>
      <c r="R499" s="12">
        <f>IF(ISNUMBER(A499),MONTH(A499),"")</f>
        <v/>
      </c>
      <c r="S499" s="12">
        <f>IF(ISNUMBER(A499),YEAR(A499),"")</f>
        <v/>
      </c>
    </row>
    <row r="500">
      <c r="A500" s="23" t="n"/>
      <c r="B500" s="19" t="n"/>
      <c r="C500" s="19" t="n"/>
      <c r="D500" s="7" t="n"/>
      <c r="E500" s="13" t="n"/>
      <c r="F500" s="19" t="n"/>
      <c r="G500" s="13" t="n"/>
      <c r="H500" s="19" t="n"/>
      <c r="I500" s="19" t="n"/>
      <c r="J500" s="13" t="n"/>
      <c r="K500" s="9">
        <f>IF(AND(C500&lt;&gt;"",N(D500)&gt;0,I500&lt;&gt;"Cancelado"),D500*IF(N(E500)&gt;0,E500,IFERROR(VLOOKUP(C500,Produtos!$A$4:$O$53,15,0),0))+N(G500),"")</f>
        <v/>
      </c>
      <c r="L500" s="9">
        <f>IF(K500="","",K500*IFERROR(VLOOKUP(H500,Config!$B$15:$C$19,2,0),0))</f>
        <v/>
      </c>
      <c r="M500" s="9">
        <f>IF(K500="","",D500*IFERROR(VLOOKUP(C500,Produtos!$A$4:$I$53,9,0),0))</f>
        <v/>
      </c>
      <c r="N500" s="9">
        <f>IF(K500="","",D500*IFERROR(VLOOKUP(C500,Produtos!$A$4:$J$53,10,0),0))</f>
        <v/>
      </c>
      <c r="O500" s="9">
        <f>IF(OR(K500="",F500=""),IF(K500="","",0),IFERROR(VLOOKUP(F500,Entrega!$A$4:$E$43,5,0),0))</f>
        <v/>
      </c>
      <c r="P500" s="9">
        <f>IF(K500="","",K500-L500-M500-N500-O500)</f>
        <v/>
      </c>
      <c r="Q500" s="9">
        <f>IF(K500="","",IF(I500="Entregue",0,K500-N(J500)))</f>
        <v/>
      </c>
      <c r="R500" s="12">
        <f>IF(ISNUMBER(A500),MONTH(A500),"")</f>
        <v/>
      </c>
      <c r="S500" s="12">
        <f>IF(ISNUMBER(A500),YEAR(A500),"")</f>
        <v/>
      </c>
    </row>
    <row r="501">
      <c r="A501" s="23" t="n"/>
      <c r="B501" s="19" t="n"/>
      <c r="C501" s="19" t="n"/>
      <c r="D501" s="7" t="n"/>
      <c r="E501" s="13" t="n"/>
      <c r="F501" s="19" t="n"/>
      <c r="G501" s="13" t="n"/>
      <c r="H501" s="19" t="n"/>
      <c r="I501" s="19" t="n"/>
      <c r="J501" s="13" t="n"/>
      <c r="K501" s="9">
        <f>IF(AND(C501&lt;&gt;"",N(D501)&gt;0,I501&lt;&gt;"Cancelado"),D501*IF(N(E501)&gt;0,E501,IFERROR(VLOOKUP(C501,Produtos!$A$4:$O$53,15,0),0))+N(G501),"")</f>
        <v/>
      </c>
      <c r="L501" s="9">
        <f>IF(K501="","",K501*IFERROR(VLOOKUP(H501,Config!$B$15:$C$19,2,0),0))</f>
        <v/>
      </c>
      <c r="M501" s="9">
        <f>IF(K501="","",D501*IFERROR(VLOOKUP(C501,Produtos!$A$4:$I$53,9,0),0))</f>
        <v/>
      </c>
      <c r="N501" s="9">
        <f>IF(K501="","",D501*IFERROR(VLOOKUP(C501,Produtos!$A$4:$J$53,10,0),0))</f>
        <v/>
      </c>
      <c r="O501" s="9">
        <f>IF(OR(K501="",F501=""),IF(K501="","",0),IFERROR(VLOOKUP(F501,Entrega!$A$4:$E$43,5,0),0))</f>
        <v/>
      </c>
      <c r="P501" s="9">
        <f>IF(K501="","",K501-L501-M501-N501-O501)</f>
        <v/>
      </c>
      <c r="Q501" s="9">
        <f>IF(K501="","",IF(I501="Entregue",0,K501-N(J501)))</f>
        <v/>
      </c>
      <c r="R501" s="12">
        <f>IF(ISNUMBER(A501),MONTH(A501),"")</f>
        <v/>
      </c>
      <c r="S501" s="12">
        <f>IF(ISNUMBER(A501),YEAR(A501),"")</f>
        <v/>
      </c>
    </row>
    <row r="502">
      <c r="A502" s="23" t="n"/>
      <c r="B502" s="19" t="n"/>
      <c r="C502" s="19" t="n"/>
      <c r="D502" s="7" t="n"/>
      <c r="E502" s="13" t="n"/>
      <c r="F502" s="19" t="n"/>
      <c r="G502" s="13" t="n"/>
      <c r="H502" s="19" t="n"/>
      <c r="I502" s="19" t="n"/>
      <c r="J502" s="13" t="n"/>
      <c r="K502" s="9">
        <f>IF(AND(C502&lt;&gt;"",N(D502)&gt;0,I502&lt;&gt;"Cancelado"),D502*IF(N(E502)&gt;0,E502,IFERROR(VLOOKUP(C502,Produtos!$A$4:$O$53,15,0),0))+N(G502),"")</f>
        <v/>
      </c>
      <c r="L502" s="9">
        <f>IF(K502="","",K502*IFERROR(VLOOKUP(H502,Config!$B$15:$C$19,2,0),0))</f>
        <v/>
      </c>
      <c r="M502" s="9">
        <f>IF(K502="","",D502*IFERROR(VLOOKUP(C502,Produtos!$A$4:$I$53,9,0),0))</f>
        <v/>
      </c>
      <c r="N502" s="9">
        <f>IF(K502="","",D502*IFERROR(VLOOKUP(C502,Produtos!$A$4:$J$53,10,0),0))</f>
        <v/>
      </c>
      <c r="O502" s="9">
        <f>IF(OR(K502="",F502=""),IF(K502="","",0),IFERROR(VLOOKUP(F502,Entrega!$A$4:$E$43,5,0),0))</f>
        <v/>
      </c>
      <c r="P502" s="9">
        <f>IF(K502="","",K502-L502-M502-N502-O502)</f>
        <v/>
      </c>
      <c r="Q502" s="9">
        <f>IF(K502="","",IF(I502="Entregue",0,K502-N(J502)))</f>
        <v/>
      </c>
      <c r="R502" s="12">
        <f>IF(ISNUMBER(A502),MONTH(A502),"")</f>
        <v/>
      </c>
      <c r="S502" s="12">
        <f>IF(ISNUMBER(A502),YEAR(A502),"")</f>
        <v/>
      </c>
    </row>
    <row r="503">
      <c r="A503" s="23" t="n"/>
      <c r="B503" s="19" t="n"/>
      <c r="C503" s="19" t="n"/>
      <c r="D503" s="7" t="n"/>
      <c r="E503" s="13" t="n"/>
      <c r="F503" s="19" t="n"/>
      <c r="G503" s="13" t="n"/>
      <c r="H503" s="19" t="n"/>
      <c r="I503" s="19" t="n"/>
      <c r="J503" s="13" t="n"/>
      <c r="K503" s="9">
        <f>IF(AND(C503&lt;&gt;"",N(D503)&gt;0,I503&lt;&gt;"Cancelado"),D503*IF(N(E503)&gt;0,E503,IFERROR(VLOOKUP(C503,Produtos!$A$4:$O$53,15,0),0))+N(G503),"")</f>
        <v/>
      </c>
      <c r="L503" s="9">
        <f>IF(K503="","",K503*IFERROR(VLOOKUP(H503,Config!$B$15:$C$19,2,0),0))</f>
        <v/>
      </c>
      <c r="M503" s="9">
        <f>IF(K503="","",D503*IFERROR(VLOOKUP(C503,Produtos!$A$4:$I$53,9,0),0))</f>
        <v/>
      </c>
      <c r="N503" s="9">
        <f>IF(K503="","",D503*IFERROR(VLOOKUP(C503,Produtos!$A$4:$J$53,10,0),0))</f>
        <v/>
      </c>
      <c r="O503" s="9">
        <f>IF(OR(K503="",F503=""),IF(K503="","",0),IFERROR(VLOOKUP(F503,Entrega!$A$4:$E$43,5,0),0))</f>
        <v/>
      </c>
      <c r="P503" s="9">
        <f>IF(K503="","",K503-L503-M503-N503-O503)</f>
        <v/>
      </c>
      <c r="Q503" s="9">
        <f>IF(K503="","",IF(I503="Entregue",0,K503-N(J503)))</f>
        <v/>
      </c>
      <c r="R503" s="12">
        <f>IF(ISNUMBER(A503),MONTH(A503),"")</f>
        <v/>
      </c>
      <c r="S503" s="12">
        <f>IF(ISNUMBER(A503),YEAR(A503),"")</f>
        <v/>
      </c>
    </row>
  </sheetData>
  <conditionalFormatting sqref="P4:P503">
    <cfRule type="expression" priority="1" dxfId="0">
      <formula>AND(ISNUMBER(P4),P4&lt;0)</formula>
    </cfRule>
  </conditionalFormatting>
  <dataValidations count="4">
    <dataValidation sqref="C4:C503" showDropDown="0" showInputMessage="0" showErrorMessage="0" allowBlank="1" type="list">
      <formula1>=Produtos!$A$4:$A$53</formula1>
    </dataValidation>
    <dataValidation sqref="F4:F503" showDropDown="0" showInputMessage="0" showErrorMessage="0" allowBlank="1" type="list">
      <formula1>=Entrega!$A$4:$A$43</formula1>
    </dataValidation>
    <dataValidation sqref="H4:H503" showDropDown="0" showInputMessage="0" showErrorMessage="0" allowBlank="1" type="list">
      <formula1>"Pix,Dinheiro,Cartão de débito,Cartão de crédito,App de delivery"</formula1>
    </dataValidation>
    <dataValidation sqref="I4:I503" showDropDown="0" showInputMessage="0" showErrorMessage="0" allowBlank="1" type="list">
      <formula1>"Encomenda,Sinal pago,Entregue,Cancelado"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D3A"/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7. Planejamento da semana e lista de compras</t>
        </is>
      </c>
    </row>
    <row r="2">
      <c r="A2" s="2" t="inlineStr">
        <is>
          <t>Coluna B: encomendas em aberto (status Encomenda ou Sinal pago). Na coluna C, digite quantas unidades vai produzir (encomendas + pronta-entrega). A lista de compras aparece na aba Ingredientes, colunas F e G.</t>
        </is>
      </c>
    </row>
    <row r="3" ht="6" customHeight="1"/>
    <row r="4" ht="42" customHeight="1">
      <c r="A4" s="18" t="inlineStr">
        <is>
          <t>Produto</t>
        </is>
      </c>
      <c r="B4" s="18" t="inlineStr">
        <is>
          <t>Encomendas em aberto (unid.)</t>
        </is>
      </c>
      <c r="C4" s="18" t="inlineStr">
        <is>
          <t>Vou produzir (unid.)</t>
        </is>
      </c>
      <c r="D4" s="18" t="inlineStr">
        <is>
          <t>Rendimento da receita</t>
        </is>
      </c>
      <c r="E4" s="18" t="inlineStr">
        <is>
          <t>Vezes a receita</t>
        </is>
      </c>
    </row>
    <row r="5">
      <c r="A5" s="12">
        <f>IF(Produtos!A4="","",Produtos!A4)</f>
        <v/>
      </c>
      <c r="B5" s="8">
        <f>IF(A5="","",SUMIFS(Pedidos!$D$4:$D$503,Pedidos!$C$4:$C$503,A5,Pedidos!$I$4:$I$503,"Encomenda")+SUMIFS(Pedidos!$D$4:$D$503,Pedidos!$C$4:$C$503,A5,Pedidos!$I$4:$I$503,"Sinal pago"))</f>
        <v/>
      </c>
      <c r="C5" s="7" t="n">
        <v>30</v>
      </c>
      <c r="D5" s="8">
        <f>IF(A5="","",Produtos!B4)</f>
        <v/>
      </c>
      <c r="E5" s="24">
        <f>IF(OR(A5="",N(D5)=0),0,N(C5)/D5)</f>
        <v/>
      </c>
    </row>
    <row r="6">
      <c r="A6" s="12">
        <f>IF(Produtos!A5="","",Produtos!A5)</f>
        <v/>
      </c>
      <c r="B6" s="8">
        <f>IF(A6="","",SUMIFS(Pedidos!$D$4:$D$503,Pedidos!$C$4:$C$503,A6,Pedidos!$I$4:$I$503,"Encomenda")+SUMIFS(Pedidos!$D$4:$D$503,Pedidos!$C$4:$C$503,A6,Pedidos!$I$4:$I$503,"Sinal pago"))</f>
        <v/>
      </c>
      <c r="C6" s="7" t="n">
        <v>150</v>
      </c>
      <c r="D6" s="8">
        <f>IF(A6="","",Produtos!B5)</f>
        <v/>
      </c>
      <c r="E6" s="24">
        <f>IF(OR(A6="",N(D6)=0),0,N(C6)/D6)</f>
        <v/>
      </c>
    </row>
    <row r="7">
      <c r="A7" s="12">
        <f>IF(Produtos!A6="","",Produtos!A6)</f>
        <v/>
      </c>
      <c r="B7" s="8">
        <f>IF(A7="","",SUMIFS(Pedidos!$D$4:$D$503,Pedidos!$C$4:$C$503,A7,Pedidos!$I$4:$I$503,"Encomenda")+SUMIFS(Pedidos!$D$4:$D$503,Pedidos!$C$4:$C$503,A7,Pedidos!$I$4:$I$503,"Sinal pago"))</f>
        <v/>
      </c>
      <c r="C7" s="7" t="n">
        <v>40</v>
      </c>
      <c r="D7" s="8">
        <f>IF(A7="","",Produtos!B6)</f>
        <v/>
      </c>
      <c r="E7" s="24">
        <f>IF(OR(A7="",N(D7)=0),0,N(C7)/D7)</f>
        <v/>
      </c>
    </row>
    <row r="8">
      <c r="A8" s="12">
        <f>IF(Produtos!A7="","",Produtos!A7)</f>
        <v/>
      </c>
      <c r="B8" s="8">
        <f>IF(A8="","",SUMIFS(Pedidos!$D$4:$D$503,Pedidos!$C$4:$C$503,A8,Pedidos!$I$4:$I$503,"Encomenda")+SUMIFS(Pedidos!$D$4:$D$503,Pedidos!$C$4:$C$503,A8,Pedidos!$I$4:$I$503,"Sinal pago"))</f>
        <v/>
      </c>
      <c r="C8" s="7" t="n"/>
      <c r="D8" s="8">
        <f>IF(A8="","",Produtos!B7)</f>
        <v/>
      </c>
      <c r="E8" s="24">
        <f>IF(OR(A8="",N(D8)=0),0,N(C8)/D8)</f>
        <v/>
      </c>
    </row>
    <row r="9">
      <c r="A9" s="12">
        <f>IF(Produtos!A8="","",Produtos!A8)</f>
        <v/>
      </c>
      <c r="B9" s="8">
        <f>IF(A9="","",SUMIFS(Pedidos!$D$4:$D$503,Pedidos!$C$4:$C$503,A9,Pedidos!$I$4:$I$503,"Encomenda")+SUMIFS(Pedidos!$D$4:$D$503,Pedidos!$C$4:$C$503,A9,Pedidos!$I$4:$I$503,"Sinal pago"))</f>
        <v/>
      </c>
      <c r="C9" s="7" t="n"/>
      <c r="D9" s="8">
        <f>IF(A9="","",Produtos!B8)</f>
        <v/>
      </c>
      <c r="E9" s="24">
        <f>IF(OR(A9="",N(D9)=0),0,N(C9)/D9)</f>
        <v/>
      </c>
    </row>
    <row r="10">
      <c r="A10" s="12">
        <f>IF(Produtos!A9="","",Produtos!A9)</f>
        <v/>
      </c>
      <c r="B10" s="8">
        <f>IF(A10="","",SUMIFS(Pedidos!$D$4:$D$503,Pedidos!$C$4:$C$503,A10,Pedidos!$I$4:$I$503,"Encomenda")+SUMIFS(Pedidos!$D$4:$D$503,Pedidos!$C$4:$C$503,A10,Pedidos!$I$4:$I$503,"Sinal pago"))</f>
        <v/>
      </c>
      <c r="C10" s="7" t="n"/>
      <c r="D10" s="8">
        <f>IF(A10="","",Produtos!B9)</f>
        <v/>
      </c>
      <c r="E10" s="24">
        <f>IF(OR(A10="",N(D10)=0),0,N(C10)/D10)</f>
        <v/>
      </c>
    </row>
    <row r="11">
      <c r="A11" s="12">
        <f>IF(Produtos!A10="","",Produtos!A10)</f>
        <v/>
      </c>
      <c r="B11" s="8">
        <f>IF(A11="","",SUMIFS(Pedidos!$D$4:$D$503,Pedidos!$C$4:$C$503,A11,Pedidos!$I$4:$I$503,"Encomenda")+SUMIFS(Pedidos!$D$4:$D$503,Pedidos!$C$4:$C$503,A11,Pedidos!$I$4:$I$503,"Sinal pago"))</f>
        <v/>
      </c>
      <c r="C11" s="7" t="n"/>
      <c r="D11" s="8">
        <f>IF(A11="","",Produtos!B10)</f>
        <v/>
      </c>
      <c r="E11" s="24">
        <f>IF(OR(A11="",N(D11)=0),0,N(C11)/D11)</f>
        <v/>
      </c>
    </row>
    <row r="12">
      <c r="A12" s="12">
        <f>IF(Produtos!A11="","",Produtos!A11)</f>
        <v/>
      </c>
      <c r="B12" s="8">
        <f>IF(A12="","",SUMIFS(Pedidos!$D$4:$D$503,Pedidos!$C$4:$C$503,A12,Pedidos!$I$4:$I$503,"Encomenda")+SUMIFS(Pedidos!$D$4:$D$503,Pedidos!$C$4:$C$503,A12,Pedidos!$I$4:$I$503,"Sinal pago"))</f>
        <v/>
      </c>
      <c r="C12" s="7" t="n"/>
      <c r="D12" s="8">
        <f>IF(A12="","",Produtos!B11)</f>
        <v/>
      </c>
      <c r="E12" s="24">
        <f>IF(OR(A12="",N(D12)=0),0,N(C12)/D12)</f>
        <v/>
      </c>
    </row>
    <row r="13">
      <c r="A13" s="12">
        <f>IF(Produtos!A12="","",Produtos!A12)</f>
        <v/>
      </c>
      <c r="B13" s="8">
        <f>IF(A13="","",SUMIFS(Pedidos!$D$4:$D$503,Pedidos!$C$4:$C$503,A13,Pedidos!$I$4:$I$503,"Encomenda")+SUMIFS(Pedidos!$D$4:$D$503,Pedidos!$C$4:$C$503,A13,Pedidos!$I$4:$I$503,"Sinal pago"))</f>
        <v/>
      </c>
      <c r="C13" s="7" t="n"/>
      <c r="D13" s="8">
        <f>IF(A13="","",Produtos!B12)</f>
        <v/>
      </c>
      <c r="E13" s="24">
        <f>IF(OR(A13="",N(D13)=0),0,N(C13)/D13)</f>
        <v/>
      </c>
    </row>
    <row r="14">
      <c r="A14" s="12">
        <f>IF(Produtos!A13="","",Produtos!A13)</f>
        <v/>
      </c>
      <c r="B14" s="8">
        <f>IF(A14="","",SUMIFS(Pedidos!$D$4:$D$503,Pedidos!$C$4:$C$503,A14,Pedidos!$I$4:$I$503,"Encomenda")+SUMIFS(Pedidos!$D$4:$D$503,Pedidos!$C$4:$C$503,A14,Pedidos!$I$4:$I$503,"Sinal pago"))</f>
        <v/>
      </c>
      <c r="C14" s="7" t="n"/>
      <c r="D14" s="8">
        <f>IF(A14="","",Produtos!B13)</f>
        <v/>
      </c>
      <c r="E14" s="24">
        <f>IF(OR(A14="",N(D14)=0),0,N(C14)/D14)</f>
        <v/>
      </c>
    </row>
    <row r="15">
      <c r="A15" s="12">
        <f>IF(Produtos!A14="","",Produtos!A14)</f>
        <v/>
      </c>
      <c r="B15" s="8">
        <f>IF(A15="","",SUMIFS(Pedidos!$D$4:$D$503,Pedidos!$C$4:$C$503,A15,Pedidos!$I$4:$I$503,"Encomenda")+SUMIFS(Pedidos!$D$4:$D$503,Pedidos!$C$4:$C$503,A15,Pedidos!$I$4:$I$503,"Sinal pago"))</f>
        <v/>
      </c>
      <c r="C15" s="7" t="n"/>
      <c r="D15" s="8">
        <f>IF(A15="","",Produtos!B14)</f>
        <v/>
      </c>
      <c r="E15" s="24">
        <f>IF(OR(A15="",N(D15)=0),0,N(C15)/D15)</f>
        <v/>
      </c>
    </row>
    <row r="16">
      <c r="A16" s="12">
        <f>IF(Produtos!A15="","",Produtos!A15)</f>
        <v/>
      </c>
      <c r="B16" s="8">
        <f>IF(A16="","",SUMIFS(Pedidos!$D$4:$D$503,Pedidos!$C$4:$C$503,A16,Pedidos!$I$4:$I$503,"Encomenda")+SUMIFS(Pedidos!$D$4:$D$503,Pedidos!$C$4:$C$503,A16,Pedidos!$I$4:$I$503,"Sinal pago"))</f>
        <v/>
      </c>
      <c r="C16" s="7" t="n"/>
      <c r="D16" s="8">
        <f>IF(A16="","",Produtos!B15)</f>
        <v/>
      </c>
      <c r="E16" s="24">
        <f>IF(OR(A16="",N(D16)=0),0,N(C16)/D16)</f>
        <v/>
      </c>
    </row>
    <row r="17">
      <c r="A17" s="12">
        <f>IF(Produtos!A16="","",Produtos!A16)</f>
        <v/>
      </c>
      <c r="B17" s="8">
        <f>IF(A17="","",SUMIFS(Pedidos!$D$4:$D$503,Pedidos!$C$4:$C$503,A17,Pedidos!$I$4:$I$503,"Encomenda")+SUMIFS(Pedidos!$D$4:$D$503,Pedidos!$C$4:$C$503,A17,Pedidos!$I$4:$I$503,"Sinal pago"))</f>
        <v/>
      </c>
      <c r="C17" s="7" t="n"/>
      <c r="D17" s="8">
        <f>IF(A17="","",Produtos!B16)</f>
        <v/>
      </c>
      <c r="E17" s="24">
        <f>IF(OR(A17="",N(D17)=0),0,N(C17)/D17)</f>
        <v/>
      </c>
    </row>
    <row r="18">
      <c r="A18" s="12">
        <f>IF(Produtos!A17="","",Produtos!A17)</f>
        <v/>
      </c>
      <c r="B18" s="8">
        <f>IF(A18="","",SUMIFS(Pedidos!$D$4:$D$503,Pedidos!$C$4:$C$503,A18,Pedidos!$I$4:$I$503,"Encomenda")+SUMIFS(Pedidos!$D$4:$D$503,Pedidos!$C$4:$C$503,A18,Pedidos!$I$4:$I$503,"Sinal pago"))</f>
        <v/>
      </c>
      <c r="C18" s="7" t="n"/>
      <c r="D18" s="8">
        <f>IF(A18="","",Produtos!B17)</f>
        <v/>
      </c>
      <c r="E18" s="24">
        <f>IF(OR(A18="",N(D18)=0),0,N(C18)/D18)</f>
        <v/>
      </c>
    </row>
    <row r="19">
      <c r="A19" s="12">
        <f>IF(Produtos!A18="","",Produtos!A18)</f>
        <v/>
      </c>
      <c r="B19" s="8">
        <f>IF(A19="","",SUMIFS(Pedidos!$D$4:$D$503,Pedidos!$C$4:$C$503,A19,Pedidos!$I$4:$I$503,"Encomenda")+SUMIFS(Pedidos!$D$4:$D$503,Pedidos!$C$4:$C$503,A19,Pedidos!$I$4:$I$503,"Sinal pago"))</f>
        <v/>
      </c>
      <c r="C19" s="7" t="n"/>
      <c r="D19" s="8">
        <f>IF(A19="","",Produtos!B18)</f>
        <v/>
      </c>
      <c r="E19" s="24">
        <f>IF(OR(A19="",N(D19)=0),0,N(C19)/D19)</f>
        <v/>
      </c>
    </row>
    <row r="20">
      <c r="A20" s="12">
        <f>IF(Produtos!A19="","",Produtos!A19)</f>
        <v/>
      </c>
      <c r="B20" s="8">
        <f>IF(A20="","",SUMIFS(Pedidos!$D$4:$D$503,Pedidos!$C$4:$C$503,A20,Pedidos!$I$4:$I$503,"Encomenda")+SUMIFS(Pedidos!$D$4:$D$503,Pedidos!$C$4:$C$503,A20,Pedidos!$I$4:$I$503,"Sinal pago"))</f>
        <v/>
      </c>
      <c r="C20" s="7" t="n"/>
      <c r="D20" s="8">
        <f>IF(A20="","",Produtos!B19)</f>
        <v/>
      </c>
      <c r="E20" s="24">
        <f>IF(OR(A20="",N(D20)=0),0,N(C20)/D20)</f>
        <v/>
      </c>
    </row>
    <row r="21">
      <c r="A21" s="12">
        <f>IF(Produtos!A20="","",Produtos!A20)</f>
        <v/>
      </c>
      <c r="B21" s="8">
        <f>IF(A21="","",SUMIFS(Pedidos!$D$4:$D$503,Pedidos!$C$4:$C$503,A21,Pedidos!$I$4:$I$503,"Encomenda")+SUMIFS(Pedidos!$D$4:$D$503,Pedidos!$C$4:$C$503,A21,Pedidos!$I$4:$I$503,"Sinal pago"))</f>
        <v/>
      </c>
      <c r="C21" s="7" t="n"/>
      <c r="D21" s="8">
        <f>IF(A21="","",Produtos!B20)</f>
        <v/>
      </c>
      <c r="E21" s="24">
        <f>IF(OR(A21="",N(D21)=0),0,N(C21)/D21)</f>
        <v/>
      </c>
    </row>
    <row r="22">
      <c r="A22" s="12">
        <f>IF(Produtos!A21="","",Produtos!A21)</f>
        <v/>
      </c>
      <c r="B22" s="8">
        <f>IF(A22="","",SUMIFS(Pedidos!$D$4:$D$503,Pedidos!$C$4:$C$503,A22,Pedidos!$I$4:$I$503,"Encomenda")+SUMIFS(Pedidos!$D$4:$D$503,Pedidos!$C$4:$C$503,A22,Pedidos!$I$4:$I$503,"Sinal pago"))</f>
        <v/>
      </c>
      <c r="C22" s="7" t="n"/>
      <c r="D22" s="8">
        <f>IF(A22="","",Produtos!B21)</f>
        <v/>
      </c>
      <c r="E22" s="24">
        <f>IF(OR(A22="",N(D22)=0),0,N(C22)/D22)</f>
        <v/>
      </c>
    </row>
    <row r="23">
      <c r="A23" s="12">
        <f>IF(Produtos!A22="","",Produtos!A22)</f>
        <v/>
      </c>
      <c r="B23" s="8">
        <f>IF(A23="","",SUMIFS(Pedidos!$D$4:$D$503,Pedidos!$C$4:$C$503,A23,Pedidos!$I$4:$I$503,"Encomenda")+SUMIFS(Pedidos!$D$4:$D$503,Pedidos!$C$4:$C$503,A23,Pedidos!$I$4:$I$503,"Sinal pago"))</f>
        <v/>
      </c>
      <c r="C23" s="7" t="n"/>
      <c r="D23" s="8">
        <f>IF(A23="","",Produtos!B22)</f>
        <v/>
      </c>
      <c r="E23" s="24">
        <f>IF(OR(A23="",N(D23)=0),0,N(C23)/D23)</f>
        <v/>
      </c>
    </row>
    <row r="24">
      <c r="A24" s="12">
        <f>IF(Produtos!A23="","",Produtos!A23)</f>
        <v/>
      </c>
      <c r="B24" s="8">
        <f>IF(A24="","",SUMIFS(Pedidos!$D$4:$D$503,Pedidos!$C$4:$C$503,A24,Pedidos!$I$4:$I$503,"Encomenda")+SUMIFS(Pedidos!$D$4:$D$503,Pedidos!$C$4:$C$503,A24,Pedidos!$I$4:$I$503,"Sinal pago"))</f>
        <v/>
      </c>
      <c r="C24" s="7" t="n"/>
      <c r="D24" s="8">
        <f>IF(A24="","",Produtos!B23)</f>
        <v/>
      </c>
      <c r="E24" s="24">
        <f>IF(OR(A24="",N(D24)=0),0,N(C24)/D24)</f>
        <v/>
      </c>
    </row>
    <row r="25">
      <c r="A25" s="12">
        <f>IF(Produtos!A24="","",Produtos!A24)</f>
        <v/>
      </c>
      <c r="B25" s="8">
        <f>IF(A25="","",SUMIFS(Pedidos!$D$4:$D$503,Pedidos!$C$4:$C$503,A25,Pedidos!$I$4:$I$503,"Encomenda")+SUMIFS(Pedidos!$D$4:$D$503,Pedidos!$C$4:$C$503,A25,Pedidos!$I$4:$I$503,"Sinal pago"))</f>
        <v/>
      </c>
      <c r="C25" s="7" t="n"/>
      <c r="D25" s="8">
        <f>IF(A25="","",Produtos!B24)</f>
        <v/>
      </c>
      <c r="E25" s="24">
        <f>IF(OR(A25="",N(D25)=0),0,N(C25)/D25)</f>
        <v/>
      </c>
    </row>
    <row r="26">
      <c r="A26" s="12">
        <f>IF(Produtos!A25="","",Produtos!A25)</f>
        <v/>
      </c>
      <c r="B26" s="8">
        <f>IF(A26="","",SUMIFS(Pedidos!$D$4:$D$503,Pedidos!$C$4:$C$503,A26,Pedidos!$I$4:$I$503,"Encomenda")+SUMIFS(Pedidos!$D$4:$D$503,Pedidos!$C$4:$C$503,A26,Pedidos!$I$4:$I$503,"Sinal pago"))</f>
        <v/>
      </c>
      <c r="C26" s="7" t="n"/>
      <c r="D26" s="8">
        <f>IF(A26="","",Produtos!B25)</f>
        <v/>
      </c>
      <c r="E26" s="24">
        <f>IF(OR(A26="",N(D26)=0),0,N(C26)/D26)</f>
        <v/>
      </c>
    </row>
    <row r="27">
      <c r="A27" s="12">
        <f>IF(Produtos!A26="","",Produtos!A26)</f>
        <v/>
      </c>
      <c r="B27" s="8">
        <f>IF(A27="","",SUMIFS(Pedidos!$D$4:$D$503,Pedidos!$C$4:$C$503,A27,Pedidos!$I$4:$I$503,"Encomenda")+SUMIFS(Pedidos!$D$4:$D$503,Pedidos!$C$4:$C$503,A27,Pedidos!$I$4:$I$503,"Sinal pago"))</f>
        <v/>
      </c>
      <c r="C27" s="7" t="n"/>
      <c r="D27" s="8">
        <f>IF(A27="","",Produtos!B26)</f>
        <v/>
      </c>
      <c r="E27" s="24">
        <f>IF(OR(A27="",N(D27)=0),0,N(C27)/D27)</f>
        <v/>
      </c>
    </row>
    <row r="28">
      <c r="A28" s="12">
        <f>IF(Produtos!A27="","",Produtos!A27)</f>
        <v/>
      </c>
      <c r="B28" s="8">
        <f>IF(A28="","",SUMIFS(Pedidos!$D$4:$D$503,Pedidos!$C$4:$C$503,A28,Pedidos!$I$4:$I$503,"Encomenda")+SUMIFS(Pedidos!$D$4:$D$503,Pedidos!$C$4:$C$503,A28,Pedidos!$I$4:$I$503,"Sinal pago"))</f>
        <v/>
      </c>
      <c r="C28" s="7" t="n"/>
      <c r="D28" s="8">
        <f>IF(A28="","",Produtos!B27)</f>
        <v/>
      </c>
      <c r="E28" s="24">
        <f>IF(OR(A28="",N(D28)=0),0,N(C28)/D28)</f>
        <v/>
      </c>
    </row>
    <row r="29">
      <c r="A29" s="12">
        <f>IF(Produtos!A28="","",Produtos!A28)</f>
        <v/>
      </c>
      <c r="B29" s="8">
        <f>IF(A29="","",SUMIFS(Pedidos!$D$4:$D$503,Pedidos!$C$4:$C$503,A29,Pedidos!$I$4:$I$503,"Encomenda")+SUMIFS(Pedidos!$D$4:$D$503,Pedidos!$C$4:$C$503,A29,Pedidos!$I$4:$I$503,"Sinal pago"))</f>
        <v/>
      </c>
      <c r="C29" s="7" t="n"/>
      <c r="D29" s="8">
        <f>IF(A29="","",Produtos!B28)</f>
        <v/>
      </c>
      <c r="E29" s="24">
        <f>IF(OR(A29="",N(D29)=0),0,N(C29)/D29)</f>
        <v/>
      </c>
    </row>
    <row r="30">
      <c r="A30" s="12">
        <f>IF(Produtos!A29="","",Produtos!A29)</f>
        <v/>
      </c>
      <c r="B30" s="8">
        <f>IF(A30="","",SUMIFS(Pedidos!$D$4:$D$503,Pedidos!$C$4:$C$503,A30,Pedidos!$I$4:$I$503,"Encomenda")+SUMIFS(Pedidos!$D$4:$D$503,Pedidos!$C$4:$C$503,A30,Pedidos!$I$4:$I$503,"Sinal pago"))</f>
        <v/>
      </c>
      <c r="C30" s="7" t="n"/>
      <c r="D30" s="8">
        <f>IF(A30="","",Produtos!B29)</f>
        <v/>
      </c>
      <c r="E30" s="24">
        <f>IF(OR(A30="",N(D30)=0),0,N(C30)/D30)</f>
        <v/>
      </c>
    </row>
    <row r="31">
      <c r="A31" s="12">
        <f>IF(Produtos!A30="","",Produtos!A30)</f>
        <v/>
      </c>
      <c r="B31" s="8">
        <f>IF(A31="","",SUMIFS(Pedidos!$D$4:$D$503,Pedidos!$C$4:$C$503,A31,Pedidos!$I$4:$I$503,"Encomenda")+SUMIFS(Pedidos!$D$4:$D$503,Pedidos!$C$4:$C$503,A31,Pedidos!$I$4:$I$503,"Sinal pago"))</f>
        <v/>
      </c>
      <c r="C31" s="7" t="n"/>
      <c r="D31" s="8">
        <f>IF(A31="","",Produtos!B30)</f>
        <v/>
      </c>
      <c r="E31" s="24">
        <f>IF(OR(A31="",N(D31)=0),0,N(C31)/D31)</f>
        <v/>
      </c>
    </row>
    <row r="32">
      <c r="A32" s="12">
        <f>IF(Produtos!A31="","",Produtos!A31)</f>
        <v/>
      </c>
      <c r="B32" s="8">
        <f>IF(A32="","",SUMIFS(Pedidos!$D$4:$D$503,Pedidos!$C$4:$C$503,A32,Pedidos!$I$4:$I$503,"Encomenda")+SUMIFS(Pedidos!$D$4:$D$503,Pedidos!$C$4:$C$503,A32,Pedidos!$I$4:$I$503,"Sinal pago"))</f>
        <v/>
      </c>
      <c r="C32" s="7" t="n"/>
      <c r="D32" s="8">
        <f>IF(A32="","",Produtos!B31)</f>
        <v/>
      </c>
      <c r="E32" s="24">
        <f>IF(OR(A32="",N(D32)=0),0,N(C32)/D32)</f>
        <v/>
      </c>
    </row>
    <row r="33">
      <c r="A33" s="12">
        <f>IF(Produtos!A32="","",Produtos!A32)</f>
        <v/>
      </c>
      <c r="B33" s="8">
        <f>IF(A33="","",SUMIFS(Pedidos!$D$4:$D$503,Pedidos!$C$4:$C$503,A33,Pedidos!$I$4:$I$503,"Encomenda")+SUMIFS(Pedidos!$D$4:$D$503,Pedidos!$C$4:$C$503,A33,Pedidos!$I$4:$I$503,"Sinal pago"))</f>
        <v/>
      </c>
      <c r="C33" s="7" t="n"/>
      <c r="D33" s="8">
        <f>IF(A33="","",Produtos!B32)</f>
        <v/>
      </c>
      <c r="E33" s="24">
        <f>IF(OR(A33="",N(D33)=0),0,N(C33)/D33)</f>
        <v/>
      </c>
    </row>
    <row r="34">
      <c r="A34" s="12">
        <f>IF(Produtos!A33="","",Produtos!A33)</f>
        <v/>
      </c>
      <c r="B34" s="8">
        <f>IF(A34="","",SUMIFS(Pedidos!$D$4:$D$503,Pedidos!$C$4:$C$503,A34,Pedidos!$I$4:$I$503,"Encomenda")+SUMIFS(Pedidos!$D$4:$D$503,Pedidos!$C$4:$C$503,A34,Pedidos!$I$4:$I$503,"Sinal pago"))</f>
        <v/>
      </c>
      <c r="C34" s="7" t="n"/>
      <c r="D34" s="8">
        <f>IF(A34="","",Produtos!B33)</f>
        <v/>
      </c>
      <c r="E34" s="24">
        <f>IF(OR(A34="",N(D34)=0),0,N(C34)/D34)</f>
        <v/>
      </c>
    </row>
    <row r="35">
      <c r="A35" s="12">
        <f>IF(Produtos!A34="","",Produtos!A34)</f>
        <v/>
      </c>
      <c r="B35" s="8">
        <f>IF(A35="","",SUMIFS(Pedidos!$D$4:$D$503,Pedidos!$C$4:$C$503,A35,Pedidos!$I$4:$I$503,"Encomenda")+SUMIFS(Pedidos!$D$4:$D$503,Pedidos!$C$4:$C$503,A35,Pedidos!$I$4:$I$503,"Sinal pago"))</f>
        <v/>
      </c>
      <c r="C35" s="7" t="n"/>
      <c r="D35" s="8">
        <f>IF(A35="","",Produtos!B34)</f>
        <v/>
      </c>
      <c r="E35" s="24">
        <f>IF(OR(A35="",N(D35)=0),0,N(C35)/D35)</f>
        <v/>
      </c>
    </row>
    <row r="36">
      <c r="A36" s="12">
        <f>IF(Produtos!A35="","",Produtos!A35)</f>
        <v/>
      </c>
      <c r="B36" s="8">
        <f>IF(A36="","",SUMIFS(Pedidos!$D$4:$D$503,Pedidos!$C$4:$C$503,A36,Pedidos!$I$4:$I$503,"Encomenda")+SUMIFS(Pedidos!$D$4:$D$503,Pedidos!$C$4:$C$503,A36,Pedidos!$I$4:$I$503,"Sinal pago"))</f>
        <v/>
      </c>
      <c r="C36" s="7" t="n"/>
      <c r="D36" s="8">
        <f>IF(A36="","",Produtos!B35)</f>
        <v/>
      </c>
      <c r="E36" s="24">
        <f>IF(OR(A36="",N(D36)=0),0,N(C36)/D36)</f>
        <v/>
      </c>
    </row>
    <row r="37">
      <c r="A37" s="12">
        <f>IF(Produtos!A36="","",Produtos!A36)</f>
        <v/>
      </c>
      <c r="B37" s="8">
        <f>IF(A37="","",SUMIFS(Pedidos!$D$4:$D$503,Pedidos!$C$4:$C$503,A37,Pedidos!$I$4:$I$503,"Encomenda")+SUMIFS(Pedidos!$D$4:$D$503,Pedidos!$C$4:$C$503,A37,Pedidos!$I$4:$I$503,"Sinal pago"))</f>
        <v/>
      </c>
      <c r="C37" s="7" t="n"/>
      <c r="D37" s="8">
        <f>IF(A37="","",Produtos!B36)</f>
        <v/>
      </c>
      <c r="E37" s="24">
        <f>IF(OR(A37="",N(D37)=0),0,N(C37)/D37)</f>
        <v/>
      </c>
    </row>
    <row r="38">
      <c r="A38" s="12">
        <f>IF(Produtos!A37="","",Produtos!A37)</f>
        <v/>
      </c>
      <c r="B38" s="8">
        <f>IF(A38="","",SUMIFS(Pedidos!$D$4:$D$503,Pedidos!$C$4:$C$503,A38,Pedidos!$I$4:$I$503,"Encomenda")+SUMIFS(Pedidos!$D$4:$D$503,Pedidos!$C$4:$C$503,A38,Pedidos!$I$4:$I$503,"Sinal pago"))</f>
        <v/>
      </c>
      <c r="C38" s="7" t="n"/>
      <c r="D38" s="8">
        <f>IF(A38="","",Produtos!B37)</f>
        <v/>
      </c>
      <c r="E38" s="24">
        <f>IF(OR(A38="",N(D38)=0),0,N(C38)/D38)</f>
        <v/>
      </c>
    </row>
    <row r="39">
      <c r="A39" s="12">
        <f>IF(Produtos!A38="","",Produtos!A38)</f>
        <v/>
      </c>
      <c r="B39" s="8">
        <f>IF(A39="","",SUMIFS(Pedidos!$D$4:$D$503,Pedidos!$C$4:$C$503,A39,Pedidos!$I$4:$I$503,"Encomenda")+SUMIFS(Pedidos!$D$4:$D$503,Pedidos!$C$4:$C$503,A39,Pedidos!$I$4:$I$503,"Sinal pago"))</f>
        <v/>
      </c>
      <c r="C39" s="7" t="n"/>
      <c r="D39" s="8">
        <f>IF(A39="","",Produtos!B38)</f>
        <v/>
      </c>
      <c r="E39" s="24">
        <f>IF(OR(A39="",N(D39)=0),0,N(C39)/D39)</f>
        <v/>
      </c>
    </row>
    <row r="40">
      <c r="A40" s="12">
        <f>IF(Produtos!A39="","",Produtos!A39)</f>
        <v/>
      </c>
      <c r="B40" s="8">
        <f>IF(A40="","",SUMIFS(Pedidos!$D$4:$D$503,Pedidos!$C$4:$C$503,A40,Pedidos!$I$4:$I$503,"Encomenda")+SUMIFS(Pedidos!$D$4:$D$503,Pedidos!$C$4:$C$503,A40,Pedidos!$I$4:$I$503,"Sinal pago"))</f>
        <v/>
      </c>
      <c r="C40" s="7" t="n"/>
      <c r="D40" s="8">
        <f>IF(A40="","",Produtos!B39)</f>
        <v/>
      </c>
      <c r="E40" s="24">
        <f>IF(OR(A40="",N(D40)=0),0,N(C40)/D40)</f>
        <v/>
      </c>
    </row>
    <row r="41">
      <c r="A41" s="12">
        <f>IF(Produtos!A40="","",Produtos!A40)</f>
        <v/>
      </c>
      <c r="B41" s="8">
        <f>IF(A41="","",SUMIFS(Pedidos!$D$4:$D$503,Pedidos!$C$4:$C$503,A41,Pedidos!$I$4:$I$503,"Encomenda")+SUMIFS(Pedidos!$D$4:$D$503,Pedidos!$C$4:$C$503,A41,Pedidos!$I$4:$I$503,"Sinal pago"))</f>
        <v/>
      </c>
      <c r="C41" s="7" t="n"/>
      <c r="D41" s="8">
        <f>IF(A41="","",Produtos!B40)</f>
        <v/>
      </c>
      <c r="E41" s="24">
        <f>IF(OR(A41="",N(D41)=0),0,N(C41)/D41)</f>
        <v/>
      </c>
    </row>
    <row r="42">
      <c r="A42" s="12">
        <f>IF(Produtos!A41="","",Produtos!A41)</f>
        <v/>
      </c>
      <c r="B42" s="8">
        <f>IF(A42="","",SUMIFS(Pedidos!$D$4:$D$503,Pedidos!$C$4:$C$503,A42,Pedidos!$I$4:$I$503,"Encomenda")+SUMIFS(Pedidos!$D$4:$D$503,Pedidos!$C$4:$C$503,A42,Pedidos!$I$4:$I$503,"Sinal pago"))</f>
        <v/>
      </c>
      <c r="C42" s="7" t="n"/>
      <c r="D42" s="8">
        <f>IF(A42="","",Produtos!B41)</f>
        <v/>
      </c>
      <c r="E42" s="24">
        <f>IF(OR(A42="",N(D42)=0),0,N(C42)/D42)</f>
        <v/>
      </c>
    </row>
    <row r="43">
      <c r="A43" s="12">
        <f>IF(Produtos!A42="","",Produtos!A42)</f>
        <v/>
      </c>
      <c r="B43" s="8">
        <f>IF(A43="","",SUMIFS(Pedidos!$D$4:$D$503,Pedidos!$C$4:$C$503,A43,Pedidos!$I$4:$I$503,"Encomenda")+SUMIFS(Pedidos!$D$4:$D$503,Pedidos!$C$4:$C$503,A43,Pedidos!$I$4:$I$503,"Sinal pago"))</f>
        <v/>
      </c>
      <c r="C43" s="7" t="n"/>
      <c r="D43" s="8">
        <f>IF(A43="","",Produtos!B42)</f>
        <v/>
      </c>
      <c r="E43" s="24">
        <f>IF(OR(A43="",N(D43)=0),0,N(C43)/D43)</f>
        <v/>
      </c>
    </row>
    <row r="44">
      <c r="A44" s="12">
        <f>IF(Produtos!A43="","",Produtos!A43)</f>
        <v/>
      </c>
      <c r="B44" s="8">
        <f>IF(A44="","",SUMIFS(Pedidos!$D$4:$D$503,Pedidos!$C$4:$C$503,A44,Pedidos!$I$4:$I$503,"Encomenda")+SUMIFS(Pedidos!$D$4:$D$503,Pedidos!$C$4:$C$503,A44,Pedidos!$I$4:$I$503,"Sinal pago"))</f>
        <v/>
      </c>
      <c r="C44" s="7" t="n"/>
      <c r="D44" s="8">
        <f>IF(A44="","",Produtos!B43)</f>
        <v/>
      </c>
      <c r="E44" s="24">
        <f>IF(OR(A44="",N(D44)=0),0,N(C44)/D44)</f>
        <v/>
      </c>
    </row>
    <row r="45">
      <c r="A45" s="12">
        <f>IF(Produtos!A44="","",Produtos!A44)</f>
        <v/>
      </c>
      <c r="B45" s="8">
        <f>IF(A45="","",SUMIFS(Pedidos!$D$4:$D$503,Pedidos!$C$4:$C$503,A45,Pedidos!$I$4:$I$503,"Encomenda")+SUMIFS(Pedidos!$D$4:$D$503,Pedidos!$C$4:$C$503,A45,Pedidos!$I$4:$I$503,"Sinal pago"))</f>
        <v/>
      </c>
      <c r="C45" s="7" t="n"/>
      <c r="D45" s="8">
        <f>IF(A45="","",Produtos!B44)</f>
        <v/>
      </c>
      <c r="E45" s="24">
        <f>IF(OR(A45="",N(D45)=0),0,N(C45)/D45)</f>
        <v/>
      </c>
    </row>
    <row r="46">
      <c r="A46" s="12">
        <f>IF(Produtos!A45="","",Produtos!A45)</f>
        <v/>
      </c>
      <c r="B46" s="8">
        <f>IF(A46="","",SUMIFS(Pedidos!$D$4:$D$503,Pedidos!$C$4:$C$503,A46,Pedidos!$I$4:$I$503,"Encomenda")+SUMIFS(Pedidos!$D$4:$D$503,Pedidos!$C$4:$C$503,A46,Pedidos!$I$4:$I$503,"Sinal pago"))</f>
        <v/>
      </c>
      <c r="C46" s="7" t="n"/>
      <c r="D46" s="8">
        <f>IF(A46="","",Produtos!B45)</f>
        <v/>
      </c>
      <c r="E46" s="24">
        <f>IF(OR(A46="",N(D46)=0),0,N(C46)/D46)</f>
        <v/>
      </c>
    </row>
    <row r="47">
      <c r="A47" s="12">
        <f>IF(Produtos!A46="","",Produtos!A46)</f>
        <v/>
      </c>
      <c r="B47" s="8">
        <f>IF(A47="","",SUMIFS(Pedidos!$D$4:$D$503,Pedidos!$C$4:$C$503,A47,Pedidos!$I$4:$I$503,"Encomenda")+SUMIFS(Pedidos!$D$4:$D$503,Pedidos!$C$4:$C$503,A47,Pedidos!$I$4:$I$503,"Sinal pago"))</f>
        <v/>
      </c>
      <c r="C47" s="7" t="n"/>
      <c r="D47" s="8">
        <f>IF(A47="","",Produtos!B46)</f>
        <v/>
      </c>
      <c r="E47" s="24">
        <f>IF(OR(A47="",N(D47)=0),0,N(C47)/D47)</f>
        <v/>
      </c>
    </row>
    <row r="48">
      <c r="A48" s="12">
        <f>IF(Produtos!A47="","",Produtos!A47)</f>
        <v/>
      </c>
      <c r="B48" s="8">
        <f>IF(A48="","",SUMIFS(Pedidos!$D$4:$D$503,Pedidos!$C$4:$C$503,A48,Pedidos!$I$4:$I$503,"Encomenda")+SUMIFS(Pedidos!$D$4:$D$503,Pedidos!$C$4:$C$503,A48,Pedidos!$I$4:$I$503,"Sinal pago"))</f>
        <v/>
      </c>
      <c r="C48" s="7" t="n"/>
      <c r="D48" s="8">
        <f>IF(A48="","",Produtos!B47)</f>
        <v/>
      </c>
      <c r="E48" s="24">
        <f>IF(OR(A48="",N(D48)=0),0,N(C48)/D48)</f>
        <v/>
      </c>
    </row>
    <row r="49">
      <c r="A49" s="12">
        <f>IF(Produtos!A48="","",Produtos!A48)</f>
        <v/>
      </c>
      <c r="B49" s="8">
        <f>IF(A49="","",SUMIFS(Pedidos!$D$4:$D$503,Pedidos!$C$4:$C$503,A49,Pedidos!$I$4:$I$503,"Encomenda")+SUMIFS(Pedidos!$D$4:$D$503,Pedidos!$C$4:$C$503,A49,Pedidos!$I$4:$I$503,"Sinal pago"))</f>
        <v/>
      </c>
      <c r="C49" s="7" t="n"/>
      <c r="D49" s="8">
        <f>IF(A49="","",Produtos!B48)</f>
        <v/>
      </c>
      <c r="E49" s="24">
        <f>IF(OR(A49="",N(D49)=0),0,N(C49)/D49)</f>
        <v/>
      </c>
    </row>
    <row r="50">
      <c r="A50" s="12">
        <f>IF(Produtos!A49="","",Produtos!A49)</f>
        <v/>
      </c>
      <c r="B50" s="8">
        <f>IF(A50="","",SUMIFS(Pedidos!$D$4:$D$503,Pedidos!$C$4:$C$503,A50,Pedidos!$I$4:$I$503,"Encomenda")+SUMIFS(Pedidos!$D$4:$D$503,Pedidos!$C$4:$C$503,A50,Pedidos!$I$4:$I$503,"Sinal pago"))</f>
        <v/>
      </c>
      <c r="C50" s="7" t="n"/>
      <c r="D50" s="8">
        <f>IF(A50="","",Produtos!B49)</f>
        <v/>
      </c>
      <c r="E50" s="24">
        <f>IF(OR(A50="",N(D50)=0),0,N(C50)/D50)</f>
        <v/>
      </c>
    </row>
    <row r="51">
      <c r="A51" s="12">
        <f>IF(Produtos!A50="","",Produtos!A50)</f>
        <v/>
      </c>
      <c r="B51" s="8">
        <f>IF(A51="","",SUMIFS(Pedidos!$D$4:$D$503,Pedidos!$C$4:$C$503,A51,Pedidos!$I$4:$I$503,"Encomenda")+SUMIFS(Pedidos!$D$4:$D$503,Pedidos!$C$4:$C$503,A51,Pedidos!$I$4:$I$503,"Sinal pago"))</f>
        <v/>
      </c>
      <c r="C51" s="7" t="n"/>
      <c r="D51" s="8">
        <f>IF(A51="","",Produtos!B50)</f>
        <v/>
      </c>
      <c r="E51" s="24">
        <f>IF(OR(A51="",N(D51)=0),0,N(C51)/D51)</f>
        <v/>
      </c>
    </row>
    <row r="52">
      <c r="A52" s="12">
        <f>IF(Produtos!A51="","",Produtos!A51)</f>
        <v/>
      </c>
      <c r="B52" s="8">
        <f>IF(A52="","",SUMIFS(Pedidos!$D$4:$D$503,Pedidos!$C$4:$C$503,A52,Pedidos!$I$4:$I$503,"Encomenda")+SUMIFS(Pedidos!$D$4:$D$503,Pedidos!$C$4:$C$503,A52,Pedidos!$I$4:$I$503,"Sinal pago"))</f>
        <v/>
      </c>
      <c r="C52" s="7" t="n"/>
      <c r="D52" s="8">
        <f>IF(A52="","",Produtos!B51)</f>
        <v/>
      </c>
      <c r="E52" s="24">
        <f>IF(OR(A52="",N(D52)=0),0,N(C52)/D52)</f>
        <v/>
      </c>
    </row>
    <row r="53">
      <c r="A53" s="12">
        <f>IF(Produtos!A52="","",Produtos!A52)</f>
        <v/>
      </c>
      <c r="B53" s="8">
        <f>IF(A53="","",SUMIFS(Pedidos!$D$4:$D$503,Pedidos!$C$4:$C$503,A53,Pedidos!$I$4:$I$503,"Encomenda")+SUMIFS(Pedidos!$D$4:$D$503,Pedidos!$C$4:$C$503,A53,Pedidos!$I$4:$I$503,"Sinal pago"))</f>
        <v/>
      </c>
      <c r="C53" s="7" t="n"/>
      <c r="D53" s="8">
        <f>IF(A53="","",Produtos!B52)</f>
        <v/>
      </c>
      <c r="E53" s="24">
        <f>IF(OR(A53="",N(D53)=0),0,N(C53)/D53)</f>
        <v/>
      </c>
    </row>
    <row r="54">
      <c r="A54" s="12">
        <f>IF(Produtos!A53="","",Produtos!A53)</f>
        <v/>
      </c>
      <c r="B54" s="8">
        <f>IF(A54="","",SUMIFS(Pedidos!$D$4:$D$503,Pedidos!$C$4:$C$503,A54,Pedidos!$I$4:$I$503,"Encomenda")+SUMIFS(Pedidos!$D$4:$D$503,Pedidos!$C$4:$C$503,A54,Pedidos!$I$4:$I$503,"Sinal pago"))</f>
        <v/>
      </c>
      <c r="C54" s="7" t="n"/>
      <c r="D54" s="8">
        <f>IF(A54="","",Produtos!B53)</f>
        <v/>
      </c>
      <c r="E54" s="24">
        <f>IF(OR(A54="",N(D54)=0),0,N(C54)/D54)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2026-10-20T15:49:10Z</dcterms:created>
  <dcterms:modified xmlns:dcterms="http://purl.org/dc/terms/" xmlns:xsi="http://www.w3.org/2001/XMLSchema-instance" xsi:type="dcterms:W3CDTF">2026-10-20T15:49:11Z</dcterms:modified>
</cp:coreProperties>
</file>